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immy\Desktop\Examens arbete\Kod\Ny mapp\remix_-copy-of-miljöbeslut.se-portal\docs\qa\requirements-model\"/>
    </mc:Choice>
  </mc:AlternateContent>
  <xr:revisionPtr revIDLastSave="0" documentId="13_ncr:1_{320D11FD-FB0A-4F48-B3CB-BF23B28F2C16}" xr6:coauthVersionLast="47" xr6:coauthVersionMax="47" xr10:uidLastSave="{00000000-0000-0000-0000-000000000000}"/>
  <bookViews>
    <workbookView xWindow="1104" yWindow="1068" windowWidth="13596" windowHeight="7668" xr2:uid="{DAC40C04-710E-4FFF-A26B-9A5CDA581F82}"/>
  </bookViews>
  <sheets>
    <sheet name="PivotGuide" sheetId="2" r:id="rId1"/>
    <sheet name="Verifiering" sheetId="1" r:id="rId2"/>
  </sheets>
  <definedNames>
    <definedName name="_xlnm._FilterDatabase" localSheetId="1" hidden="1">Verifiering!$A$1:$S$2386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86" i="1" l="1"/>
  <c r="A2385" i="1"/>
  <c r="A2384" i="1"/>
  <c r="A2383" i="1"/>
  <c r="A2382" i="1"/>
  <c r="A2381" i="1"/>
  <c r="A2380" i="1"/>
  <c r="A2379" i="1"/>
  <c r="A2378" i="1"/>
  <c r="A2377" i="1"/>
  <c r="A2376" i="1"/>
  <c r="A2375" i="1"/>
  <c r="A2374" i="1"/>
  <c r="A2373" i="1"/>
  <c r="A2372" i="1"/>
  <c r="A2371" i="1"/>
  <c r="A2370" i="1"/>
  <c r="A2369" i="1"/>
  <c r="A2368" i="1"/>
  <c r="A2367" i="1"/>
  <c r="A2366" i="1"/>
  <c r="A2365" i="1"/>
  <c r="A2364" i="1"/>
  <c r="A2363" i="1"/>
  <c r="A2362" i="1"/>
  <c r="A2361" i="1"/>
  <c r="A2360" i="1"/>
  <c r="A2359" i="1"/>
  <c r="A2358" i="1"/>
  <c r="A2357" i="1"/>
  <c r="A2356" i="1"/>
  <c r="A2355" i="1"/>
  <c r="A2354" i="1"/>
  <c r="A2353" i="1"/>
  <c r="A2352" i="1"/>
  <c r="A2351" i="1"/>
  <c r="A2350" i="1"/>
  <c r="A2349" i="1"/>
  <c r="A2348" i="1"/>
  <c r="A2347" i="1"/>
  <c r="A2346" i="1"/>
  <c r="A2345" i="1"/>
  <c r="A2344" i="1"/>
  <c r="A2343" i="1"/>
  <c r="A2342" i="1"/>
  <c r="A2341" i="1"/>
  <c r="A2340" i="1"/>
  <c r="A2339" i="1"/>
  <c r="A2338" i="1"/>
  <c r="A2337" i="1"/>
  <c r="A2336" i="1"/>
  <c r="A2335" i="1"/>
  <c r="A2334" i="1"/>
  <c r="A2333" i="1"/>
  <c r="A2332" i="1"/>
  <c r="A2331" i="1"/>
  <c r="A2330" i="1"/>
  <c r="A2329" i="1"/>
  <c r="A2328" i="1"/>
  <c r="A2327" i="1"/>
  <c r="A2326" i="1"/>
  <c r="A2325" i="1"/>
  <c r="A2324" i="1"/>
  <c r="A2323" i="1"/>
  <c r="A2322" i="1"/>
  <c r="A2321" i="1"/>
  <c r="A2320" i="1"/>
  <c r="A2319" i="1"/>
  <c r="A2318" i="1"/>
  <c r="A2317" i="1"/>
  <c r="A2316" i="1"/>
  <c r="A2315" i="1"/>
  <c r="A2314" i="1"/>
  <c r="A2313" i="1"/>
  <c r="A2312" i="1"/>
  <c r="A2311" i="1"/>
  <c r="A2310" i="1"/>
  <c r="A2309" i="1"/>
  <c r="A2308" i="1"/>
  <c r="A2307" i="1"/>
  <c r="A2306" i="1"/>
  <c r="A2305" i="1"/>
  <c r="A2304" i="1"/>
  <c r="A2303" i="1"/>
  <c r="A2302" i="1"/>
  <c r="A2301" i="1"/>
  <c r="A2300" i="1"/>
  <c r="A2299" i="1"/>
  <c r="A2298" i="1"/>
  <c r="A2297" i="1"/>
  <c r="A2296" i="1"/>
  <c r="A2295" i="1"/>
  <c r="A2294" i="1"/>
  <c r="A2293" i="1"/>
  <c r="A2292" i="1"/>
  <c r="A2291" i="1"/>
  <c r="A2290" i="1"/>
  <c r="A2289" i="1"/>
  <c r="A2288" i="1"/>
  <c r="A2287" i="1"/>
  <c r="A2286" i="1"/>
  <c r="A2285" i="1"/>
  <c r="A2284" i="1"/>
  <c r="A2283" i="1"/>
  <c r="A2282" i="1"/>
  <c r="A2281" i="1"/>
  <c r="A2280" i="1"/>
  <c r="A2279" i="1"/>
  <c r="A2278" i="1"/>
  <c r="A2277" i="1"/>
  <c r="A2276" i="1"/>
  <c r="A2275" i="1"/>
  <c r="A2274" i="1"/>
  <c r="A2273" i="1"/>
  <c r="A2272" i="1"/>
  <c r="A2271" i="1"/>
  <c r="A2270" i="1"/>
  <c r="A2269" i="1"/>
  <c r="A2268" i="1"/>
  <c r="A2267" i="1"/>
  <c r="A2266" i="1"/>
  <c r="A2265" i="1"/>
  <c r="A2264" i="1"/>
  <c r="A2263" i="1"/>
  <c r="A2262" i="1"/>
  <c r="A2261" i="1"/>
  <c r="A2260" i="1"/>
  <c r="A2259" i="1"/>
  <c r="A2258" i="1"/>
  <c r="A2257" i="1"/>
  <c r="A2256" i="1"/>
  <c r="A2255" i="1"/>
  <c r="A2254" i="1"/>
  <c r="A2253" i="1"/>
  <c r="A2252" i="1"/>
  <c r="A2251" i="1"/>
  <c r="A2250" i="1"/>
  <c r="A2249" i="1"/>
  <c r="A2248" i="1"/>
  <c r="A2247" i="1"/>
  <c r="A2246" i="1"/>
  <c r="A2245" i="1"/>
  <c r="A2244" i="1"/>
  <c r="A2243" i="1"/>
  <c r="A2242" i="1"/>
  <c r="A2241" i="1"/>
  <c r="A2240" i="1"/>
  <c r="A2239" i="1"/>
  <c r="A2238" i="1"/>
  <c r="A2237" i="1"/>
  <c r="A2236" i="1"/>
  <c r="A2235" i="1"/>
  <c r="A2234" i="1"/>
  <c r="A2233" i="1"/>
  <c r="A2232" i="1"/>
  <c r="A2231" i="1"/>
  <c r="A2230" i="1"/>
  <c r="A2229" i="1"/>
  <c r="A2228" i="1"/>
  <c r="A2227" i="1"/>
  <c r="A2226" i="1"/>
  <c r="A2225" i="1"/>
  <c r="A2224" i="1"/>
  <c r="A2223" i="1"/>
  <c r="A2222" i="1"/>
  <c r="A2221" i="1"/>
  <c r="A2220" i="1"/>
  <c r="A2219" i="1"/>
  <c r="A2218" i="1"/>
  <c r="A2217" i="1"/>
  <c r="A2216" i="1"/>
  <c r="A2215" i="1"/>
  <c r="A2214" i="1"/>
  <c r="A2213" i="1"/>
  <c r="A2212" i="1"/>
  <c r="A2211" i="1"/>
  <c r="A2210" i="1"/>
  <c r="A2209" i="1"/>
  <c r="A2208" i="1"/>
  <c r="A2207" i="1"/>
  <c r="A2206" i="1"/>
  <c r="A2205" i="1"/>
  <c r="A2204" i="1"/>
  <c r="A2203" i="1"/>
  <c r="A2202" i="1"/>
  <c r="A2201" i="1"/>
  <c r="A2200" i="1"/>
  <c r="A2199" i="1"/>
  <c r="A2198" i="1"/>
  <c r="A2197" i="1"/>
  <c r="A2196" i="1"/>
  <c r="A2195" i="1"/>
  <c r="A2194" i="1"/>
  <c r="A2193" i="1"/>
  <c r="A2192" i="1"/>
  <c r="A2191" i="1"/>
  <c r="A2190" i="1"/>
  <c r="A2189" i="1"/>
  <c r="A2188" i="1"/>
  <c r="A2187" i="1"/>
  <c r="A2186" i="1"/>
  <c r="A2185" i="1"/>
  <c r="A2184" i="1"/>
  <c r="A2183" i="1"/>
  <c r="A2182" i="1"/>
  <c r="A2181" i="1"/>
  <c r="A2180" i="1"/>
  <c r="A2179" i="1"/>
  <c r="A2178" i="1"/>
  <c r="A2177" i="1"/>
  <c r="A2176" i="1"/>
  <c r="A2175" i="1"/>
  <c r="A2174" i="1"/>
  <c r="A2173" i="1"/>
  <c r="A2172" i="1"/>
  <c r="A2171" i="1"/>
  <c r="A2170" i="1"/>
  <c r="A2169" i="1"/>
  <c r="A2168" i="1"/>
  <c r="A2167" i="1"/>
  <c r="A2166" i="1"/>
  <c r="A2165" i="1"/>
  <c r="A2164" i="1"/>
  <c r="A2163" i="1"/>
  <c r="A2162" i="1"/>
  <c r="A2161" i="1"/>
  <c r="A2160" i="1"/>
  <c r="A2159" i="1"/>
  <c r="A2158" i="1"/>
  <c r="A2157" i="1"/>
  <c r="A2156" i="1"/>
  <c r="A2155" i="1"/>
  <c r="A2154" i="1"/>
  <c r="A2153" i="1"/>
  <c r="A2152" i="1"/>
  <c r="A2151" i="1"/>
  <c r="A2150" i="1"/>
  <c r="A2149" i="1"/>
  <c r="A2148" i="1"/>
  <c r="A2147" i="1"/>
  <c r="A2146" i="1"/>
  <c r="A2145" i="1"/>
  <c r="A2144" i="1"/>
  <c r="A2143" i="1"/>
  <c r="A2142" i="1"/>
  <c r="A2141" i="1"/>
  <c r="A2140" i="1"/>
  <c r="A2139" i="1"/>
  <c r="A2138" i="1"/>
  <c r="A2137" i="1"/>
  <c r="A2136" i="1"/>
  <c r="A2135" i="1"/>
  <c r="A2134" i="1"/>
  <c r="A2133" i="1"/>
  <c r="A2132" i="1"/>
  <c r="A2131" i="1"/>
  <c r="A2130" i="1"/>
  <c r="A2129" i="1"/>
  <c r="A2128" i="1"/>
  <c r="A2127" i="1"/>
  <c r="A2126" i="1"/>
  <c r="A2125" i="1"/>
  <c r="A2124" i="1"/>
  <c r="A2123" i="1"/>
  <c r="A2122" i="1"/>
  <c r="A2121" i="1"/>
  <c r="A2120" i="1"/>
  <c r="A2119" i="1"/>
  <c r="A2118" i="1"/>
  <c r="A2117" i="1"/>
  <c r="A2116" i="1"/>
  <c r="A2115" i="1"/>
  <c r="A2114" i="1"/>
  <c r="A2113" i="1"/>
  <c r="A2112" i="1"/>
  <c r="A2111" i="1"/>
  <c r="A2110" i="1"/>
  <c r="A2109" i="1"/>
  <c r="A2108" i="1"/>
  <c r="A2107" i="1"/>
  <c r="A2106" i="1"/>
  <c r="A2105" i="1"/>
  <c r="A2104" i="1"/>
  <c r="A2103" i="1"/>
  <c r="A2102" i="1"/>
  <c r="A2101" i="1"/>
  <c r="A2100" i="1"/>
  <c r="A2099" i="1"/>
  <c r="A2098" i="1"/>
  <c r="A2097" i="1"/>
  <c r="A2096" i="1"/>
  <c r="A2095" i="1"/>
  <c r="A2094" i="1"/>
  <c r="A2093" i="1"/>
  <c r="A2092" i="1"/>
  <c r="A2091" i="1"/>
  <c r="A2090" i="1"/>
  <c r="A2089" i="1"/>
  <c r="A2088" i="1"/>
  <c r="A2087" i="1"/>
  <c r="A2086" i="1"/>
  <c r="A2085" i="1"/>
  <c r="A2084" i="1"/>
  <c r="A2083" i="1"/>
  <c r="A2082" i="1"/>
  <c r="A2081" i="1"/>
  <c r="A2080" i="1"/>
  <c r="A2079" i="1"/>
  <c r="A2078" i="1"/>
  <c r="A2077" i="1"/>
  <c r="A2076" i="1"/>
  <c r="A2075" i="1"/>
  <c r="A2074" i="1"/>
  <c r="A2073" i="1"/>
  <c r="A2072" i="1"/>
  <c r="A2071" i="1"/>
  <c r="A2070" i="1"/>
  <c r="A2069" i="1"/>
  <c r="A2068" i="1"/>
  <c r="A2067" i="1"/>
  <c r="A2066" i="1"/>
  <c r="A2065" i="1"/>
  <c r="A2064" i="1"/>
  <c r="A2063" i="1"/>
  <c r="A2062" i="1"/>
  <c r="A2061" i="1"/>
  <c r="A2060" i="1"/>
  <c r="A2059" i="1"/>
  <c r="A2058" i="1"/>
  <c r="A2057" i="1"/>
  <c r="A2056" i="1"/>
  <c r="A2055" i="1"/>
  <c r="A2054" i="1"/>
  <c r="A2053" i="1"/>
  <c r="A2052" i="1"/>
  <c r="A2051" i="1"/>
  <c r="A2050" i="1"/>
  <c r="A2049" i="1"/>
  <c r="A2048" i="1"/>
  <c r="A2047" i="1"/>
  <c r="A2046" i="1"/>
  <c r="A2045" i="1"/>
  <c r="A2044" i="1"/>
  <c r="A2043" i="1"/>
  <c r="A2042" i="1"/>
  <c r="A2041" i="1"/>
  <c r="A2040" i="1"/>
  <c r="A2039" i="1"/>
  <c r="A2038" i="1"/>
  <c r="A2037" i="1"/>
  <c r="A2036" i="1"/>
  <c r="A2035" i="1"/>
  <c r="A2034" i="1"/>
  <c r="A2033" i="1"/>
  <c r="A2032" i="1"/>
  <c r="A2031" i="1"/>
  <c r="A2030" i="1"/>
  <c r="A2029" i="1"/>
  <c r="A2028" i="1"/>
  <c r="A2027" i="1"/>
  <c r="A2026" i="1"/>
  <c r="A2025" i="1"/>
  <c r="A2024" i="1"/>
  <c r="A2023" i="1"/>
  <c r="A2022" i="1"/>
  <c r="A2021" i="1"/>
  <c r="A2020" i="1"/>
  <c r="A2019" i="1"/>
  <c r="A2018" i="1"/>
  <c r="A2017" i="1"/>
  <c r="A2016" i="1"/>
  <c r="A2015" i="1"/>
  <c r="A2014" i="1"/>
  <c r="A2013" i="1"/>
  <c r="A2012" i="1"/>
  <c r="A2011" i="1"/>
  <c r="A2010" i="1"/>
  <c r="A2009" i="1"/>
  <c r="A2008" i="1"/>
  <c r="A2007" i="1"/>
  <c r="A2006" i="1"/>
  <c r="A2005" i="1"/>
  <c r="A2004" i="1"/>
  <c r="A2003" i="1"/>
  <c r="A2002" i="1"/>
  <c r="A2001" i="1"/>
  <c r="A2000" i="1"/>
  <c r="A1999" i="1"/>
  <c r="A1998" i="1"/>
  <c r="A1997" i="1"/>
  <c r="A1996" i="1"/>
  <c r="A1995" i="1"/>
  <c r="A1994" i="1"/>
  <c r="A1993" i="1"/>
  <c r="A1992" i="1"/>
  <c r="A1991" i="1"/>
  <c r="A1990" i="1"/>
  <c r="A1989" i="1"/>
  <c r="A1988" i="1"/>
  <c r="A1987" i="1"/>
  <c r="A1986" i="1"/>
  <c r="A1985" i="1"/>
  <c r="A1984" i="1"/>
  <c r="A1983" i="1"/>
  <c r="A1982" i="1"/>
  <c r="A1981" i="1"/>
  <c r="A1980" i="1"/>
  <c r="A1979" i="1"/>
  <c r="A1978" i="1"/>
  <c r="A1977" i="1"/>
  <c r="A1976" i="1"/>
  <c r="A1975" i="1"/>
  <c r="A1974" i="1"/>
  <c r="A1973" i="1"/>
  <c r="A1972" i="1"/>
  <c r="A1971" i="1"/>
  <c r="A1970" i="1"/>
  <c r="A1969" i="1"/>
  <c r="A1968" i="1"/>
  <c r="A1967" i="1"/>
  <c r="A1966" i="1"/>
  <c r="A1965" i="1"/>
  <c r="A1964" i="1"/>
  <c r="A1963" i="1"/>
  <c r="A1962" i="1"/>
  <c r="A1961" i="1"/>
  <c r="A1960" i="1"/>
  <c r="A1959" i="1"/>
  <c r="A1958" i="1"/>
  <c r="A1957" i="1"/>
  <c r="A1956" i="1"/>
  <c r="A1955" i="1"/>
  <c r="A1954" i="1"/>
  <c r="A1953" i="1"/>
  <c r="A1952" i="1"/>
  <c r="A1951" i="1"/>
  <c r="A1950" i="1"/>
  <c r="A1949" i="1"/>
  <c r="A1948" i="1"/>
  <c r="A1947" i="1"/>
  <c r="A1946" i="1"/>
  <c r="A1945" i="1"/>
  <c r="A1944" i="1"/>
  <c r="A1943" i="1"/>
  <c r="A1942" i="1"/>
  <c r="A1941" i="1"/>
  <c r="A1940" i="1"/>
  <c r="A1939" i="1"/>
  <c r="A1938" i="1"/>
  <c r="A1937" i="1"/>
  <c r="A1936" i="1"/>
  <c r="A1935" i="1"/>
  <c r="A1934" i="1"/>
  <c r="A1933" i="1"/>
  <c r="A1932" i="1"/>
  <c r="A1931" i="1"/>
  <c r="A1930" i="1"/>
  <c r="A1929" i="1"/>
  <c r="A1928" i="1"/>
  <c r="A1927" i="1"/>
  <c r="A1926" i="1"/>
  <c r="A1925" i="1"/>
  <c r="A1924" i="1"/>
  <c r="A1923" i="1"/>
  <c r="A1922" i="1"/>
  <c r="A1921" i="1"/>
  <c r="A1920" i="1"/>
  <c r="A1919" i="1"/>
  <c r="A1918" i="1"/>
  <c r="A1917" i="1"/>
  <c r="A1916" i="1"/>
  <c r="A1915" i="1"/>
  <c r="A1914" i="1"/>
  <c r="A1913" i="1"/>
  <c r="A1912" i="1"/>
  <c r="A1911" i="1"/>
  <c r="A1910" i="1"/>
  <c r="A1909" i="1"/>
  <c r="A1908" i="1"/>
  <c r="A1907" i="1"/>
  <c r="A1906" i="1"/>
  <c r="A1905" i="1"/>
  <c r="A1904" i="1"/>
  <c r="A1903" i="1"/>
  <c r="A1902" i="1"/>
  <c r="A1901" i="1"/>
  <c r="A1900" i="1"/>
  <c r="A1899" i="1"/>
  <c r="A1898" i="1"/>
  <c r="A1897" i="1"/>
  <c r="A1896" i="1"/>
  <c r="A1895" i="1"/>
  <c r="A1894" i="1"/>
  <c r="A1893" i="1"/>
  <c r="A1892" i="1"/>
  <c r="A1891" i="1"/>
  <c r="A1890" i="1"/>
  <c r="A1889" i="1"/>
  <c r="A1888" i="1"/>
  <c r="A1887" i="1"/>
  <c r="A1886" i="1"/>
  <c r="A1885" i="1"/>
  <c r="A1884" i="1"/>
  <c r="A1883" i="1"/>
  <c r="A1882" i="1"/>
  <c r="A1881" i="1"/>
  <c r="A1880" i="1"/>
  <c r="A1879" i="1"/>
  <c r="A1878" i="1"/>
  <c r="A1877" i="1"/>
  <c r="A1876" i="1"/>
  <c r="A1875" i="1"/>
  <c r="A1874" i="1"/>
  <c r="A1873" i="1"/>
  <c r="A1872" i="1"/>
  <c r="A1871" i="1"/>
  <c r="A1870" i="1"/>
  <c r="A1869" i="1"/>
  <c r="A1868" i="1"/>
  <c r="A1867" i="1"/>
  <c r="A1866" i="1"/>
  <c r="A1865" i="1"/>
  <c r="A1864" i="1"/>
  <c r="A1863" i="1"/>
  <c r="A1862" i="1"/>
  <c r="A1861" i="1"/>
  <c r="A1860" i="1"/>
  <c r="A1859" i="1"/>
  <c r="A1858" i="1"/>
  <c r="A1857" i="1"/>
  <c r="A1856" i="1"/>
  <c r="A1855" i="1"/>
  <c r="A1854" i="1"/>
  <c r="A1853" i="1"/>
  <c r="A1852" i="1"/>
  <c r="A1851" i="1"/>
  <c r="A1850" i="1"/>
  <c r="A1849" i="1"/>
  <c r="A1848" i="1"/>
  <c r="A1847" i="1"/>
  <c r="A1846" i="1"/>
  <c r="A1845" i="1"/>
  <c r="A1844" i="1"/>
  <c r="A1843" i="1"/>
  <c r="A1842" i="1"/>
  <c r="A1841" i="1"/>
  <c r="A1840" i="1"/>
  <c r="A1839" i="1"/>
  <c r="A1838" i="1"/>
  <c r="A1837" i="1"/>
  <c r="A1836" i="1"/>
  <c r="A1835" i="1"/>
  <c r="A1834" i="1"/>
  <c r="A1833" i="1"/>
  <c r="A1832" i="1"/>
  <c r="A1831" i="1"/>
  <c r="A1830" i="1"/>
  <c r="A1829" i="1"/>
  <c r="A1828" i="1"/>
  <c r="A1827" i="1"/>
  <c r="A1826" i="1"/>
  <c r="A1825" i="1"/>
  <c r="A1824" i="1"/>
  <c r="A1823" i="1"/>
  <c r="A1822" i="1"/>
  <c r="A1821" i="1"/>
  <c r="A1820" i="1"/>
  <c r="A1819" i="1"/>
  <c r="A1818" i="1"/>
  <c r="A1817" i="1"/>
  <c r="A1816" i="1"/>
  <c r="A1815" i="1"/>
  <c r="A1814" i="1"/>
  <c r="A1813" i="1"/>
  <c r="A1812" i="1"/>
  <c r="A1811" i="1"/>
  <c r="A1810" i="1"/>
  <c r="A1809" i="1"/>
  <c r="A1808" i="1"/>
  <c r="A1807" i="1"/>
  <c r="A1806" i="1"/>
  <c r="A1805" i="1"/>
  <c r="A1804" i="1"/>
  <c r="A1803" i="1"/>
  <c r="A1802" i="1"/>
  <c r="A1801" i="1"/>
  <c r="A1800" i="1"/>
  <c r="A1799" i="1"/>
  <c r="A1798" i="1"/>
  <c r="A1797" i="1"/>
  <c r="A1796" i="1"/>
  <c r="A1795" i="1"/>
  <c r="A1794" i="1"/>
  <c r="A1793" i="1"/>
  <c r="A1792" i="1"/>
  <c r="A1791" i="1"/>
  <c r="A1790" i="1"/>
  <c r="A1789" i="1"/>
  <c r="A1788" i="1"/>
  <c r="A1787" i="1"/>
  <c r="A1786" i="1"/>
  <c r="A1785" i="1"/>
  <c r="A1784" i="1"/>
  <c r="A1783" i="1"/>
  <c r="A1782" i="1"/>
  <c r="A1781" i="1"/>
  <c r="A1780" i="1"/>
  <c r="A1779" i="1"/>
  <c r="A1778" i="1"/>
  <c r="A1777" i="1"/>
  <c r="A1776" i="1"/>
  <c r="A1775" i="1"/>
  <c r="A1774" i="1"/>
  <c r="A1773" i="1"/>
  <c r="A1772" i="1"/>
  <c r="A1771" i="1"/>
  <c r="A1770" i="1"/>
  <c r="A1769" i="1"/>
  <c r="A1768" i="1"/>
  <c r="A1767" i="1"/>
  <c r="A1766" i="1"/>
  <c r="A1765" i="1"/>
  <c r="A1764" i="1"/>
  <c r="A1763" i="1"/>
  <c r="A1762" i="1"/>
  <c r="A1761" i="1"/>
  <c r="A1760" i="1"/>
  <c r="A1759" i="1"/>
  <c r="A1758" i="1"/>
  <c r="A1757" i="1"/>
  <c r="A1756" i="1"/>
  <c r="A1755" i="1"/>
  <c r="A1754" i="1"/>
  <c r="A1753" i="1"/>
  <c r="A1752" i="1"/>
  <c r="A1751" i="1"/>
  <c r="A1750" i="1"/>
  <c r="A1749" i="1"/>
  <c r="A1748" i="1"/>
  <c r="A1747" i="1"/>
  <c r="A1746" i="1"/>
  <c r="A1745" i="1"/>
  <c r="A1744" i="1"/>
  <c r="A1743" i="1"/>
  <c r="A1742" i="1"/>
  <c r="A1741" i="1"/>
  <c r="A1740" i="1"/>
  <c r="A1739" i="1"/>
  <c r="A1738" i="1"/>
  <c r="A1737" i="1"/>
  <c r="A1736" i="1"/>
  <c r="A1735" i="1"/>
  <c r="A1734" i="1"/>
  <c r="A1733" i="1"/>
  <c r="A1732" i="1"/>
  <c r="A1731" i="1"/>
  <c r="A1730" i="1"/>
  <c r="A1729" i="1"/>
  <c r="A1728" i="1"/>
  <c r="A1727" i="1"/>
  <c r="A1726" i="1"/>
  <c r="A1725" i="1"/>
  <c r="A1724" i="1"/>
  <c r="A1723" i="1"/>
  <c r="A1722" i="1"/>
  <c r="A1721" i="1"/>
  <c r="A1720" i="1"/>
  <c r="A1719" i="1"/>
  <c r="A1718" i="1"/>
  <c r="A1717" i="1"/>
  <c r="A1716" i="1"/>
  <c r="A1715" i="1"/>
  <c r="A1714" i="1"/>
  <c r="A1713" i="1"/>
  <c r="A1712" i="1"/>
  <c r="A1711" i="1"/>
  <c r="A1710" i="1"/>
  <c r="A1709" i="1"/>
  <c r="A1708" i="1"/>
  <c r="A1707" i="1"/>
  <c r="A1706" i="1"/>
  <c r="A1705" i="1"/>
  <c r="A1704" i="1"/>
  <c r="A1703" i="1"/>
  <c r="A1702" i="1"/>
  <c r="A1701" i="1"/>
  <c r="A1700" i="1"/>
  <c r="A1699" i="1"/>
  <c r="A1698" i="1"/>
  <c r="A1697" i="1"/>
  <c r="A1696" i="1"/>
  <c r="A1695" i="1"/>
  <c r="A1694" i="1"/>
  <c r="A1693" i="1"/>
  <c r="A1692" i="1"/>
  <c r="A1691" i="1"/>
  <c r="A1690" i="1"/>
  <c r="A1689" i="1"/>
  <c r="A1688" i="1"/>
  <c r="A1687" i="1"/>
  <c r="A1686" i="1"/>
  <c r="A1685" i="1"/>
  <c r="A1684" i="1"/>
  <c r="A1683" i="1"/>
  <c r="A1682" i="1"/>
  <c r="A1681" i="1"/>
  <c r="A1680" i="1"/>
  <c r="A1679" i="1"/>
  <c r="A1678" i="1"/>
  <c r="A1677" i="1"/>
  <c r="A1676" i="1"/>
  <c r="A1675" i="1"/>
  <c r="A1674" i="1"/>
  <c r="A1673" i="1"/>
  <c r="A1672" i="1"/>
  <c r="A1671" i="1"/>
  <c r="A1670" i="1"/>
  <c r="A1669" i="1"/>
  <c r="A1668" i="1"/>
  <c r="A1667" i="1"/>
  <c r="A1666" i="1"/>
  <c r="A1665" i="1"/>
  <c r="A1664" i="1"/>
  <c r="A1663" i="1"/>
  <c r="A1662" i="1"/>
  <c r="A1661" i="1"/>
  <c r="A1660" i="1"/>
  <c r="A1659" i="1"/>
  <c r="A1658" i="1"/>
  <c r="A1657" i="1"/>
  <c r="A1656" i="1"/>
  <c r="A1655" i="1"/>
  <c r="A1654" i="1"/>
  <c r="A1653" i="1"/>
  <c r="A1652" i="1"/>
  <c r="A1651" i="1"/>
  <c r="A1650" i="1"/>
  <c r="A1649" i="1"/>
  <c r="A1648" i="1"/>
  <c r="A1647" i="1"/>
  <c r="A1646" i="1"/>
  <c r="A1645" i="1"/>
  <c r="A1644" i="1"/>
  <c r="A1643" i="1"/>
  <c r="A1642" i="1"/>
  <c r="A1641" i="1"/>
  <c r="A1640" i="1"/>
  <c r="A1639" i="1"/>
  <c r="A1638" i="1"/>
  <c r="A1637" i="1"/>
  <c r="A1636" i="1"/>
  <c r="A1635" i="1"/>
  <c r="A1634" i="1"/>
  <c r="A1633" i="1"/>
  <c r="A1632" i="1"/>
  <c r="A1631" i="1"/>
  <c r="A1630" i="1"/>
  <c r="A1629" i="1"/>
  <c r="A1628" i="1"/>
  <c r="A1627" i="1"/>
  <c r="A1626" i="1"/>
  <c r="A1625" i="1"/>
  <c r="A1624" i="1"/>
  <c r="A1623" i="1"/>
  <c r="A1622" i="1"/>
  <c r="A1621" i="1"/>
  <c r="A1620" i="1"/>
  <c r="A1619" i="1"/>
  <c r="A1618" i="1"/>
  <c r="A1617" i="1"/>
  <c r="A1616" i="1"/>
  <c r="A1615" i="1"/>
  <c r="A1614" i="1"/>
  <c r="A1613" i="1"/>
  <c r="A1612" i="1"/>
  <c r="A1611" i="1"/>
  <c r="A1610" i="1"/>
  <c r="A1609" i="1"/>
  <c r="A1608" i="1"/>
  <c r="A1607" i="1"/>
  <c r="A1606" i="1"/>
  <c r="A1605" i="1"/>
  <c r="A1604" i="1"/>
  <c r="A1603" i="1"/>
  <c r="A1602" i="1"/>
  <c r="A1601" i="1"/>
  <c r="A1600" i="1"/>
  <c r="A1599" i="1"/>
  <c r="A1598" i="1"/>
  <c r="A1597" i="1"/>
  <c r="A1596" i="1"/>
  <c r="A1595" i="1"/>
  <c r="A1594" i="1"/>
  <c r="A1593" i="1"/>
  <c r="A1592" i="1"/>
  <c r="A1591" i="1"/>
  <c r="A1590" i="1"/>
  <c r="A1589" i="1"/>
  <c r="A1588" i="1"/>
  <c r="A1587" i="1"/>
  <c r="A1586" i="1"/>
  <c r="A1585" i="1"/>
  <c r="A1584" i="1"/>
  <c r="A1583" i="1"/>
  <c r="A1582" i="1"/>
  <c r="A1581" i="1"/>
  <c r="A1580" i="1"/>
  <c r="A1579" i="1"/>
  <c r="A1578" i="1"/>
  <c r="A1577" i="1"/>
  <c r="A1576" i="1"/>
  <c r="A1575" i="1"/>
  <c r="A1574" i="1"/>
  <c r="A1573" i="1"/>
  <c r="A1572" i="1"/>
  <c r="A1571" i="1"/>
  <c r="A1570" i="1"/>
  <c r="A1569" i="1"/>
  <c r="A1568" i="1"/>
  <c r="A1567" i="1"/>
  <c r="A1566" i="1"/>
  <c r="A1565" i="1"/>
  <c r="A1564" i="1"/>
  <c r="A1563" i="1"/>
  <c r="A1562" i="1"/>
  <c r="A1561" i="1"/>
  <c r="A1560" i="1"/>
  <c r="A1559" i="1"/>
  <c r="A1558" i="1"/>
  <c r="A1557" i="1"/>
  <c r="A1556" i="1"/>
  <c r="A1555" i="1"/>
  <c r="A1554" i="1"/>
  <c r="A1553" i="1"/>
  <c r="A1552" i="1"/>
  <c r="A1551" i="1"/>
  <c r="A1550" i="1"/>
  <c r="A1549" i="1"/>
  <c r="A1548" i="1"/>
  <c r="A1547" i="1"/>
  <c r="A1546" i="1"/>
  <c r="A1545" i="1"/>
  <c r="A1544" i="1"/>
  <c r="A1543" i="1"/>
  <c r="A1542" i="1"/>
  <c r="A1541" i="1"/>
  <c r="A1540" i="1"/>
  <c r="A1539" i="1"/>
  <c r="A1538" i="1"/>
  <c r="A1537" i="1"/>
  <c r="A1536" i="1"/>
  <c r="A1535" i="1"/>
  <c r="A1534" i="1"/>
  <c r="A1533" i="1"/>
  <c r="A1532" i="1"/>
  <c r="A1531" i="1"/>
  <c r="A1530" i="1"/>
  <c r="A1529" i="1"/>
  <c r="A1528" i="1"/>
  <c r="A1527" i="1"/>
  <c r="A1526" i="1"/>
  <c r="A1525" i="1"/>
  <c r="A1524" i="1"/>
  <c r="A1523" i="1"/>
  <c r="A1522" i="1"/>
  <c r="A1521" i="1"/>
  <c r="A1520" i="1"/>
  <c r="A1519" i="1"/>
  <c r="A1518" i="1"/>
  <c r="A1517" i="1"/>
  <c r="A1516" i="1"/>
  <c r="A1515" i="1"/>
  <c r="A1514" i="1"/>
  <c r="A1513" i="1"/>
  <c r="A1512" i="1"/>
  <c r="A1511" i="1"/>
  <c r="A1510" i="1"/>
  <c r="A1509" i="1"/>
  <c r="A1508" i="1"/>
  <c r="A1507" i="1"/>
  <c r="A1506" i="1"/>
  <c r="A1505" i="1"/>
  <c r="A1504" i="1"/>
  <c r="A1503" i="1"/>
  <c r="A1502" i="1"/>
  <c r="A1501" i="1"/>
  <c r="A1500" i="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 r="F152" i="1"/>
  <c r="G152" i="1"/>
  <c r="F153" i="1"/>
  <c r="G153" i="1"/>
  <c r="Q238" i="1"/>
  <c r="R238" i="1"/>
  <c r="Q245" i="1"/>
  <c r="R245" i="1"/>
  <c r="Q281" i="1"/>
  <c r="R281" i="1"/>
  <c r="Q284" i="1"/>
  <c r="R284" i="1"/>
  <c r="F328" i="1"/>
  <c r="G328" i="1"/>
  <c r="F329" i="1"/>
  <c r="G329" i="1"/>
  <c r="Q381" i="1"/>
  <c r="R381" i="1"/>
  <c r="Q383" i="1"/>
  <c r="R383" i="1"/>
  <c r="Q552" i="1"/>
  <c r="R552" i="1"/>
  <c r="Q555" i="1"/>
  <c r="R555" i="1"/>
  <c r="Q558" i="1"/>
  <c r="R558" i="1"/>
  <c r="Q564" i="1"/>
  <c r="R564" i="1"/>
  <c r="F620" i="1"/>
  <c r="G620" i="1"/>
  <c r="F621" i="1"/>
  <c r="G621" i="1"/>
  <c r="F622" i="1"/>
  <c r="G622" i="1"/>
  <c r="F647" i="1"/>
  <c r="G647" i="1"/>
  <c r="F688" i="1"/>
  <c r="G688" i="1"/>
  <c r="F689" i="1"/>
  <c r="G689" i="1"/>
  <c r="F690" i="1"/>
  <c r="G690" i="1"/>
  <c r="F741" i="1"/>
  <c r="G741" i="1"/>
  <c r="F742" i="1"/>
  <c r="G742" i="1"/>
  <c r="F743" i="1"/>
  <c r="G743" i="1"/>
  <c r="F744" i="1"/>
  <c r="G744" i="1"/>
  <c r="F759" i="1"/>
  <c r="G759" i="1"/>
  <c r="F760" i="1"/>
  <c r="G760" i="1"/>
  <c r="F761" i="1"/>
  <c r="G761" i="1"/>
  <c r="F762" i="1"/>
  <c r="G762" i="1"/>
  <c r="F763" i="1"/>
  <c r="G763" i="1"/>
  <c r="F827" i="1"/>
  <c r="G827" i="1"/>
  <c r="F828" i="1"/>
  <c r="G828" i="1"/>
  <c r="F829" i="1"/>
  <c r="G829" i="1"/>
  <c r="F919" i="1"/>
  <c r="G919" i="1"/>
  <c r="F920" i="1"/>
  <c r="G920" i="1"/>
  <c r="F921" i="1"/>
  <c r="G921" i="1"/>
  <c r="F994" i="1"/>
  <c r="G994" i="1"/>
  <c r="F995" i="1"/>
  <c r="G995" i="1"/>
  <c r="F996" i="1"/>
  <c r="G996" i="1"/>
  <c r="F997" i="1"/>
  <c r="G997" i="1"/>
  <c r="F998" i="1"/>
  <c r="G998" i="1"/>
  <c r="F999" i="1"/>
  <c r="G999" i="1"/>
  <c r="F1000" i="1"/>
  <c r="G1000" i="1"/>
  <c r="F1001" i="1"/>
  <c r="G1001" i="1"/>
  <c r="F1002" i="1"/>
  <c r="G1002" i="1"/>
  <c r="F1003" i="1"/>
  <c r="G1003" i="1"/>
  <c r="F1012" i="1"/>
  <c r="G1012" i="1"/>
  <c r="F1013" i="1"/>
  <c r="G1013" i="1"/>
  <c r="F1014" i="1"/>
  <c r="G1014" i="1"/>
  <c r="F1015" i="1"/>
  <c r="G1015" i="1"/>
  <c r="F1016" i="1"/>
  <c r="G1016" i="1"/>
  <c r="F1017" i="1"/>
  <c r="G1017" i="1"/>
  <c r="F1018" i="1"/>
  <c r="G1018" i="1"/>
  <c r="F1019" i="1"/>
  <c r="G1019" i="1"/>
  <c r="F1020" i="1"/>
  <c r="G1020" i="1"/>
  <c r="F1335" i="1"/>
  <c r="G1335" i="1"/>
  <c r="F1336" i="1"/>
  <c r="G1336" i="1"/>
  <c r="Q1429" i="1"/>
  <c r="R1429" i="1"/>
  <c r="Q1439" i="1"/>
  <c r="R1439" i="1"/>
  <c r="Q1606" i="1"/>
  <c r="R1606" i="1"/>
  <c r="Q1607" i="1"/>
  <c r="R1607" i="1"/>
  <c r="Q1612" i="1"/>
  <c r="R1612" i="1"/>
  <c r="Q1613" i="1"/>
  <c r="R1613" i="1"/>
  <c r="F1965" i="1"/>
  <c r="G1965" i="1"/>
  <c r="F1966" i="1"/>
  <c r="G1966" i="1"/>
  <c r="F1967" i="1"/>
  <c r="G1967" i="1"/>
</calcChain>
</file>

<file path=xl/sharedStrings.xml><?xml version="1.0" encoding="utf-8"?>
<sst xmlns="http://schemas.openxmlformats.org/spreadsheetml/2006/main" count="33265" uniqueCount="6370">
  <si>
    <t>PdfOpen</t>
  </si>
  <si>
    <t>PdfViewUrl</t>
  </si>
  <si>
    <t>RequirementId</t>
  </si>
  <si>
    <t>CaseId</t>
  </si>
  <si>
    <t>DocumentId</t>
  </si>
  <si>
    <t>Kommun</t>
  </si>
  <si>
    <t>Myndighet</t>
  </si>
  <si>
    <t>Dokumenttyp</t>
  </si>
  <si>
    <t>KallaFil</t>
  </si>
  <si>
    <t>Kravkategori</t>
  </si>
  <si>
    <t>Kravsubkategori</t>
  </si>
  <si>
    <t>Kodningssakerhet</t>
  </si>
  <si>
    <t>Verifieringsstatus</t>
  </si>
  <si>
    <t>VerifieradJaNej</t>
  </si>
  <si>
    <t>VerifieradAv</t>
  </si>
  <si>
    <t>VerifieradDatum</t>
  </si>
  <si>
    <t>KravtextCitat</t>
  </si>
  <si>
    <t>TolkadKravtext</t>
  </si>
  <si>
    <t>ValideringsKommentar</t>
  </si>
  <si>
    <t>http://localhost:8787/api/admin/requirements/documents/cmm4yumxa005ecuqwd2rfqss7/view</t>
  </si>
  <si>
    <t>KRAV-AUTO-000001</t>
  </si>
  <si>
    <t>ADMIN-INDEX-2026-02-27-00000000125C043F57453246863FE664CAFE6A3F0700950291EA24F0614FB6ACEDB12BF0E31D00000000010C0000950291EA24F0614FB6ACEDB12BF0E31D00002087B1E10000</t>
  </si>
  <si>
    <t>cmm4yumxa005ecuqwd2rfqss7</t>
  </si>
  <si>
    <t>Västerviks</t>
  </si>
  <si>
    <t>Västerviks kommun</t>
  </si>
  <si>
    <t>Anmalan</t>
  </si>
  <si>
    <t>2024-786 Anmälan.pdf</t>
  </si>
  <si>
    <t>LagringsvolymTid</t>
  </si>
  <si>
    <t>Maxmangd</t>
  </si>
  <si>
    <t>MEDIUM</t>
  </si>
  <si>
    <t>AUTO</t>
  </si>
  <si>
    <t>Nej</t>
  </si>
  <si>
    <t>Miljö- och byggnadskontoret Mängd (ton) 500 25 100 Beskriv kortfattat hur materialet kommer att användas och hur anläggningsarbetet ska utföras Materialförstärkningen täcks med bärlager och väg-grus.</t>
  </si>
  <si>
    <t>KRAV-AUTO-000002</t>
  </si>
  <si>
    <t>MiljopaverkanForsiktighet</t>
  </si>
  <si>
    <t>Skyddsatgarder</t>
  </si>
  <si>
    <t>Beskriv vilken behandling som ska ske av avfallet innan användning, t.ex.</t>
  </si>
  <si>
    <t>KRAV-AUTO-000003</t>
  </si>
  <si>
    <t>DagvattenLakvatten</t>
  </si>
  <si>
    <t>Uppsamling</t>
  </si>
  <si>
    <t>Beskriv om särskilda skyddsåtgärder ska vidtas för att minimera risken för att föroreningar sprids.</t>
  </si>
  <si>
    <t>http://localhost:8787/api/admin/requirements/documents/cmm4yumw2004bcuqwv0icjcu8/view</t>
  </si>
  <si>
    <t>KRAV-AUTO-000004</t>
  </si>
  <si>
    <t>cmm4yumw2004bcuqwv0icjcu8</t>
  </si>
  <si>
    <t>mer än 10 ton men högst 30 000 ton och avfallet ska användas för byggnads- eller anläggningsändamål, eller 2.</t>
  </si>
  <si>
    <t>http://localhost:8787/api/admin/requirements/documents/cmm4yumvv0045cuqwqu9kp9wx/view</t>
  </si>
  <si>
    <t>KRAV-AUTO-000005</t>
  </si>
  <si>
    <t>cmm4yumvv0045cuqwqu9kp9wx</t>
  </si>
  <si>
    <t>Ytkonstruktion</t>
  </si>
  <si>
    <t>Tat yta</t>
  </si>
  <si>
    <t>Massorna som ska användas är en betongplatta som funnits under en spannmålstork som brann upp i början av augusti i år.</t>
  </si>
  <si>
    <t>KRAV-AUTO-000006</t>
  </si>
  <si>
    <t>Betongplattan ska användas som utfyllnad i en vändplan som används för skogsbruket.</t>
  </si>
  <si>
    <t>KRAV-AUTO-000007</t>
  </si>
  <si>
    <t>Allt avfall som används ska vara ”rent” och får inte innehålla några föroreningar som kan innebära att föroreningsrisken inte endast är ringa.</t>
  </si>
  <si>
    <t>http://localhost:8787/api/admin/requirements/documents/cmm4yumyz0075cuqwsj0akxcx/view</t>
  </si>
  <si>
    <t>KRAV-AUTO-000008</t>
  </si>
  <si>
    <t>ADMIN-INDEX-2026-02-27-00000000125C043F57453246863FE664CAFE6A3F0700950291EA24F0614FB6ACEDB12BF0E31D00000000010C0000950291EA24F0614FB6ACEDB12BF0E31D00002087B1D20000</t>
  </si>
  <si>
    <t>cmm4yumyz0075cuqwsj0akxcx</t>
  </si>
  <si>
    <t>Falkenberg Postadress Falkenbergs</t>
  </si>
  <si>
    <t>Falkenberg Postadress Falkenbergs kommun</t>
  </si>
  <si>
    <t>Beslut</t>
  </si>
  <si>
    <t>M-2024-2727_2025-01-10_Beslut (MHF MHN)_Västra Gärdet 2 1.pdf</t>
  </si>
  <si>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tillräckligt.</t>
  </si>
  <si>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t>
  </si>
  <si>
    <t>KRAV-AUTO-000009</t>
  </si>
  <si>
    <t>Rutinen ska förklara hur ni avgör när provtagning är nödvändig eller när en bedömning räcker för att fastställa föroreningsinnehållet.</t>
  </si>
  <si>
    <t>KRAV-AUTO-000010</t>
  </si>
  <si>
    <t>Dokumentation om hur lagring av avfallsmassor på lagringsplatsen ska hanteras så att olika avfallsmassor med olika föroreningsinnehåll inte blandas.</t>
  </si>
  <si>
    <t>http://localhost:8787/api/admin/requirements/documents/cmm4yumwj004qcuqwa0802nd0/view</t>
  </si>
  <si>
    <t>KRAV-AUTO-000011</t>
  </si>
  <si>
    <t>cmm4yumwj004qcuqwa0802nd0</t>
  </si>
  <si>
    <t>Flytande råvaror, kemikalier och farligt avfall ska förvaras under tak inom invallning.</t>
  </si>
  <si>
    <t>KRAV-AUTO-000012</t>
  </si>
  <si>
    <t>Invallningen ska vara beständig mot det som förvaras däri och rymma största kärlets volym plus 10 % av övriga kärls volym.</t>
  </si>
  <si>
    <t>KRAV-AUTO-000013</t>
  </si>
  <si>
    <t>Kemiska produkter som kan befaras medföra risker för människors hälsa eller miljön bör bytas ut mot produkter som antas vara mindre farliga.</t>
  </si>
  <si>
    <t>http://localhost:8787/api/admin/requirements/documents/cmm4yumx10055cuqwd8rfxvty/view</t>
  </si>
  <si>
    <t>KRAV-AUTO-000014</t>
  </si>
  <si>
    <t>cmm4yumx10055cuqwd8rfxvty</t>
  </si>
  <si>
    <t>KRAV-AUTO-000015</t>
  </si>
  <si>
    <t>• Om det använda avfallet behöver flyttas bort i framtiden ska det omhändertas på en godkänd avfallsanläggning eller användas för anläggningsändamål på annan plats efter anmälan till tillsynsmyndigheten.</t>
  </si>
  <si>
    <t>KRAV-AUTO-000016</t>
  </si>
  <si>
    <t>Förutsättningarna för att avfallet ska få användas är att syftet är anläggningsändamål och föroreningsrisken är liten.</t>
  </si>
  <si>
    <t>http://localhost:8787/api/admin/requirements/documents/cmm4yumyw0072cuqw88y4d47i/view</t>
  </si>
  <si>
    <t>KRAV-AUTO-000017</t>
  </si>
  <si>
    <t>cmm4yumyw0072cuqw88y4d47i</t>
  </si>
  <si>
    <t>Riskhantering</t>
  </si>
  <si>
    <t>Riskkontroll</t>
  </si>
  <si>
    <t>7 § Verksamhetsutövaren skall förteckna de kemiska produkter samt biotekniska organismer som hanteras inom verksamheten och som kan innebära risker från hälso- eller miljösynpunkt.</t>
  </si>
  <si>
    <t>KRAV-AUTO-000018</t>
  </si>
  <si>
    <t>DriftEgenkontroll</t>
  </si>
  <si>
    <t>Journalforing</t>
  </si>
  <si>
    <t>Förordning (1998:901) om verksamhetsutövares egenkontroll 6 § Verksamhetsutövaren skall fortlöpande och systematiskt undersöka och bedöma riskerna med verksamheten från hälso- och miljösynpunkt.</t>
  </si>
  <si>
    <t>KRAV-AUTO-000019</t>
  </si>
  <si>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</si>
  <si>
    <t>http://localhost:8787/api/admin/requirements/documents/cmm4yumyr006zcuqwfswammup/view</t>
  </si>
  <si>
    <t>KRAV-AUTO-000020</t>
  </si>
  <si>
    <t>cmm4yumyr006zcuqwfswammup</t>
  </si>
  <si>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från verksamhetens oljeavskiljare ska klara de riktvärden som anges i Dagvattenanvisningar för Falkenbergs och Varbergs kommuner.</t>
  </si>
  <si>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t>
  </si>
  <si>
    <t>KRAV-AUTO-000021</t>
  </si>
  <si>
    <t>KRAV-AUTO-000022</t>
  </si>
  <si>
    <t>I din bedömning ska det framgå hur du tagit hänsyn till ursprung på materialet och risk för förorening kopplat till dess ursprung.</t>
  </si>
  <si>
    <t>http://localhost:8787/api/admin/requirements/documents/cmm4yumy7006ecuqwnx9sxuen/view</t>
  </si>
  <si>
    <t>KRAV-AUTO-000023</t>
  </si>
  <si>
    <t>ADMIN-INDEX-2026-02-27-00000000125C043F57453246863FE664CAFE6A3F0700950291EA24F0614FB6ACEDB12BF0E31D00000000010C0000950291EA24F0614FB6ACEDB12BF0E31D00002087B1DD0000</t>
  </si>
  <si>
    <t>cmm4yumy7006ecuqwnx9sxuen</t>
  </si>
  <si>
    <t>Deponi 1301_177-2024-06150267_01 (1).pdf</t>
  </si>
  <si>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2024-06-15 Utskriftsdatum: 2024-07-02 Provmärkning: Deponi 1:301 Analys Resultat Enhet Metod/ref Mäto.</t>
  </si>
  <si>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t>
  </si>
  <si>
    <t>KRAV-AUTO-000024</t>
  </si>
  <si>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SWEDEN, ISO/IEC 17025:2017 SWEDAC 10300 c) Uppgift från provtagare Denna rapport är elektroniskt signerad.</t>
  </si>
  <si>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t>
  </si>
  <si>
    <t>http://localhost:8787/api/admin/requirements/documents/cmm4yumye006kcuqwoqjb4otw/view</t>
  </si>
  <si>
    <t>KRAV-AUTO-000025</t>
  </si>
  <si>
    <t>ADMIN-INDEX-2026-02-27-00000000125C043F57453246863FE664CAFE6A3F0700950291EA24F0614FB6ACEDB12BF0E31D00000000010C0000950291EA24F0614FB6ACEDB12BF0E31D00002087B1D50000</t>
  </si>
  <si>
    <t>cmm4yumye006kcuqwoqjb4otw</t>
  </si>
  <si>
    <t>Furunäsets miljöcentral Överkalix</t>
  </si>
  <si>
    <t>Furunäsets miljöcentral Överkalix kommun</t>
  </si>
  <si>
    <t>Egenkontrollprogram FMC_sep 2020_med bilagor_200917.pdf</t>
  </si>
  <si>
    <t>Avgiften skall täcka den administration som krävs för systemet och som Avfall Sverige (systemägaren) ansvarar för.</t>
  </si>
  <si>
    <t>KRAV-AUTO-000026</t>
  </si>
  <si>
    <t>Råd och anvisningar för användning av kompost, skall ange vilken mängd kompost som bör eller i före- kommande fall får spridas vid olika tillämpningar.</t>
  </si>
  <si>
    <t>KRAV-AUTO-000027</t>
  </si>
  <si>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 5 000 4 4 2 4 från 10 000 8 4 4 4 1) Den bakteriologiska provtagningen vid den fortlöpande kontrollen skall vid två tillfällen bestå av en provtagning där n=5 [3].</t>
  </si>
  <si>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t>
  </si>
  <si>
    <t>http://localhost:8787/api/admin/requirements/documents/cmm4yumx40058cuqwxcca97de/view</t>
  </si>
  <si>
    <t>KRAV-AUTO-000028</t>
  </si>
  <si>
    <t>cmm4yumx40058cuqwxcca97de</t>
  </si>
  <si>
    <t>Från dammen rinner en del dagvatten in i skogsområdet och en del pumpar kommunen bort österut till recipient.</t>
  </si>
  <si>
    <t>KRAV-AUTO-000029</t>
  </si>
  <si>
    <t>För att minska risk för brand och minska konsekvenserna om en brand ändå uppkommer iakttas en rad skyddsåtgärder.</t>
  </si>
  <si>
    <t>KRAV-AUTO-000030</t>
  </si>
  <si>
    <t>Avfallet kommer endast att utgöras av icke farligt avfall och genom att så snart som möjligt och minst varje dag omlasta avfallet till flak så minskar risken för påverkan på dagvattnet.</t>
  </si>
  <si>
    <t>http://localhost:8787/api/admin/requirements/documents/cmm4yumyo006wcuqw982eyyr8/view</t>
  </si>
  <si>
    <t>KRAV-AUTO-000031</t>
  </si>
  <si>
    <t>cmm4yumyo006wcuqw982eyyr8</t>
  </si>
  <si>
    <t>Mängden icke-farligt avfall som yrkesmässigt återvinns genom mekanisk bearbetning i verksamheten och som ska användas för byggnads- och anläggningsändamål får vara högst 20 000 ton per år.</t>
  </si>
  <si>
    <t>KRAV-AUTO-000032</t>
  </si>
  <si>
    <t>Mängden icke-farligt avfall som yrkesmässigt återvinns genom mekanisk bearbetning i verksamheten och som inte ska användas för byggnads- och anläggningsändamål får vara högst 10 000 ton per år.</t>
  </si>
  <si>
    <t>KRAV-AUTO-000033</t>
  </si>
  <si>
    <t>HIGH</t>
  </si>
  <si>
    <t>Enligt 27a § förordning om miljöfarlig verksamhet och hälsoskydd ska ett föreläggande om försiktighetsmått till en verksamhet som behandlar avfall innehålla uppgifter om bland annat vilka typer, mänger och metoder för behandling av avfallet som får förekomma.</t>
  </si>
  <si>
    <t>http://localhost:8787/api/admin/requirements/documents/cmm4yumyl006tcuqwb0tvwtrm/view</t>
  </si>
  <si>
    <t>KRAV-AUTO-000034</t>
  </si>
  <si>
    <t>cmm4yumyl006tcuqwb0tvwtrm</t>
  </si>
  <si>
    <t>Avfallet ska vara borttaget senast fyra månader efter att det här beslutet vunnit laga kraft.</t>
  </si>
  <si>
    <t>KRAV-AUTO-000035</t>
  </si>
  <si>
    <t>Senast tre veckor efter att allt avfall på fastigheten Hanarp 1:4 har tagits bort ska en skriftlig redovisning lämnas in till miljö- och hälsoskyddsförvaltningen.</t>
  </si>
  <si>
    <t>KRAV-AUTO-000036</t>
  </si>
  <si>
    <t>En upplagsplats för avfall som lagras i mer än tre år innan det återvinns eller i mer än ett år innan det bortskaffas är att betrakta som en deponi enligt 15 kap 5 a § i miljöbalken (1998:808).</t>
  </si>
  <si>
    <t>http://localhost:8787/api/admin/requirements/documents/cmm4yumx8005bcuqwwdi2vz6z/view</t>
  </si>
  <si>
    <t>KRAV-AUTO-000037</t>
  </si>
  <si>
    <t>cmm4yumx8005bcuqwwdi2vz6z</t>
  </si>
  <si>
    <t>KRAV-AUTO-000038</t>
  </si>
  <si>
    <t>Ordning och struktur skall råda i mellanlagringen av avfallet i den mån det är möjligt och rimligt.</t>
  </si>
  <si>
    <t>KRAV-AUTO-000039</t>
  </si>
  <si>
    <t>http://localhost:8787/api/admin/requirements/documents/cmm4yumxd005hcuqwxsc6y5nv/view</t>
  </si>
  <si>
    <t>KRAV-AUTO-000040</t>
  </si>
  <si>
    <t>cmm4yumxd005hcuqwxsc6y5nv</t>
  </si>
  <si>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59392 Västervik Lofta-Gröndalen 1:1 – Förbud att anmäld miljöfarlig verksamhet inte får påbörjas förrän miljö- och byggnadsnämnden fattat beslut i ärendet Beslut Miljö- och byggnadsnämnden beslutar att den anmälda miljöfarliga verksamheten, i form av anmälan om avfall för anläggningsändamål, på fastigheten Lofta-Gröndalen 1:1 tills vidare inte får påbörjas.</t>
  </si>
  <si>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t>
  </si>
  <si>
    <t>http://localhost:8787/api/admin/requirements/documents/cmm4yumvp003zcuqwqxlxa6rl/view</t>
  </si>
  <si>
    <t>KRAV-AUTO-000041</t>
  </si>
  <si>
    <t>ADMIN-INDEX-2026-02-27-00000000125C043F57453246863FE664CAFE6A3F0700950291EA24F0614FB6ACEDB12BF0E31D00000000010C0000950291EA24F0614FB6ACEDB12BF0E31D00002087B5EE0000</t>
  </si>
  <si>
    <t>cmm4yumvp003zcuqwqxlxa6rl</t>
  </si>
  <si>
    <t>i Haparanda</t>
  </si>
  <si>
    <t>i Haparanda kommun</t>
  </si>
  <si>
    <t>Sbn-2025-457-Beslut anmälan om miljöfarlig verksamhet.pdf</t>
  </si>
  <si>
    <t>Förvaring ska ske utan tillgång för obehöriga, utan risk för påkörning och skyddat från nederbörd.</t>
  </si>
  <si>
    <t>KRAV-AUTO-000042</t>
  </si>
  <si>
    <t>Dagvatten från verksamheten ska hanteras på ett sådant sätt att det inte uppstår föroreningar, på omgivningen.</t>
  </si>
  <si>
    <t>KRAV-AUTO-000043</t>
  </si>
  <si>
    <t>6 § Verksamhetsutövaren skall fortlöpande och systematiskt undersöka och bedöma riskerna med verksamheten från hälso- och miljösynpunkt.</t>
  </si>
  <si>
    <t>http://localhost:8787/api/admin/requirements/documents/cmm4yumyh006ncuqwgc3rsm71/view</t>
  </si>
  <si>
    <t>KRAV-AUTO-000044</t>
  </si>
  <si>
    <t>cmm4yumyh006ncuqwgc3rsm71</t>
  </si>
  <si>
    <t>Avfallet ska vara borttaget senast två månader efter att det här beslutet vunnit laga kraft.</t>
  </si>
  <si>
    <t>KRAV-AUTO-000045</t>
  </si>
  <si>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innan det bortskaffas är att betrakta som en deponi enligt 15 kap 5 a § i miljöbalken.</t>
  </si>
  <si>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t>
  </si>
  <si>
    <t>KRAV-AUTO-000046</t>
  </si>
  <si>
    <t>Se till att allt avfall (se bilaga 2), i form av sten, betong, asfalt och grenar, som finns på gårdsplanen på fastigheten Hanarp 1:4 tas bort.</t>
  </si>
  <si>
    <t>http://localhost:8787/api/admin/requirements/documents/cmm4yumy5006bcuqwtam8nvjw/view</t>
  </si>
  <si>
    <t>KRAV-AUTO-000047</t>
  </si>
  <si>
    <t>cmm4yumy5006bcuqwtam8nvjw</t>
  </si>
  <si>
    <t>Deponin skall enligt delegationsbeslut 14/2011 (Salems kommun 2011-09-07) ha en provtagningsplan för kontroll av lakvatten.</t>
  </si>
  <si>
    <t>KRAV-AUTO-000048</t>
  </si>
  <si>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2023-04-14 Utskriftsdatum: 2023-04-25 Provmärkning: Deponi 1:301 Analys Resultat Enhet Metod/ref Mäto.</t>
  </si>
  <si>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t>
  </si>
  <si>
    <t>KRAV-AUTO-000049</t>
  </si>
  <si>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2023-10-13 Utskriftsdatum: 2023-10-24 Provmärkning: Deponi 1:301 Analys Resultat Enhet Metod/ref Mäto.</t>
  </si>
  <si>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t>
  </si>
  <si>
    <t>http://localhost:8787/api/admin/requirements/documents/cmm4yumw9004hcuqw61waiecf/view</t>
  </si>
  <si>
    <t>KRAV-AUTO-000050</t>
  </si>
  <si>
    <t>cmm4yumw9004hcuqw61waiecf</t>
  </si>
  <si>
    <t>KRAV-AUTO-000051</t>
  </si>
  <si>
    <t>KRAV-AUTO-000052</t>
  </si>
  <si>
    <t>• Uppkomst av avfall ska i första hand förebyggas.</t>
  </si>
  <si>
    <t>http://localhost:8787/api/admin/requirements/documents/cmm4yumvl003wcuqwuzlxnesd/view</t>
  </si>
  <si>
    <t>KRAV-AUTO-000053</t>
  </si>
  <si>
    <t>cmm4yumvl003wcuqwuzlxnesd</t>
  </si>
  <si>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Avfallskoder Förstår.</t>
  </si>
  <si>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t>
  </si>
  <si>
    <t>KRAV-AUTO-000054</t>
  </si>
  <si>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</si>
  <si>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t>
  </si>
  <si>
    <t>KRAV-AUTO-000055</t>
  </si>
  <si>
    <t>TransportLogistik</t>
  </si>
  <si>
    <t>Transportvagar</t>
  </si>
  <si>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Natalie Öman &lt;Natalie.Oman@haparanda.se&gt; Skickat: Thursday, November 27, 2025 1:41:00 PM Till: Krister Asplund &lt;krister@asplundslast.se&gt; Kopia: Mia Jakobsson &lt;Miia.Jakobsson@haparanda.se&gt; Ämne: Sv: Avfallskoder Hej Tack för detta!</t>
  </si>
  <si>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t>
  </si>
  <si>
    <t>http://localhost:8787/api/admin/requirements/documents/cmm4yumy20068cuqw8jecwk4u/view</t>
  </si>
  <si>
    <t>KRAV-AUTO-000056</t>
  </si>
  <si>
    <t>cmm4yumy20068cuqw8jecwk4u</t>
  </si>
  <si>
    <t>-- 3 of 5 -- 4 Kontrollprogram Provtagning och analys av lakvatten från deponin skall utföras två gånger per år (Tabell 1).</t>
  </si>
  <si>
    <t>KRAV-AUTO-000057</t>
  </si>
  <si>
    <t>Deponin skall enligt beslut med Dnr 2009/0386 ha en provtagningsplan för kontroll av lakvatten.</t>
  </si>
  <si>
    <t>KRAV-AUTO-000058</t>
  </si>
  <si>
    <t>Kontrollprogrammet skall revideras vart tredje år.</t>
  </si>
  <si>
    <t>http://localhost:8787/api/admin/requirements/documents/cmm4yumxj005ncuqwcvbtnwbe/view</t>
  </si>
  <si>
    <t>KRAV-AUTO-000059</t>
  </si>
  <si>
    <t>cmm4yumxj005ncuqwcvbtnwbe</t>
  </si>
  <si>
    <t>KRAV-AUTO-000060</t>
  </si>
  <si>
    <t>KRAV-AUTO-000061</t>
  </si>
  <si>
    <t>http://localhost:8787/api/admin/requirements/documents/cmm4yumvs0042cuqw49d8jgsb/view</t>
  </si>
  <si>
    <t>KRAV-AUTO-000062</t>
  </si>
  <si>
    <t>cmm4yumvs0042cuqw49d8jgsb</t>
  </si>
  <si>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arbetstider, ange start- och slutdatum Ö &gt; 20 me a 3/12 -24- 2 7 Fyllnadshöjd (m) Avfallets ursprung em &amp; nh k j Jo "4 6 oe = Om avfallet kommer från rivning av byggnad, vad har byggnaden tidigare använts till?</t>
  </si>
  <si>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t>
  </si>
  <si>
    <t>KRAV-AUTO-000063</t>
  </si>
  <si>
    <t>Oman Jögsgar 25 Beskriv vilken behandling som ska ske av avfallet innan användning, t.ex.</t>
  </si>
  <si>
    <t>KRAV-AUTO-000064</t>
  </si>
  <si>
    <t>http://localhost:8787/api/admin/requirements/documents/cmm4yumvf003qcuqwql1iswbe/view</t>
  </si>
  <si>
    <t>KRAV-AUTO-000065</t>
  </si>
  <si>
    <t>cmm4yumvf003qcuqwql1iswbe</t>
  </si>
  <si>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</si>
  <si>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
  </si>
  <si>
    <t>http://localhost:8787/api/admin/requirements/documents/cmm4yumwt004zcuqwyk3bvtfw/view</t>
  </si>
  <si>
    <t>KRAV-AUTO-000066</t>
  </si>
  <si>
    <t>cmm4yumwt004zcuqwyk3bvtfw</t>
  </si>
  <si>
    <t>KRAV-AUTO-000067</t>
  </si>
  <si>
    <t>KRAV-AUTO-000068</t>
  </si>
  <si>
    <t>http://localhost:8787/api/admin/requirements/documents/cmm4yumxo005tcuqwriyqkzvz/view</t>
  </si>
  <si>
    <t>KRAV-AUTO-000069</t>
  </si>
  <si>
    <t>cmm4yumxo005tcuqwriyqkzvz</t>
  </si>
  <si>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Västervik Västervik 3:1 – Förbud att anmäld miljöfarlig verksamhet inte får påbörjas förrän miljö- och byggnadsnämnden fattat beslut i ärendet Beslut Miljö- och byggnadsnämnden beslutar att den anmälda miljöfarliga verksamheten, i form av mellanlagring av massor från arbete på Stora Trädgårdsgatan, på fastigheten Västervik 3:1 tills vidare inte får påbörjas.</t>
  </si>
  <si>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t>
  </si>
  <si>
    <t>http://localhost:8787/api/admin/requirements/documents/cmm4yumy00065cuqwb9q5fm5z/view</t>
  </si>
  <si>
    <t>KRAV-AUTO-000070</t>
  </si>
  <si>
    <t>cmm4yumy00065cuqwb9q5fm5z</t>
  </si>
  <si>
    <t>Det organiska och brännbara avfallet som lämnas på plats riskerar att orsaka lukter till närboende.</t>
  </si>
  <si>
    <t>KRAV-AUTO-000071</t>
  </si>
  <si>
    <t>Uppgifter om det farliga avfallet registreras i Naturvårdsverkets elektroniska register.</t>
  </si>
  <si>
    <t>http://localhost:8787/api/admin/requirements/documents/cmm4yumv4003hcuqw0spjrgud/view</t>
  </si>
  <si>
    <t>KRAV-AUTO-000072</t>
  </si>
  <si>
    <t>ADMIN-INDEX-2026-02-27-00000000125C043F57453246863FE664CAFE6A3F0700950291EA24F0614FB6ACEDB12BF0E31D00000000010C0000950291EA24F0614FB6ACEDB12BF0E31D00002087B5F30000</t>
  </si>
  <si>
    <t>cmm4yumv4003hcuqw0spjrgud</t>
  </si>
  <si>
    <t>MBN-2026-126-Övrigt-0840-106.pdf</t>
  </si>
  <si>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&lt;nike.handel@heidelbergmaterials.com&gt; Ämne: Sv: 0840-106 Hej Nike Enligt 43§ i Naturvårdsverkets föreskrifter NFS 2004:10 om deponering, kriterier och förfaranden för mottagning av avfall vid anläggningar för deponering av avfall så ska sättningar i deponin mätas årligen under deponins aktiva fas.</t>
  </si>
  <si>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t>
  </si>
  <si>
    <t>http://localhost:8787/api/admin/requirements/documents/cmm4yumue002wcuqwf5lxobhn/view</t>
  </si>
  <si>
    <t>KRAV-AUTO-000073</t>
  </si>
  <si>
    <t>ADMIN-INDEX-2026-02-27-00000000125C043F57453246863FE664CAFE6A3F0700950291EA24F0614FB6ACEDB12BF0E31D00000000010C0000950291EA24F0614FB6ACEDB12BF0E31D00002087B7B90000</t>
  </si>
  <si>
    <t>cmm4yumue002wcuqwf5lxobhn</t>
  </si>
  <si>
    <t>pdf Karlstads</t>
  </si>
  <si>
    <t>pdf Karlstads kommun</t>
  </si>
  <si>
    <t>Forelaggande</t>
  </si>
  <si>
    <t>MIL Föreläggande försiktighetsåtgärder (3).pdf</t>
  </si>
  <si>
    <t>För att inte lagringen ska riskera bidra till ett tillskott av näringsämnen och andra ämnen till omkringliggande åkermark, bör lagringen ske så att avrinning av bildat näringsrikt lakvatten minimeras.</t>
  </si>
  <si>
    <t>KRAV-AUTO-000074</t>
  </si>
  <si>
    <t>Avfallet får enligt denna punkt inte mellanlagras under längre tid än ett år innan det bortskaffas, eller under längre tid än tre år innan det behandlas eller återvinns.</t>
  </si>
  <si>
    <t>KRAV-AUTO-000075</t>
  </si>
  <si>
    <t>Lagringsplatsen ska utformas och slam lagras på så sätt att lakvatten undviks att hamna utanför lagringsplatsen.</t>
  </si>
  <si>
    <t>http://localhost:8787/api/admin/requirements/documents/cmm4yumu7002qcuqwgspvpbfl/view</t>
  </si>
  <si>
    <t>KRAV-AUTO-000076</t>
  </si>
  <si>
    <t>cmm4yumu7002qcuqwgspvpbfl</t>
  </si>
  <si>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exempelvis invalhiing, och så vidare) Uppkommer proccssavloppsl ätten från verksamheten?E] Ja 181Nq (Mcd prag ssavloppsvatten a\ scs a\lappsvzittcn som år direkt knutet till\crksai\lhct, exempelvis från en tvälthall) Mängd processavloppsvattcn(m'/år) (Uppskatta mängden om du inte har exakta uppgitEcr.</t>
  </si>
  <si>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t>
  </si>
  <si>
    <t>KRAV-AUTO-000077</t>
  </si>
  <si>
    <t>batterier, förbrukad absol, lösningsmedel, färgrester, tryckimpregnerat träavfallmcd mera Farligt avfallsom kan uppkomma i verksamheten Råvaror och kemiska produkter Hanrelas kemikalier?</t>
  </si>
  <si>
    <t>http://localhost:8787/api/admin/requirements/documents/cmm4yumu4002ncuqwsv6yg2uz/view</t>
  </si>
  <si>
    <t>KRAV-AUTO-000078</t>
  </si>
  <si>
    <t>ADMIN-INDEX-2026-02-27-00000000125C043F57453246863FE664CAFE6A3F0700950291EA24F0614FB6ACEDB12BF0E31D00000000010C0000950291EA24F0614FB6ACEDB12BF0E31D00002087B7BA0000</t>
  </si>
  <si>
    <t>cmm4yumu4002ncuqwsv6yg2uz</t>
  </si>
  <si>
    <t>Miljö-2024-62-1_Bilaga 2. Fullständiga analysprotokoll.pdf</t>
  </si>
  <si>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 of 36 -- 2 av 12 : Sida Ordernummer : : Kund ST2119023 Lektus Samhällsbyggnad i Malmö Analysresultat BH 1:1 Provbeteckning Matris: JORD Laboratoriets provnummer ST2119023-001 2021-07-08 Provtagningsdatum / tid Resultat Enhet LOR Parameter MU Metod Utf.</t>
  </si>
  <si>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</si>
  <si>
    <t>KRAV-AUTO-000079</t>
  </si>
  <si>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-- 31 of 36 -- 2 av 6 : Sida Ordernummer : : Kund ST2201002 Lektus Samhällsbyggnad i Malmö Analysresultat BH-31:1 Provbeteckning Matris: JORD Laboratoriets provnummer ST2201002-001 ej specificerad Provtagningsdatum / tid Resultat Enhet LOR Parameter MU Metod Utf.</t>
  </si>
  <si>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</si>
  <si>
    <t>KRAV-AUTO-000080</t>
  </si>
  <si>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-- 13 of 36 -- 2 av 18 : Sida Ordernummer : : Kund ST2137606 Lektus Samhällsbyggnad i Malmö Analysresultat 21LE01 M3 Provbeteckning Matris: JORD Laboratoriets provnummer ST2137606-001 ej specificerad Provtagningsdatum / tid Resultat Enhet LOR Parameter MU Metod Utf.</t>
  </si>
  <si>
    <t>http://localhost:8787/api/admin/requirements/documents/cmm4yumu1002kcuqwpkcrq7uf/view</t>
  </si>
  <si>
    <t>KRAV-AUTO-000081</t>
  </si>
  <si>
    <t>cmm4yumu1002kcuqwpkcrq7uf</t>
  </si>
  <si>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Beställare Lunds kommun Robert Thylander -- 3 of 10 -- 3 (9) 1 (7) Miljöteknisk markundersökning Hasslanda II och IV Lunds kommun 1 Sammanfattning Lektus har på uppdrag av Lunds kommun genomfört en miljöteknisk markundersökning på området Hasslanda II och IV, Lund.</t>
  </si>
  <si>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t>
  </si>
  <si>
    <t>KRAV-AUTO-000082</t>
  </si>
  <si>
    <t>LOW</t>
  </si>
  <si>
    <t>Utdrag ur historiska flygbilder 6.</t>
  </si>
  <si>
    <t>KRAV-AUTO-000083</t>
  </si>
  <si>
    <t>Provtagning och sondering utfördes med borrbandvagn av typen Geomachine 65 (GM 65).</t>
  </si>
  <si>
    <t>http://localhost:8787/api/admin/requirements/documents/cmm4yumtx002hcuqwv0inhjgk/view</t>
  </si>
  <si>
    <t>KRAV-AUTO-000084</t>
  </si>
  <si>
    <t>cmm4yumtx002hcuqwv0inhjgk</t>
  </si>
  <si>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 anläggningen är inritad Karta där följande är inritat 3 st Bilaga 2 närmaste bostads- och fritidshus närmaste vattentäkt (kommunal eller privat) närmaste sjö, vattendrag, dike transportvägar Eventuella analysresultat från provtagning av materialet Kommer in med dessa nor Platren som matit dein sha komma iträn är Desteind Eventuella handlingar som styrker anläggningens syfte.</t>
  </si>
  <si>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t>
  </si>
  <si>
    <t>KRAV-AUTO-000085</t>
  </si>
  <si>
    <t>(m²) Ca 10000 m² Total mängd avfall som ska användas Mat jord Även avfallsmängd för respektive avfallsslag ska ton 9500 redovisas, se Bilaga 1.</t>
  </si>
  <si>
    <t>KRAV-AUTO-000086</t>
  </si>
  <si>
    <t>Med avfall, återvinna avfall, förbereda avfall för återanvändning, materialåtervinna avfall, bortskaffa avfall, samla in avfall och uttjänt bil är definitionen i 29 kap miljöprövningsförordningen detsamma som i 15 kap miljöbalken.</t>
  </si>
  <si>
    <t>http://localhost:8787/api/admin/requirements/documents/cmm4yumtu002ecuqw10ynlboe/view</t>
  </si>
  <si>
    <t>KRAV-AUTO-000087</t>
  </si>
  <si>
    <t>cmm4yumtu002ecuqw10ynlboe</t>
  </si>
  <si>
    <t>• Halterna i de jordmassor som tillförs fastigheten får inte överstiga MRR (mindre än ringa risk) enligt riktvärden för föroreningshaltnivåer i avfall samt urlakning beskrivna i Naturvårdsverkets handbok 2010:1.</t>
  </si>
  <si>
    <t>KRAV-AUTO-000088</t>
  </si>
  <si>
    <t>Redovisningen ska innehålla en sammanställning av mängder av fyllnadsmassor som tagits emot (angivet i ton), vilket datum som massorna togs emot, på vilken fastighet massorna uppstått samt från vem massorna kommer ifrån eller vilka som levererat massorna.</t>
  </si>
  <si>
    <t>KRAV-AUTO-000089</t>
  </si>
  <si>
    <t>Bedömning av jordmassor samt provtagning och analys av massor, ska redovisas också efter varje delprojekt.</t>
  </si>
  <si>
    <t>http://localhost:8787/api/admin/requirements/documents/cmm4yumtr002bcuqweaexxv26/view</t>
  </si>
  <si>
    <t>KRAV-AUTO-000090</t>
  </si>
  <si>
    <t>cmm4yumtr002bcuqweaexxv26</t>
  </si>
  <si>
    <t>KRAV-AUTO-000091</t>
  </si>
  <si>
    <t>Massorna som planeras att återvinnas, ska inte innehålla halter som bedöms kunna utgöra en risk för omgivningen.</t>
  </si>
  <si>
    <t>KRAV-AUTO-000092</t>
  </si>
  <si>
    <t>Således får inte överskottmassor läggas upp i syfte att enbart göra sig av med avfallsmassor som har blivit över från ett projekt.</t>
  </si>
  <si>
    <t>http://localhost:8787/api/admin/requirements/documents/cmm4yumto0028cuqwa3zbe3lz/view</t>
  </si>
  <si>
    <t>KRAV-AUTO-000093</t>
  </si>
  <si>
    <t>cmm4yumto0028cuqwa3zbe3lz</t>
  </si>
  <si>
    <t>• Samtliga massor som tas emot ska ha provtagits av sakkunnig och analyserats på ackrediterat laboratorium med avseende på PAH, alifater, aromater, BTEX och metaller.</t>
  </si>
  <si>
    <t>KRAV-AUTO-000094</t>
  </si>
  <si>
    <t>Detta inkluderar riktlinjer för hur avfall som används för anläggningsändamål ska lagras och behandlas för att minimera risken för föroreningar av mark och vatten.</t>
  </si>
  <si>
    <t>KRAV-AUTO-000095</t>
  </si>
  <si>
    <t>Det innebär att verksamheten måste säkerställa att avfallet hanteras och återvinns utan risk för förorening av mark och vatten, vilket är i linje med de krav som ställs i 2 kap.</t>
  </si>
  <si>
    <t>http://localhost:8787/api/admin/requirements/documents/cmm4yumtk0025cuqwwumnd3qr/view</t>
  </si>
  <si>
    <t>KRAV-AUTO-000096</t>
  </si>
  <si>
    <t>cmm4yumtk0025cuqwwumnd3qr</t>
  </si>
  <si>
    <t>• Samtliga massor som tas emot ska ha provtagits av sakkunnig och analyserats på ackrediterat laboratorium med avseende på relevanta föroreningar baserat på massornas ursprung.</t>
  </si>
  <si>
    <t>KRAV-AUTO-000097</t>
  </si>
  <si>
    <t>• En sammanställning av mottagna fyllnadsmassor, inklusive mängder (angivet i ton), datum för mottagande, ursprunglig fastighet samt leverantör, ska skickas in till -- 1 of 4 -- Sida 2 av 4 Stadsbyggnadsnämnden senast tre månader efter att åtgärden har avslutats.</t>
  </si>
  <si>
    <t>KRAV-AUTO-000098</t>
  </si>
  <si>
    <t>Parametrar som ska analyseras inkluderar metaller och, vid behov, PAH eller andra ämnen beroende på riskbedömning.</t>
  </si>
  <si>
    <t>http://localhost:8787/api/admin/requirements/documents/cmm4yumth0022cuqwdpqgpa6h/view</t>
  </si>
  <si>
    <t>KRAV-AUTO-000099</t>
  </si>
  <si>
    <t>cmm4yumth0022cuqwdpqgpa6h</t>
  </si>
  <si>
    <t>• Samtliga massor som tas emot ska vara provtagna av sakkunnig och analyserade på ackrediterat laboratorium med avseende på metaller, PAH, alifater och aromater.</t>
  </si>
  <si>
    <t>KRAV-AUTO-000100</t>
  </si>
  <si>
    <t>Redovisningen ska innehålla uppgifter om: o mängder (i ton), o ursprunglig fastighet, o leverantör, o resultat från provtagning och analyser, o samt eventuella avvikelser från planerat arbete och åtgärder som vidtagits.</t>
  </si>
  <si>
    <t>KRAV-AUTO-000101</t>
  </si>
  <si>
    <t>Rivningsavfall, byggavfall eller liknande får inte tillföras.</t>
  </si>
  <si>
    <t>http://localhost:8787/api/admin/requirements/documents/cmm4yumtd001zcuqwggjdrutg/view</t>
  </si>
  <si>
    <t>KRAV-AUTO-000102</t>
  </si>
  <si>
    <t>cmm4yumtd001zcuqwggjdrutg</t>
  </si>
  <si>
    <t>• Slutrapport: En sammanställning av mottagna fyllnadsmassor, inklusive mängder (angivet i ton), datum för mottagande, ursprunglig fastighet samt leverantör, ska skickas in till Stadsbyggnadsnämnden senast tre månader efter att åtgärden har avslutats.</t>
  </si>
  <si>
    <t>KRAV-AUTO-000103</t>
  </si>
  <si>
    <t>Dessa massor ska användas för täckning av bullervallen, vilket bedöms som en låg miljörisk.</t>
  </si>
  <si>
    <t>KRAV-AUTO-000104</t>
  </si>
  <si>
    <t>Detta kan innefatta användning av tätande material eller avskärmande konstruktioner för att minimera risken för föroreningsspridning.</t>
  </si>
  <si>
    <t>http://localhost:8787/api/admin/requirements/documents/cmm4yumta001wcuqw6fy3f4r4/view</t>
  </si>
  <si>
    <t>KRAV-AUTO-000105</t>
  </si>
  <si>
    <t>cmm4yumta001wcuqw6fy3f4r4</t>
  </si>
  <si>
    <t>Redogörelse för ärendet Tekniska avdelningen på Staffanstorps kommun har inkommit till Stadsbyggnadsnämnden med en anmälan enligt miljöbalken om mellanlagring av avfall inom fastigheten Borggård 1:4.</t>
  </si>
  <si>
    <t>KRAV-AUTO-000106</t>
  </si>
  <si>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Borggård 1:4.</t>
  </si>
  <si>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t>
  </si>
  <si>
    <t>KRAV-AUTO-000107</t>
  </si>
  <si>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Staffanstorps kommun, org.nr 212000 – 1017, med de inlämnade handlingarna och kompletteringar, har fullgjort sin anmälningsplikt enligt 10 § miljöprövningsförordning (2013:251).</t>
  </si>
  <si>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t>
  </si>
  <si>
    <t>http://localhost:8787/api/admin/requirements/documents/cmm4yumt7001tcuqwlo8pv8ex/view</t>
  </si>
  <si>
    <t>KRAV-AUTO-000108</t>
  </si>
  <si>
    <t>cmm4yumt7001tcuqwlo8pv8ex</t>
  </si>
  <si>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 Gullåkra 6:25 Beslut Stadsbyggnadsnämnden förelägger, med stöd av 2 kap.</t>
  </si>
  <si>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t>
  </si>
  <si>
    <t>KRAV-AUTO-000109</t>
  </si>
  <si>
    <t>KRAV-AUTO-000110</t>
  </si>
  <si>
    <t>Slutrapporten ska bland annat innehålla information om eventuella avvikelser från anmälan, provtagningsresultat och transportörer.</t>
  </si>
  <si>
    <t>http://localhost:8787/api/admin/requirements/documents/cmm4yumsy001kcuqwowdjeo8k/view</t>
  </si>
  <si>
    <t>KRAV-AUTO-000111</t>
  </si>
  <si>
    <t>cmm4yumsy001kcuqwowdjeo8k</t>
  </si>
  <si>
    <t>Mottagningskontroll ska ske enligt i anmälan bifogat kontrollprogram.</t>
  </si>
  <si>
    <t>KRAV-AUTO-000112</t>
  </si>
  <si>
    <t>Provtagning ska utföras av en person som är väl förtrogen med provtagning.</t>
  </si>
  <si>
    <t>KRAV-AUTO-000113</t>
  </si>
  <si>
    <t>Saknas dokumentation eller om massornas innehåll inte är känt ska provtagning utföras.</t>
  </si>
  <si>
    <t>http://localhost:8787/api/admin/requirements/documents/cmm4yumsv001hcuqwrfu6fkd3/view</t>
  </si>
  <si>
    <t>KRAV-AUTO-000114</t>
  </si>
  <si>
    <t>cmm4yumsv001hcuqwrfu6fkd3</t>
  </si>
  <si>
    <t>Historiska flygfoton, EBH- karta.</t>
  </si>
  <si>
    <t>KRAV-AUTO-000115</t>
  </si>
  <si>
    <t>Avfallsproducenten måste även fylla i en digital mottagningsblankett/grundläggande karaktärisering som bland annat visar var och vilket typområde massorna kommer från så att Massoptimering får indikation på om det kan behövas ytterligare provtagning.</t>
  </si>
  <si>
    <t>KRAV-AUTO-000116</t>
  </si>
  <si>
    <t>Regional provtagning från Sveriges geologiska undersökning 4.</t>
  </si>
  <si>
    <t>http://localhost:8787/api/admin/requirements/documents/cmm4yumrq000kcuqwwxn5bzwo/view</t>
  </si>
  <si>
    <t>KRAV-AUTO-000117</t>
  </si>
  <si>
    <t>cmm4yumrq000kcuqwwxn5bzwo</t>
  </si>
  <si>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</si>
  <si>
    <t>http://localhost:8787/api/admin/requirements/documents/cmm4yumrn000hcuqwgfvsaief/view</t>
  </si>
  <si>
    <t>KRAV-AUTO-000118</t>
  </si>
  <si>
    <t>cmm4yumrn000hcuqwgfvsaief</t>
  </si>
  <si>
    <t>Historiska flygbilder.pdf, Bilaga 6.</t>
  </si>
  <si>
    <t>http://localhost:8787/api/admin/requirements/documents/cmm4yumrk000ecuqwf7aep1lm/view</t>
  </si>
  <si>
    <t>KRAV-AUTO-000119</t>
  </si>
  <si>
    <t>cmm4yumrk000ecuqwf7aep1lm</t>
  </si>
  <si>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fritidshus Ο närmaste vattentäkt (kommunal eller privat) Ο närmaste sjö, vattendrag, dike transportvägar Eventuella analysresultat från provtagning av materialet Eventuella handlingar som styrker anläggningens syfte.</t>
  </si>
  <si>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t>
  </si>
  <si>
    <t>KRAV-AUTO-000120</t>
  </si>
  <si>
    <t>(m²) 67000m2 Total mängd avfall som ska användas Även avfallsmängd för respektive avfallsslag ska ton 40000 redovisas, se Bilaga 1.</t>
  </si>
  <si>
    <t>KRAV-AUTO-000121</t>
  </si>
  <si>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anläggningsprojektet ka50st Staffanstorps kommun Bilaga 1 – Mängd avfall för respektive avfallsslag Avfallsslag Ex: Betong Jord Avfallskod 17 01 01 170504 ton 2,4 ca 40000 m³ 1 Ca 27000 7 (7) ipes väg Johan Anders väg Johan Anders väg Staffanstorp Särslöv 7:8 Det sträcka Området Ska täckas med jord.</t>
  </si>
  <si>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t>
  </si>
  <si>
    <t>http://localhost:8787/api/admin/requirements/documents/cmm4yumrg000bcuqwghi5yoch/view</t>
  </si>
  <si>
    <t>KRAV-AUTO-000122</t>
  </si>
  <si>
    <t>cmm4yumrg000bcuqwghi5yoch</t>
  </si>
  <si>
    <t>Utdrag ur historiska flygbilder från år 2001 (nedan till vänster) och år 2007 (nedan till höger) ©Lantmäteriet.</t>
  </si>
  <si>
    <t>KRAV-AUTO-000123</t>
  </si>
  <si>
    <t>2001 2007 PAH-förorenat delområde PAH-förorenat delområde -- 1 of 4 -- Utdrag ur historiska flygbilder från år 2010 (nedan till vänster) och år 2012 (nedan till höger) ©Lantmäteriet.</t>
  </si>
  <si>
    <t>KRAV-AUTO-000124</t>
  </si>
  <si>
    <t>2010 2012 PAH-förorenat delområde PAH-förorenat delområde -- 2 of 4 -- Utdrag ur historiska flygbilder från år 2014 (nedan till vänster) och år 2016 (nedan till höger) ©Lantmäteriet.</t>
  </si>
  <si>
    <t>http://localhost:8787/api/admin/requirements/documents/cmm4yupsi02xhcuqwgbgcjc0r/view</t>
  </si>
  <si>
    <t>KRAV-AUTO-000125</t>
  </si>
  <si>
    <t>ADMIN-INDEX-2026-02-27-00000000125C043F57453246863FE664CAFE6A3F0700950291EA24F0614FB6ACEDB12BF0E31D00000000010C0000950291EA24F0614FB6ACEDB12BF0E31D00002087AE560000</t>
  </si>
  <si>
    <t>cmm4yupsi02xhcuqwgbgcjc0r</t>
  </si>
  <si>
    <t>Säkerhetsdatablad Nordic Shampoo.pdf</t>
  </si>
  <si>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</si>
  <si>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</si>
  <si>
    <t>KRAV-AUTO-000126</t>
  </si>
  <si>
    <t>AFS 2014:43 Kemiska arbetsmiljörisker.</t>
  </si>
  <si>
    <t>KRAV-AUTO-000127</t>
  </si>
  <si>
    <t>Andra lagar: AFS 2011:19 Kemiska arbetsmiljörisker.</t>
  </si>
  <si>
    <t>http://localhost:8787/api/admin/requirements/documents/cmm4yuq2p036zcuqwaceu4qia/view</t>
  </si>
  <si>
    <t>KRAV-AUTO-000128</t>
  </si>
  <si>
    <t>ADMIN-INDEX-2026-02-27-00000000125C043F57453246863FE664CAFE6A3F0700950291EA24F0614FB6ACEDB12BF0E31D00000000010C0000950291EA24F0614FB6ACEDB12BF0E31D00002087AE390000</t>
  </si>
  <si>
    <t>cmm4yuq2p036zcuqwaceu4qia</t>
  </si>
  <si>
    <t>Lilla Edets</t>
  </si>
  <si>
    <t>Lilla Edets kommun</t>
  </si>
  <si>
    <t>MB-2024-625-1 13.3 Miljöteknisk markundersökning.pdf</t>
  </si>
  <si>
    <t>Proverna uttogs i provtagningskärl tillhandahållna av laboratoriet.</t>
  </si>
  <si>
    <t>KRAV-AUTO-000129</t>
  </si>
  <si>
    <t>2.5 Historiska kartor Historisk markanvändning inom det aktuella området har undersökts genom att studera historiska flygfoton från Lantmäteriet1 (Lantmäteriet, 2024).</t>
  </si>
  <si>
    <t>KRAV-AUTO-000130</t>
  </si>
  <si>
    <t>8 2.5 Historiska kartor ..................................................................................................................</t>
  </si>
  <si>
    <t>http://localhost:8787/api/admin/requirements/documents/cmm4yuqbf03fecuqw8hit9x13/view</t>
  </si>
  <si>
    <t>KRAV-AUTO-000131</t>
  </si>
  <si>
    <t>ADMIN-INDEX-2026-02-27-00000000125C043F57453246863FE664CAFE6A3F0700950291EA24F0614FB6ACEDB12BF0E31D00000000010C0000950291EA24F0614FB6ACEDB12BF0E31D00002087AE050000</t>
  </si>
  <si>
    <t>cmm4yuqbf03fecuqw8hit9x13</t>
  </si>
  <si>
    <t>i Huddinge</t>
  </si>
  <si>
    <t>i Huddinge kommun</t>
  </si>
  <si>
    <t>M-2025-2937 Beslut om föreläggande försiktighetsmått.pdf</t>
  </si>
  <si>
    <t>Den mängd avfall som återvinns eller bortskaffas årligen iv.</t>
  </si>
  <si>
    <t>KRAV-AUTO-000132</t>
  </si>
  <si>
    <t>Förvaring och hantering av avfall, material, gods och maskiner ska ske på ett sätt som minimerar utsläpp av föroreningar till dagvatten och avlopp.</t>
  </si>
  <si>
    <t>KRAV-AUTO-000133</t>
  </si>
  <si>
    <t>Flytande farligt avfall ska förvaras i spillsäker invallning som rymmer hela volymen av den största behållaren plus 10 procent av resterande behållares volym.</t>
  </si>
  <si>
    <t>http://localhost:8787/api/admin/requirements/documents/cmm4yuqq103u2cuqwxq5c1oxv/view</t>
  </si>
  <si>
    <t>KRAV-AUTO-000134</t>
  </si>
  <si>
    <t>ADMIN-INDEX-2026-02-27-00000000125C043F57453246863FE664CAFE6A3F0700950291EA24F0614FB6ACEDB12BF0E31D00000000010C0000950291EA24F0614FB6ACEDB12BF0E31D00002087A5DB0000</t>
  </si>
  <si>
    <t>cmm4yuqq103u2cuqwxq5c1oxv</t>
  </si>
  <si>
    <t>Hässleholms</t>
  </si>
  <si>
    <t>Hässleholms kommun</t>
  </si>
  <si>
    <t>M-2025-1599 - MFV C-verksamhet.pdf</t>
  </si>
  <si>
    <t>All förvaring av kemiska produkter och farligt avfall ska ske på yta som är tät och beständig mot de produkter och det avfall som lagras, invallad samt skyddad från nederbörd och dagvatten.</t>
  </si>
  <si>
    <t>KRAV-AUTO-000135</t>
  </si>
  <si>
    <t>Mängden farligt avfall, i detta fall katalysatorer, får inte vid något tillfälle uppgå till mer än 1 ton.</t>
  </si>
  <si>
    <t>KRAV-AUTO-000136</t>
  </si>
  <si>
    <t>Anläggningen ska vara försedd med brandsläckningsutrustning anpassad för den mängd och typ avfall som lagras.</t>
  </si>
  <si>
    <t>http://localhost:8787/api/admin/requirements/documents/cmm4yuq1i035tcuqwll7f5gf1/view</t>
  </si>
  <si>
    <t>KRAV-AUTO-000137</t>
  </si>
  <si>
    <t>cmm4yuq1i035tcuqwll7f5gf1</t>
  </si>
  <si>
    <t>(Bland annat analysrapporter och provtagningsplan från provtagning av massorna i skredsäkringsområdet och analysrapporter och provtagningsplan från provtagningar i planerat arbetsområde.) Handlingarna bör vara miljöenheten till handa senast 7 augusti 2024.</t>
  </si>
  <si>
    <t>KRAV-AUTO-000138</t>
  </si>
  <si>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</si>
  <si>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</si>
  <si>
    <t>http://localhost:8787/api/admin/requirements/documents/cmm4yuq0f034qcuqwmjrrurc0/view</t>
  </si>
  <si>
    <t>KRAV-AUTO-000139</t>
  </si>
  <si>
    <t>cmm4yuq0f034qcuqwmjrrurc0</t>
  </si>
  <si>
    <t>Tillfällig VA 11.1 Finns det tekniska hjälpmedel att tillgå för att undvika ergonomiska risker?</t>
  </si>
  <si>
    <t>http://localhost:8787/api/admin/requirements/documents/cmm4yuq04034hcuqwue9hvqhc/view</t>
  </si>
  <si>
    <t>KRAV-AUTO-000140</t>
  </si>
  <si>
    <t>ADMIN-INDEX-2026-02-27-00000000125C043F57453246863FE664CAFE6A3F0700950291EA24F0614FB6ACEDB12BF0E31D00000000010C0000950291EA24F0614FB6ACEDB12BF0E31D00002087AE3A0000</t>
  </si>
  <si>
    <t>cmm4yuq04034hcuqwue9hvqhc</t>
  </si>
  <si>
    <t>MB-2024-625-7 13.3 Miljöteknisk markundersökning m bilagor.pdf</t>
  </si>
  <si>
    <t>KRAV-AUTO-000141</t>
  </si>
  <si>
    <t>KRAV-AUTO-000142</t>
  </si>
  <si>
    <t>http://localhost:8787/api/admin/requirements/documents/cmm4yur13043ncuqw78adtuo1/view</t>
  </si>
  <si>
    <t>KRAV-AUTO-000143</t>
  </si>
  <si>
    <t>ADMIN-INDEX-2026-02-27-00000000125C043F57453246863FE664CAFE6A3F0700950291EA24F0614FB6ACEDB12BF0E31D00000000010C0000950291EA24F0614FB6ACEDB12BF0E31D00002087A5BD0000</t>
  </si>
  <si>
    <t>cmm4yur13043ncuqw78adtuo1</t>
  </si>
  <si>
    <t>Miljöprövningsdelegationen Jokkmokks</t>
  </si>
  <si>
    <t>Miljöprövningsdelegationen Jokkmokks kommun</t>
  </si>
  <si>
    <t>Beslut(26289851) (0)_TMP.pdf</t>
  </si>
  <si>
    <t>Kemikalier, petroleumprodukter och farligt avfall ska förvaras i täta behållare på tät, invallad yta, som är skyddad från nederbörd.</t>
  </si>
  <si>
    <t>KRAV-AUTO-000144</t>
  </si>
  <si>
    <t>Behållare ska skyddas mot påkörning och vid förvaring utomhus ska invallningen vara skyddad mot nederbörd.</t>
  </si>
  <si>
    <t>KRAV-AUTO-000145</t>
  </si>
  <si>
    <t>Lagring av flytande miljö- och hälsofarliga kemiska produkter och flytande farligt avfall ska ske på tät invallad yta eller med motsvarande typ av säkerhetssystem för uppsamling av vätska.</t>
  </si>
  <si>
    <t>http://localhost:8787/api/admin/requirements/documents/cmm4yupzb033tcuqwp8c4w8jp/view</t>
  </si>
  <si>
    <t>KRAV-AUTO-000146</t>
  </si>
  <si>
    <t>cmm4yupzb033tcuqwp8c4w8jp</t>
  </si>
  <si>
    <t>Dokument: MB-2024-625-10 2024-10-14 Föreläggande om försiktighetsmått - Återanvändning av avfall för anläggningsändamål.pdf.</t>
  </si>
  <si>
    <t>http://localhost:8787/api/admin/requirements/documents/cmm4yupyt033ecuqwj5qe61qv/view</t>
  </si>
  <si>
    <t>KRAV-AUTO-000147</t>
  </si>
  <si>
    <t>cmm4yupyt033ecuqwj5qe61qv</t>
  </si>
  <si>
    <t>Den 16 februari meddelade Christian Berg att han önskar att dra tillbaka anmälan om användning av avfall för anläggningsändamål.</t>
  </si>
  <si>
    <t>KRAV-AUTO-000148</t>
  </si>
  <si>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</si>
  <si>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</si>
  <si>
    <t>http://localhost:8787/api/admin/requirements/documents/cmm4yupym0338cuqw5obas4kh/view</t>
  </si>
  <si>
    <t>KRAV-AUTO-000149</t>
  </si>
  <si>
    <t>cmm4yupym0338cuqw5obas4kh</t>
  </si>
  <si>
    <t>KRAV-AUTO-000150</t>
  </si>
  <si>
    <t>http://localhost:8787/api/admin/requirements/documents/cmm4yunmd00twcuqw2m7dyyg5/view</t>
  </si>
  <si>
    <t>KRAV-AUTO-000151</t>
  </si>
  <si>
    <t>ADMIN-INDEX-2026-02-27-00000000125C043F57453246863FE664CAFE6A3F0700950291EA24F0614FB6ACEDB12BF0E31D00000000010C0000950291EA24F0614FB6ACEDB12BF0E31D00002087B1790000</t>
  </si>
  <si>
    <t>cmm4yunmd00twcuqw2m7dyyg5</t>
  </si>
  <si>
    <t>MBNV-2024-602_2024-05-15_Anmälan.pdf</t>
  </si>
  <si>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fastställd taxa.</t>
  </si>
  <si>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t>
  </si>
  <si>
    <t>KRAV-AUTO-000152</t>
  </si>
  <si>
    <t>Ett av facken förses med väggar och tak (papp/kartong) för att skyddas mot nederbörd.</t>
  </si>
  <si>
    <t>http://localhost:8787/api/admin/requirements/documents/cmm4yuq3a037kcuqwpi0d7k4c/view</t>
  </si>
  <si>
    <t>KRAV-AUTO-000153</t>
  </si>
  <si>
    <t>ADMIN-INDEX-2026-02-27-00000000125C043F57453246863FE664CAFE6A3F0700950291EA24F0614FB6ACEDB12BF0E31D00000000010C0000950291EA24F0614FB6ACEDB12BF0E31D00002087AE340000</t>
  </si>
  <si>
    <t>cmm4yuq3a037kcuqwpi0d7k4c</t>
  </si>
  <si>
    <t>Analysresultat - Muraren 4.pdf</t>
  </si>
  <si>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</si>
  <si>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</si>
  <si>
    <t>KRAV-AUTO-000154</t>
  </si>
  <si>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</si>
  <si>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</si>
  <si>
    <t>KRAV-AUTO-000155</t>
  </si>
  <si>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</si>
  <si>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</si>
  <si>
    <t>http://localhost:8787/api/admin/requirements/documents/cmm4yur6y048tcuqwl5ag5aul/view</t>
  </si>
  <si>
    <t>KRAV-AUTO-000156</t>
  </si>
  <si>
    <t>ADMIN-INDEX-2026-02-27-00000000125C043F57453246863FE664CAFE6A3F0700950291EA24F0614FB6ACEDB12BF0E31D00000000010C0000950291EA24F0614FB6ACEDB12BF0E31D00002087A59A0000</t>
  </si>
  <si>
    <t>cmm4yur6y048tcuqwl5ag5aul</t>
  </si>
  <si>
    <t>MN-2025-455-4 Krossning.pdf</t>
  </si>
  <si>
    <t>Tanken från Hilbrands är att vi ska lasta betongen i Väderstad och transportera den till Gottorp och där på plats separera armeringen från betongen.</t>
  </si>
  <si>
    <t>KRAV-AUTO-000157</t>
  </si>
  <si>
    <t>Jag tog för givet att vi skulle klippa bort armeringen på betongen innan transport till Gottorp, nu var/är inte tanken att vi skulle göra detta.</t>
  </si>
  <si>
    <t>KRAV-AUTO-000158</t>
  </si>
  <si>
    <t>Från: Jan Fasching &lt;janne@hilbrands.se&gt; Skickat: den 11 mars 2025 20:00 Till: Jenny Asp Andersson &lt;jenny.asp.andersson@mjolby.se&gt; Ämne: Re: Komplettering av anmälan om Hej Jenny, Jag måste be om ursäkt men jag har helt missuppfattat min arbetsgivare.</t>
  </si>
  <si>
    <t>http://localhost:8787/api/admin/requirements/documents/cmm4yur5z047wcuqwz6szyfhk/view</t>
  </si>
  <si>
    <t>KRAV-AUTO-000159</t>
  </si>
  <si>
    <t>ADMIN-INDEX-2026-02-27-00000000125C043F57453246863FE664CAFE6A3F0700950291EA24F0614FB6ACEDB12BF0E31D00000000010C0000950291EA24F0614FB6ACEDB12BF0E31D00002087A59F0000</t>
  </si>
  <si>
    <t>cmm4yur5z047wcuqwz6szyfhk</t>
  </si>
  <si>
    <t>Åtvidabergs</t>
  </si>
  <si>
    <t>Åtvidabergs kommun</t>
  </si>
  <si>
    <t>MK-2025-452-6_Beslut_2025-11-14.pdf</t>
  </si>
  <si>
    <t>Lagring av flytande kemiska produkter och farligt avfall ska ske nederbördsskyddat i tät invallning.</t>
  </si>
  <si>
    <t>KRAV-AUTO-000160</t>
  </si>
  <si>
    <t>Invallningen ska rymma största behållarens volym plus 10 % av resterande behållares volym.</t>
  </si>
  <si>
    <t>KRAV-AUTO-000161</t>
  </si>
  <si>
    <t>5 § innebär att råvaror och energi ska användas så effektivt som möjligt så att förbrukningen och avfallet minimeras: Det som utvinns ur naturen ska återanvändas, återvinnas eller bortskaffas på ett miljöriktigt sätt.</t>
  </si>
  <si>
    <t>http://localhost:8787/api/admin/requirements/documents/cmm4yupya032zcuqwg8dfhwi7/view</t>
  </si>
  <si>
    <t>KRAV-AUTO-000162</t>
  </si>
  <si>
    <t>cmm4yupya032zcuqwg8dfhwi7</t>
  </si>
  <si>
    <t>Zonen utgör i stället en varningssignal och påminnelse om att iaktta särskild försiktighet och att omedelbart rapportera risk för vattenförorening med skadlig påverkan på vattenkvaliteten.</t>
  </si>
  <si>
    <t>http://localhost:8787/api/admin/requirements/documents/cmm4yupxq032hcuqwpnrsoo68/view</t>
  </si>
  <si>
    <t>KRAV-AUTO-000163</t>
  </si>
  <si>
    <t>cmm4yupxq032hcuqwpnrsoo68</t>
  </si>
  <si>
    <t>Uppskattning av använda mängder kan göras när projektet närmas sig sitt slut.</t>
  </si>
  <si>
    <t>KRAV-AUTO-000164</t>
  </si>
  <si>
    <t>Avfall och farligt avfall Skulle misstänkt förorenade massor upptäckas ska detta omedelbart anmälas till VD.</t>
  </si>
  <si>
    <t>KRAV-AUTO-000165</t>
  </si>
  <si>
    <t>Val och hantering av material och kemiska produkter Lagring av kemikalier ska ske brandsäkert samt utom räckhåll för obehöriga.</t>
  </si>
  <si>
    <t>http://localhost:8787/api/admin/requirements/documents/cmm4yupwf031ecuqwcuwsaack/view</t>
  </si>
  <si>
    <t>KRAV-AUTO-000166</t>
  </si>
  <si>
    <t>ADMIN-INDEX-2026-02-27-00000000125C043F57453246863FE664CAFE6A3F0700950291EA24F0614FB6ACEDB12BF0E31D00000000010C0000950291EA24F0614FB6ACEDB12BF0E31D00002087AE450000</t>
  </si>
  <si>
    <t>cmm4yupwf031ecuqwcuwsaack</t>
  </si>
  <si>
    <t>Anmälan miljöfarlig verksamhet v1.pdf</t>
  </si>
  <si>
    <t>Farligt avfall skall ej mellanlagras på området utan det skall omgående skickas på deponi.</t>
  </si>
  <si>
    <t>KRAV-AUTO-000167</t>
  </si>
  <si>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</si>
  <si>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</si>
  <si>
    <t>KRAV-AUTO-000168</t>
  </si>
  <si>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</si>
  <si>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</si>
  <si>
    <t>http://localhost:8787/api/admin/requirements/documents/cmm4yupvw030wcuqwlg1cpc8c/view</t>
  </si>
  <si>
    <t>KRAV-AUTO-000169</t>
  </si>
  <si>
    <t>ADMIN-INDEX-2026-02-27-00000000125C043F57453246863FE664CAFE6A3F0700950291EA24F0614FB6ACEDB12BF0E31D00000000010C0000950291EA24F0614FB6ACEDB12BF0E31D00002087AE460000</t>
  </si>
  <si>
    <t>cmm4yupvw030wcuqwlg1cpc8c</t>
  </si>
  <si>
    <t>Anmälan miljöfarlig verksamhet.pdf</t>
  </si>
  <si>
    <t>Inget farligt avfall skall mellanlagras på området utan det skall omgående skickas på deponi.</t>
  </si>
  <si>
    <t>KRAV-AUTO-000170</t>
  </si>
  <si>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</si>
  <si>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</si>
  <si>
    <t>KRAV-AUTO-000171</t>
  </si>
  <si>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</si>
  <si>
    <t>http://localhost:8787/api/admin/requirements/documents/cmm4yupvt030tcuqwrkkxc019/view</t>
  </si>
  <si>
    <t>KRAV-AUTO-000172</t>
  </si>
  <si>
    <t>cmm4yupvt030tcuqwrkkxc019</t>
  </si>
  <si>
    <t>KRAV-AUTO-000173</t>
  </si>
  <si>
    <t>KRAV-AUTO-000174</t>
  </si>
  <si>
    <t>http://localhost:8787/api/admin/requirements/documents/cmm4yuqnj03rhcuqw5kt2masi/view</t>
  </si>
  <si>
    <t>KRAV-AUTO-000175</t>
  </si>
  <si>
    <t>ADMIN-INDEX-2026-02-27-00000000125C043F57453246863FE664CAFE6A3F0700950291EA24F0614FB6ACEDB12BF0E31D00000000010C0000950291EA24F0614FB6ACEDB12BF0E31D00002087A5DC0000</t>
  </si>
  <si>
    <t>cmm4yuqnj03rhcuqw5kt2masi</t>
  </si>
  <si>
    <t>M-2025-2674 - Avskrivning.pdf</t>
  </si>
  <si>
    <t>De jordmassorna som innehåller parkslide ska deponeras på Vankiva avfallsanläggning.</t>
  </si>
  <si>
    <t>http://localhost:8787/api/admin/requirements/documents/cmm4yupvf030ecuqwvyai5yx8/view</t>
  </si>
  <si>
    <t>KRAV-AUTO-000176</t>
  </si>
  <si>
    <t>ADMIN-INDEX-2026-02-27-00000000125C043F57453246863FE664CAFE6A3F0700950291EA24F0614FB6ACEDB12BF0E31D00000000010C0000950291EA24F0614FB6ACEDB12BF0E31D00002087AE4B0000</t>
  </si>
  <si>
    <t>cmm4yupvf030ecuqwvyai5yx8</t>
  </si>
  <si>
    <t>Anmälan Hynboholm terminal 240313_Redacted.pdf</t>
  </si>
  <si>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</si>
  <si>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</si>
  <si>
    <t>KRAV-AUTO-000177</t>
  </si>
  <si>
    <t>Flytande kemiska produkter inklusive petroleumprodukter förvaras i ADR-klassade tankar, alternativt i tankar på ogenomsläpplig invallad yta eller i tråg som rymmer hela vätskemängden.</t>
  </si>
  <si>
    <t>KRAV-AUTO-000178</t>
  </si>
  <si>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</si>
  <si>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</si>
  <si>
    <t>http://localhost:8787/api/admin/requirements/documents/cmm4yupv90308cuqwbgubbii1/view</t>
  </si>
  <si>
    <t>KRAV-AUTO-000179</t>
  </si>
  <si>
    <t>ADMIN-INDEX-2026-02-27-00000000125C043F57453246863FE664CAFE6A3F0700950291EA24F0614FB6ACEDB12BF0E31D00000000010C0000950291EA24F0614FB6ACEDB12BF0E31D00002087AE4C0000</t>
  </si>
  <si>
    <t>cmm4yupv90308cuqwbgubbii1</t>
  </si>
  <si>
    <t>KRAV-AUTO-000180</t>
  </si>
  <si>
    <t>KRAV-AUTO-000181</t>
  </si>
  <si>
    <t>http://localhost:8787/api/admin/requirements/documents/cmm4yupu002yzcuqw92mpgtbw/view</t>
  </si>
  <si>
    <t>KRAV-AUTO-000182</t>
  </si>
  <si>
    <t>ADMIN-INDEX-2026-02-27-00000000125C043F57453246863FE664CAFE6A3F0700950291EA24F0614FB6ACEDB12BF0E31D00000000010C0000950291EA24F0614FB6ACEDB12BF0E31D00002087AE550000</t>
  </si>
  <si>
    <t>cmm4yupu002yzcuqw92mpgtbw</t>
  </si>
  <si>
    <t>Säkerhetsdatablad Sonax Gloss Dryer.pdf</t>
  </si>
  <si>
    <t>5.3 Råd till brandbekämpningspersonal Speciell skyddsutrustning: Vid brandbekämpning skall vanliga åtgärder vidtas.</t>
  </si>
  <si>
    <t>KRAV-AUTO-000183</t>
  </si>
  <si>
    <t>Rekommendation: Avfall måste hanteras och avlägsnas enligt lokala föreskrifter.</t>
  </si>
  <si>
    <t>KRAV-AUTO-000184</t>
  </si>
  <si>
    <t>Hänvisningar beträffande brand- och explosionsskydd: Inga speciella åtgärder krävs.</t>
  </si>
  <si>
    <t>http://localhost:8787/api/admin/requirements/documents/cmm4yuptx02ywcuqwfpwkaem8/view</t>
  </si>
  <si>
    <t>KRAV-AUTO-000185</t>
  </si>
  <si>
    <t>cmm4yuptx02ywcuqwfpwkaem8</t>
  </si>
  <si>
    <t>KRAV-AUTO-000186</t>
  </si>
  <si>
    <t>KRAV-AUTO-000187</t>
  </si>
  <si>
    <t>http://localhost:8787/api/admin/requirements/documents/cmm4yur3i045ncuqwdc30ai1k/view</t>
  </si>
  <si>
    <t>KRAV-AUTO-000188</t>
  </si>
  <si>
    <t>ADMIN-INDEX-2026-02-27-00000000125C043F57453246863FE664CAFE6A3F0700950291EA24F0614FB6ACEDB12BF0E31D00000000010C0000950291EA24F0614FB6ACEDB12BF0E31D00002087A5B20000</t>
  </si>
  <si>
    <t>cmm4yur3i045ncuqwdc30ai1k</t>
  </si>
  <si>
    <t>Beslut - svar på anmälan.pdf</t>
  </si>
  <si>
    <t>När det gäller anläggningsjord för försäljning så ska rutinen vara att en provtagning genomförs per 1000 ton.</t>
  </si>
  <si>
    <t>KRAV-AUTO-000189</t>
  </si>
  <si>
    <t>Information om genomförd provtagning av de 10 000 ton som lagras inom fastigheten sedan tidigare verksamhet och som ska bearbetas, ska inkomma till miljöenheten senast 2025-05-12.</t>
  </si>
  <si>
    <t>KRAV-AUTO-000190</t>
  </si>
  <si>
    <t>För de 10 000 ton som lagras inom fastigheten sedan tidigare verksamhet och som ska bearbetas enligt anmälan, har miljöenheten därför tidigare ställt krav på provtagning i efterhand.</t>
  </si>
  <si>
    <t>http://localhost:8787/api/admin/requirements/documents/cmm4yur2x0455cuqw3saqr9dp/view</t>
  </si>
  <si>
    <t>KRAV-AUTO-000191</t>
  </si>
  <si>
    <t>cmm4yur2x0455cuqw3saqr9dp</t>
  </si>
  <si>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leverantörens bekostnad.</t>
  </si>
  <si>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t>
  </si>
  <si>
    <t>KRAV-AUTO-000192</t>
  </si>
  <si>
    <t>Vid försäljning och leverans av anläggningsjord samt återvunnet flismaterial skall minst en provtagning utföras per 1 000 ton för att säkerställa att material är inom miljöklassning MK.</t>
  </si>
  <si>
    <t>KRAV-AUTO-000193</t>
  </si>
  <si>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Översiktskarta Signatur Ort och datum Nol den 05 mars 2025 Namnteckning Namnförtydligande Sven Ingvar Johansson sid 2/2 Ale kommun SE-449 80 Alafors Organisationsnummer 212000-1439 Telefon 0303-70 30 00 E-post kommun@ale.se Webb www.ale.se Ankom: 2025-03-17 Ärende: MIL.2025.213 Handling: 1307026</t>
  </si>
  <si>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t>
  </si>
  <si>
    <t>http://localhost:8787/api/admin/requirements/documents/cmm4yupsp02xncuqwhs492xv6/view</t>
  </si>
  <si>
    <t>KRAV-AUTO-000194</t>
  </si>
  <si>
    <t>cmm4yupsp02xncuqwhs492xv6</t>
  </si>
  <si>
    <t>KRAV-AUTO-000195</t>
  </si>
  <si>
    <t>KRAV-AUTO-000196</t>
  </si>
  <si>
    <t>http://localhost:8787/api/admin/requirements/documents/cmm4yupsm02xkcuqwbbzjb2ew/view</t>
  </si>
  <si>
    <t>KRAV-AUTO-000197</t>
  </si>
  <si>
    <t>cmm4yupsm02xkcuqwbbzjb2ew</t>
  </si>
  <si>
    <t>KRAV-AUTO-000198</t>
  </si>
  <si>
    <t>KRAV-AUTO-000199</t>
  </si>
  <si>
    <t>http://localhost:8787/api/admin/requirements/documents/cmm4yur1h043zcuqw32zc4vim/view</t>
  </si>
  <si>
    <t>KRAV-AUTO-000200</t>
  </si>
  <si>
    <t>ADMIN-INDEX-2026-02-27-00000000125C043F57453246863FE664CAFE6A3F0700950291EA24F0614FB6ACEDB12BF0E31D00000000010C0000950291EA24F0614FB6ACEDB12BF0E31D00002087A5B70000</t>
  </si>
  <si>
    <t>cmm4yur1h043zcuqw32zc4vim</t>
  </si>
  <si>
    <t>i Upplands Väsby</t>
  </si>
  <si>
    <t>i Upplands Väsby kommun</t>
  </si>
  <si>
    <t>Miljöteknisk markundersökning, Skälby 2.3.pdf</t>
  </si>
  <si>
    <t>Det finns dock noteringar i den tekniska statusbesiktningen om att större arbeten med plattan kan behöva utföras om en ny hyresgäst ska tillträda.</t>
  </si>
  <si>
    <t>KRAV-AUTO-000201</t>
  </si>
  <si>
    <t>Betongen ska vara obehandlat och det finns därför risk att betongen närmast skärsågarna har sugit åt sig skärolja.</t>
  </si>
  <si>
    <t>KRAV-AUTO-000202</t>
  </si>
  <si>
    <t>5 Figur 2 Utklipp med provtagningspunkter inom Skälby 2:2.</t>
  </si>
  <si>
    <t>http://localhost:8787/api/admin/requirements/documents/cmm4yur11043kcuqwckdjnskl/view</t>
  </si>
  <si>
    <t>KRAV-AUTO-000203</t>
  </si>
  <si>
    <t>cmm4yur11043kcuqwckdjnskl</t>
  </si>
  <si>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</si>
  <si>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</si>
  <si>
    <t>KRAV-AUTO-000204</t>
  </si>
  <si>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</si>
  <si>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</si>
  <si>
    <t>KRAV-AUTO-000205</t>
  </si>
  <si>
    <t>Möbler Mellanlagras i betongfack och lastas i samband med borttransport till container.</t>
  </si>
  <si>
    <t>http://localhost:8787/api/admin/requirements/documents/cmm4yur0a042qcuqwf2d6fl9v/view</t>
  </si>
  <si>
    <t>KRAV-AUTO-000206</t>
  </si>
  <si>
    <t>ADMIN-INDEX-2026-02-27-00000000125C043F57453246863FE664CAFE6A3F0700950291EA24F0614FB6ACEDB12BF0E31D00000000010C0000950291EA24F0614FB6ACEDB12BF0E31D00002087A5C60000</t>
  </si>
  <si>
    <t>cmm4yur0a042qcuqwf2d6fl9v</t>
  </si>
  <si>
    <t>MILJ20241464.pdf</t>
  </si>
  <si>
    <t>Eventuell förvaring utomhus ska ske på ogenomsläpplig och invallad yta under tak eller annat regnskydd.</t>
  </si>
  <si>
    <t>KRAV-AUTO-000207</t>
  </si>
  <si>
    <t>Verksamheten ska dokumentera mängd metallavfall som förs in och lagras inom fastigheten.</t>
  </si>
  <si>
    <t>KRAV-AUTO-000208</t>
  </si>
  <si>
    <t>mer än 1 000 ton per kalenderår och avfallet ska användas för byggnads- eller anläggningsändamål, eller 2.</t>
  </si>
  <si>
    <t>http://localhost:8787/api/admin/requirements/documents/cmm4yur06042kcuqwchioonhf/view</t>
  </si>
  <si>
    <t>KRAV-AUTO-000209</t>
  </si>
  <si>
    <t>cmm4yur06042kcuqwchioonhf</t>
  </si>
  <si>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</si>
  <si>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</si>
  <si>
    <t>KRAV-AUTO-000210</t>
  </si>
  <si>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</si>
  <si>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</si>
  <si>
    <t>KRAV-AUTO-000211</t>
  </si>
  <si>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</si>
  <si>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</si>
  <si>
    <t>http://localhost:8787/api/admin/requirements/documents/cmm4yuqzn041zcuqwy7h3npzx/view</t>
  </si>
  <si>
    <t>KRAV-AUTO-000212</t>
  </si>
  <si>
    <t>ADMIN-INDEX-2026-02-27-00000000125C043F57453246863FE664CAFE6A3F0700950291EA24F0614FB6ACEDB12BF0E31D00000000010C0000950291EA24F0614FB6ACEDB12BF0E31D00002087A5CF0000</t>
  </si>
  <si>
    <t>cmm4yuqzn041zcuqwy7h3npzx</t>
  </si>
  <si>
    <t>Ärendenr 2025-88. MaserFrakt AB. Anmälan och Beslut (2).pdf</t>
  </si>
  <si>
    <t>sortera, lagra eller på annat sätt ta befattning med avfall innan det transporteras vidare till den plats där behandlingen ska påbörjas, om åtgärden inte utförs av avfallsproducenten på den plats där avfallet uppkom.</t>
  </si>
  <si>
    <t>KRAV-AUTO-000213</t>
  </si>
  <si>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</si>
  <si>
    <t>KRAV-AUTO-000214</t>
  </si>
  <si>
    <t>Lag (2016:782) 11 § Den som hanterar avfall ska se till att hanteringen inte skadar eller orsakar risk för skada på människors hälsa eller miljön.</t>
  </si>
  <si>
    <t>http://localhost:8787/api/admin/requirements/documents/cmm4yuqwv0415cuqw0pl0005p/view</t>
  </si>
  <si>
    <t>KRAV-AUTO-000215</t>
  </si>
  <si>
    <t>ADMIN-INDEX-2026-02-27-00000000125C043F57453246863FE664CAFE6A3F0700950291EA24F0614FB6ACEDB12BF0E31D00000000010C0000950291EA24F0614FB6ACEDB12BF0E31D00002087A5D10000</t>
  </si>
  <si>
    <t>cmm4yuqwv0415cuqw0pl0005p</t>
  </si>
  <si>
    <t>YDR Miljö Registrering C-anläggning YDM 2025 131.pdf</t>
  </si>
  <si>
    <t>Den totala mängden farligt avfall som lagras på fastigheten får inte vid något tillfälle överstiga: 30 ton blybatterier, 50 ton elektriska eller elektroniska produkter, eller 1 ton avfall i andra fall, enligt 29 Kap.</t>
  </si>
  <si>
    <t>KRAV-AUTO-000216</t>
  </si>
  <si>
    <t>Uppsamlingskärl och invallningar ska rymma total mängd vätska som kan läcka ut från respektive kärl.</t>
  </si>
  <si>
    <t>KRAV-AUTO-000217</t>
  </si>
  <si>
    <t>Behandling av farligt avfall ska ske inomhus eller invallat och väderskyddat 5.</t>
  </si>
  <si>
    <t>http://localhost:8787/api/admin/requirements/documents/cmm4yuqwe040ncuqwqo98vhru/view</t>
  </si>
  <si>
    <t>KRAV-AUTO-000218</t>
  </si>
  <si>
    <t>ADMIN-INDEX-2026-02-27-00000000125C043F57453246863FE664CAFE6A3F0700950291EA24F0614FB6ACEDB12BF0E31D00000000010C0000950291EA24F0614FB6ACEDB12BF0E31D00002087A5D70000</t>
  </si>
  <si>
    <t>cmm4yuqwe040ncuqwqo98vhru</t>
  </si>
  <si>
    <t>M-2024-877 - Anmälan.pdf</t>
  </si>
  <si>
    <t>Beskrivning av avfallet Beskriv vilken typ av avfall som ska användas (ange även mängd i ton eller m³) Barlagen 0,16,032 ca.</t>
  </si>
  <si>
    <t>KRAV-AUTO-000219</t>
  </si>
  <si>
    <t>Beskriv nuvarande och framtida markanvändning på den plats där avfallet ska användas Tomt/fastighet utan bebyggelse som skall bebyggas med 1 plans/1½ plans villor.</t>
  </si>
  <si>
    <t>KRAV-AUTO-000220</t>
  </si>
  <si>
    <t>Beskrivning av anläggningen Beskriv vad för slags anläggning som avfallet ska användas till och vilken funktion anläggningen fyller uppfyllund tomt som skall bebyggas.</t>
  </si>
  <si>
    <t>http://localhost:8787/api/admin/requirements/documents/cmm4yuqvk03ztcuqwn64kirb8/view</t>
  </si>
  <si>
    <t>KRAV-AUTO-000221</t>
  </si>
  <si>
    <t>ADMIN-INDEX-2026-02-27-00000000125C043F57453246863FE664CAFE6A3F0700950291EA24F0614FB6ACEDB12BF0E31D00000000010C0000950291EA24F0614FB6ACEDB12BF0E31D00002087A5D80000</t>
  </si>
  <si>
    <t>cmm4yuqvk03ztcuqwn64kirb8</t>
  </si>
  <si>
    <t>Beskrivning av avfallet Beskriv vilken typ av avfall som ska användas (ange även mängd i ton eller m³) Bärlager 0,16,032 ca.</t>
  </si>
  <si>
    <t>KRAV-AUTO-000222</t>
  </si>
  <si>
    <t>KRAV-AUTO-000223</t>
  </si>
  <si>
    <t>Beskrivning av anläggningen Beskriv vad för slags anläggning som avfallet ska användas till och vilken funktion anläggningen fyller Uppfyllund tomt som skall bebyggas.</t>
  </si>
  <si>
    <t>http://localhost:8787/api/admin/requirements/documents/cmm4yuquq03yzcuqwmekbklcz/view</t>
  </si>
  <si>
    <t>KRAV-AUTO-000224</t>
  </si>
  <si>
    <t>ADMIN-INDEX-2026-02-27-00000000125C043F57453246863FE664CAFE6A3F0700950291EA24F0614FB6ACEDB12BF0E31D00000000010C0000950291EA24F0614FB6ACEDB12BF0E31D00002087A5D90000</t>
  </si>
  <si>
    <t>cmm4yuquq03yzcuqwmekbklcz</t>
  </si>
  <si>
    <t>M-2024-2225 - Anmälan (2).pdf</t>
  </si>
  <si>
    <t>Historisk har området delvis varit öppen mark varför vi anser att det inte krävs en anmälan för att skapa ny odlingsmark, se bilaga.</t>
  </si>
  <si>
    <t>KRAV-AUTO-000225</t>
  </si>
  <si>
    <t>Beskrivning av avfallet Beskriv vilken typ av avfall som ska användas (ange även mängd i ton eller m³) Mineraljord, 72 000 m3 och matjord 8 000 m3.</t>
  </si>
  <si>
    <t>KRAV-AUTO-000226</t>
  </si>
  <si>
    <t>Beskriv hur provtagningen av avfallet har genomförts Maskintjänst i Åbuen AB planerar att ta emot och återvinna schaktmassor vid entreprenadarbeten tex åt Skanska, Trafikverket mfl.</t>
  </si>
  <si>
    <t>http://localhost:8787/api/admin/requirements/documents/cmm4yuqu903yhcuqw8jf7qgy7/view</t>
  </si>
  <si>
    <t>KRAV-AUTO-000227</t>
  </si>
  <si>
    <t>cmm4yuqu903yhcuqw8jf7qgy7</t>
  </si>
  <si>
    <t>För att massorna inte ska klassas som avfall krävs det att det finns en säkerställd avsättning för dem inom rimlig tidsrymd och att de är lämpliga för miljö och hälsa att använda på avsedd plats.</t>
  </si>
  <si>
    <t>KRAV-AUTO-000228</t>
  </si>
  <si>
    <t>Enligt inkommen anmälan ska massorna inte utgöra ett avfall.</t>
  </si>
  <si>
    <t>http://localhost:8787/api/admin/requirements/documents/cmm4yuqtu03y2cuqwoi0ilf0w/view</t>
  </si>
  <si>
    <t>KRAV-AUTO-000229</t>
  </si>
  <si>
    <t>cmm4yuqtu03y2cuqwoi0ilf0w</t>
  </si>
  <si>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0451-26 70 00 SESAM ARKITEKTER AB 044-184880 RAMEÖLL 010-6152171</t>
  </si>
  <si>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t>
  </si>
  <si>
    <t>http://localhost:8787/api/admin/requirements/documents/cmm4yuqtf03xncuqwjhhh2u4r/view</t>
  </si>
  <si>
    <t>KRAV-AUTO-000230</t>
  </si>
  <si>
    <t>cmm4yuqtf03xncuqwjhhh2u4r</t>
  </si>
  <si>
    <t>I detta beslut anges bland annat att hantering och användningsplats för aktuellt anläggningsavfall i huvudsak ska ske i överensstämmelse med vad som angetts i ärendet.</t>
  </si>
  <si>
    <t>KRAV-AUTO-000231</t>
  </si>
  <si>
    <t>Den 7 november 2025 återkopplade vi till Tekniska förvaltningen med följdfrågor om det är samma typ av åtgärder och avfallsmassor som angetts tidigare i ärendet även om projektet hanteras och färdigställs längre fram.</t>
  </si>
  <si>
    <t>http://localhost:8787/api/admin/requirements/documents/cmm4yuqt403xbcuqwn5w6kvre/view</t>
  </si>
  <si>
    <t>KRAV-AUTO-000232</t>
  </si>
  <si>
    <t>ADMIN-INDEX-2026-02-27-00000000125C043F57453246863FE664CAFE6A3F0700950291EA24F0614FB6ACEDB12BF0E31D00000000010C0000950291EA24F0614FB6ACEDB12BF0E31D00002087A5DA0000</t>
  </si>
  <si>
    <t>cmm4yuqt403xbcuqwn5w6kvre</t>
  </si>
  <si>
    <t>M-2024-2166 - Anmälan.pdf</t>
  </si>
  <si>
    <t>Beskrivning av avfallet Beskriv vilken typ av avfall som ska användas (ange även mängd i ton eller m³) Asfalt som krossas.</t>
  </si>
  <si>
    <t>KRAV-AUTO-000233</t>
  </si>
  <si>
    <t>Beskriv de skyddsåtgärder som kommer att vidtas för att minska risken att föroreningar sprids Genom egenkontroller, provtagningar av asfalten som skickas på analys.</t>
  </si>
  <si>
    <t>KRAV-AUTO-000234</t>
  </si>
  <si>
    <t>6 § miljöbalken (SFS 1998:808) krävs en anmälan vid användning av avfall för anläggningsändamål på ett sätt som kan förorena mark, vattenområde eller grundvatten och där föroreningsrisken bedöms som ringa.</t>
  </si>
  <si>
    <t>http://localhost:8787/api/admin/requirements/documents/cmm4yuqsn03wtcuqw04slgb54/view</t>
  </si>
  <si>
    <t>KRAV-AUTO-000235</t>
  </si>
  <si>
    <t>cmm4yuqsn03wtcuqw04slgb54</t>
  </si>
  <si>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</si>
  <si>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</si>
  <si>
    <t>KRAV-AUTO-000236</t>
  </si>
  <si>
    <t>KRAV-AUTO-000237</t>
  </si>
  <si>
    <t>http://localhost:8787/api/admin/requirements/documents/cmm4yuqsb03whcuqwtwnu1tsm/view</t>
  </si>
  <si>
    <t>KRAV-AUTO-000238</t>
  </si>
  <si>
    <t>cmm4yuqsb03whcuqwtwnu1tsm</t>
  </si>
  <si>
    <t>Beskrivning av avfallet Beskriv vilken typ av avfall som ska användas (ange även mängd i ton eller m³) Barlager 0,14,032 siltig sand.</t>
  </si>
  <si>
    <t>KRAV-AUTO-000239</t>
  </si>
  <si>
    <t>Beskrivning av anläggningen Beskriv vad för slags anläggning som avfallet ska användas till och vilken funktion anläggningen fyller Upp fyllnad, av tount Som skall be bysgas med Industri fastighet.</t>
  </si>
  <si>
    <t>KRAV-AUTO-000240</t>
  </si>
  <si>
    <t>Beskriv hur provtagningen av avfallet har genomförts Genom borrning matriser i läge se bilaga (6 4.</t>
  </si>
  <si>
    <t>http://localhost:8787/api/admin/requirements/documents/cmm4yurgk04j2cuqw5vz3m5i0/view</t>
  </si>
  <si>
    <t>KRAV-AUTO-000241</t>
  </si>
  <si>
    <t>ADMIN-INDEX-2026-02-27-00000000125C043F57453246863FE664CAFE6A3F0700950291EA24F0614FB6ACEDB12BF0E31D00000000010C0000950291EA24F0614FB6ACEDB12BF0E31D000073AF24010000</t>
  </si>
  <si>
    <t>cmm4yurgk04j2cuqw5vz3m5i0</t>
  </si>
  <si>
    <t>Värnamo</t>
  </si>
  <si>
    <t>Värnamo kommun</t>
  </si>
  <si>
    <t>TFF bre sit.pdf</t>
  </si>
  <si>
    <t>66,28 105,14 66,88 0,00 0,27 3,05 108,25 Y: 7290,79 m² O: 349,87 m Fastighetskartan Mellanlagringsyta Bredaryd © Värnamo kommun och Lantmäteriet 2024-12-10 Kartredovisningen har inte rättsverkan, jmfr mot beslut i lantmäterihandlingar.</t>
  </si>
  <si>
    <t>http://localhost:8787/api/admin/requirements/documents/cmm4yuqs803wecuqwbqa3qufk/view</t>
  </si>
  <si>
    <t>KRAV-AUTO-000242</t>
  </si>
  <si>
    <t>cmm4yuqs803wecuqwbqa3qufk</t>
  </si>
  <si>
    <t>KRAV-AUTO-000243</t>
  </si>
  <si>
    <t>KRAV-AUTO-000244</t>
  </si>
  <si>
    <t>http://localhost:8787/api/admin/requirements/documents/cmm4yuqru03vzcuqwfz8vze5g/view</t>
  </si>
  <si>
    <t>KRAV-AUTO-000245</t>
  </si>
  <si>
    <t>cmm4yuqru03vzcuqwfz8vze5g</t>
  </si>
  <si>
    <t>Vi åker till återvinningen med eventuella produkter Hur planerar ni att arbeta för att minska mängden avfall?</t>
  </si>
  <si>
    <t>KRAV-AUTO-000246</t>
  </si>
  <si>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</si>
  <si>
    <t>KRAV-AUTO-000247</t>
  </si>
  <si>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</si>
  <si>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</si>
  <si>
    <t>http://localhost:8787/api/admin/requirements/documents/cmm4yuqrg03vkcuqwpuaahqvr/view</t>
  </si>
  <si>
    <t>KRAV-AUTO-000248</t>
  </si>
  <si>
    <t>cmm4yuqrg03vkcuqwpuaahqvr</t>
  </si>
  <si>
    <t>Dagvattensystemet ska vara så konstruerat att utflödet till recipienten kan stängas av.</t>
  </si>
  <si>
    <t>KRAV-AUTO-000249</t>
  </si>
  <si>
    <t>Anläggningen ska vara försedd med brandsläckningsutrustning anpassad för den mängd och typ av avfall som lagras.</t>
  </si>
  <si>
    <t>KRAV-AUTO-000250</t>
  </si>
  <si>
    <t>Provtagning ska utföras på det uppsamlade dagvattnet och detta får inte släppas vidare till recipienten utan miljö- och stadsbyggnadsförvaltningens godkännande.</t>
  </si>
  <si>
    <t>http://localhost:8787/api/admin/requirements/documents/cmm4yurfq04i5cuqw1drt61jr/view</t>
  </si>
  <si>
    <t>KRAV-AUTO-000251</t>
  </si>
  <si>
    <t>ADMIN-INDEX-2026-02-27-00000000125C043F57453246863FE664CAFE6A3F0700950291EA24F0614FB6ACEDB12BF0E31D00000000010C0000950291EA24F0614FB6ACEDB12BF0E31D000073AF24000000</t>
  </si>
  <si>
    <t>cmm4yurfq04i5cuqw1drt61jr</t>
  </si>
  <si>
    <t>VGS-MH-2025-2444.pdf</t>
  </si>
  <si>
    <t>Inga kontaminerade avfall tas in i processen och slaggsammansättningen kontrolleras väl genom definierade metallurgiska processer.</t>
  </si>
  <si>
    <t>KRAV-AUTO-000252</t>
  </si>
  <si>
    <t>Bolaget önskar därför att få friheten att färdigställa fastigheten utan att ta exakt hänsyn till de 75 000 ton som man beviljats genom tillståndet.</t>
  </si>
  <si>
    <t>KRAV-AUTO-000253</t>
  </si>
  <si>
    <t>Denna ändring i verksamheten en del av hur bolaget aktivt arbetar med att se över hur hantering av avfall för återanvändning och återvinning ska ske på bästa sätt.</t>
  </si>
  <si>
    <t>http://localhost:8787/api/admin/requirements/documents/cmm4yurfd04hqcuqw29esmmu5/view</t>
  </si>
  <si>
    <t>KRAV-AUTO-000254</t>
  </si>
  <si>
    <t>cmm4yurfd04hqcuqw29esmmu5</t>
  </si>
  <si>
    <t>Beskrivning Västra Gästriklands samhällsbyggnadsnämnd beslutade den 2 oktober 2025 om ett föreläggande om att åtgärda brister gällande lagring av flytande kemikalier och farligt avfall.</t>
  </si>
  <si>
    <t>http://localhost:8787/api/admin/requirements/documents/cmm4yurbv04e2cuqwb1kd6w43/view</t>
  </si>
  <si>
    <t>KRAV-AUTO-000255</t>
  </si>
  <si>
    <t>ADMIN-INDEX-2026-02-27-00000000125C043F57453246863FE664CAFE6A3F0700950291EA24F0614FB6ACEDB12BF0E31D00000000010C0000950291EA24F0614FB6ACEDB12BF0E31D00002087A5800000</t>
  </si>
  <si>
    <t>cmm4yurbv04e2cuqwb1kd6w43</t>
  </si>
  <si>
    <t>MB-2023-716-6 - Miljöfarlig verksamhet_anmälan.pdf</t>
  </si>
  <si>
    <t>Råvaran/produktens namn Mängd/år Andvändningsområde Ange hur kemiska produkter kommer att lagras och hanteras.</t>
  </si>
  <si>
    <t>KRAV-AUTO-000256</t>
  </si>
  <si>
    <t>Beskriv verksamheten, ev kort historik, produktions- och behandlingsmetoder, produktionskapacitet, producerad mängd m m.</t>
  </si>
  <si>
    <t>http://localhost:8787/api/admin/requirements/documents/cmm4yur7g049ecuqw03gdal1n/view</t>
  </si>
  <si>
    <t>KRAV-AUTO-000257</t>
  </si>
  <si>
    <t>ADMIN-INDEX-2026-02-27-00000000125C043F57453246863FE664CAFE6A3F0700950291EA24F0614FB6ACEDB12BF0E31D00000000010C0000950291EA24F0614FB6ACEDB12BF0E31D00002087A5950000</t>
  </si>
  <si>
    <t>cmm4yur7g049ecuqw03gdal1n</t>
  </si>
  <si>
    <t>mottagning av verksamhetsavfall Hagfors</t>
  </si>
  <si>
    <t>mottagning av verksamhetsavfall Hagfors kommun</t>
  </si>
  <si>
    <t>GetContent (25).pdf</t>
  </si>
  <si>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</si>
  <si>
    <t>http://localhost:8787/api/admin/requirements/documents/cmm4yur1z044ecuqwtn36cfk3/view</t>
  </si>
  <si>
    <t>KRAV-AUTO-000258</t>
  </si>
  <si>
    <t>ADMIN-INDEX-2026-02-27-00000000125C043F57453246863FE664CAFE6A3F0700950291EA24F0614FB6ACEDB12BF0E31D00000000010C0000950291EA24F0614FB6ACEDB12BF0E31D00002087A5B40000</t>
  </si>
  <si>
    <t>cmm4yur1z044ecuqwtn36cfk3</t>
  </si>
  <si>
    <t>i Pajala</t>
  </si>
  <si>
    <t>i Pajala kommun</t>
  </si>
  <si>
    <t>M-2024-109Beslut om bifall med villkor(29439417).pdf</t>
  </si>
  <si>
    <t>Petroleumprodukter och andra för grund- och ytvattnet skadliga ämnen ska hanteras och förvaras på hårdgjord invallad yta som ska skyddas mot nederbörd.</t>
  </si>
  <si>
    <t>KRAV-AUTO-000259</t>
  </si>
  <si>
    <t>Petroleumprodukter och andra för grund- och ytvattnet skadliga ämnen ska hanteras och förvaras på en hårdgjord invallad yta som ska skyddas mot nederbörd.</t>
  </si>
  <si>
    <t>KRAV-AUTO-000260</t>
  </si>
  <si>
    <t>Invallningen ska utföras så att den volym behållarna innehåller kan samlas upp vid läckage.</t>
  </si>
  <si>
    <t>http://localhost:8787/api/admin/requirements/documents/cmm4yuqx2041bcuqw058z69j7/view</t>
  </si>
  <si>
    <t>KRAV-AUTO-000261</t>
  </si>
  <si>
    <t>ADMIN-INDEX-2026-02-27-00000000125C043F57453246863FE664CAFE6A3F0700950291EA24F0614FB6ACEDB12BF0E31D00000000010C0000950291EA24F0614FB6ACEDB12BF0E31D00002087A5D00000</t>
  </si>
  <si>
    <t>cmm4yuqx2041bcuqw058z69j7</t>
  </si>
  <si>
    <t>Ärendenr 2023-1413. Motor-Ola AB. Anmälan och Beslut (2).pdf</t>
  </si>
  <si>
    <t>b.) Verksamhetskod 90.90 avser endast kabel och inga andra elektriska och elektroniska produkter, kabel får inte skalas.</t>
  </si>
  <si>
    <t>KRAV-AUTO-000262</t>
  </si>
  <si>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bygg- och rivningsavfall får endast transporteras och tas emot vid anläggningen om mottagaren av avfallet har kontrollerat att den som producerat avfallet har ansökt om undantag från krav på utsortering.</t>
  </si>
  <si>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t>
  </si>
  <si>
    <t>http://localhost:8787/api/admin/requirements/documents/cmm4yuqv203zbcuqw04apxh1c/view</t>
  </si>
  <si>
    <t>KRAV-AUTO-000263</t>
  </si>
  <si>
    <t>cmm4yuqv203zbcuqw04apxh1c</t>
  </si>
  <si>
    <t>Med utgångspunkt från: • det redovisade avfallets egenskaper • platsens lämplighet • mängden avfall bedömer vi att föroreningsrisken är ringa.</t>
  </si>
  <si>
    <t>KRAV-AUTO-000264</t>
  </si>
  <si>
    <t>Massor innehållande fraktioner av bygg-, rivningsavfall, metall, plast, gummi, pulveriserat material av betong, puts och cement eller annat liknande avfall får inte återanvändas.</t>
  </si>
  <si>
    <t>KRAV-AUTO-000265</t>
  </si>
  <si>
    <t>Alla som bedriver en verksamhet eller vidtar en åtgärd ska hushålla med råvaror och energi samt utnyttja möjligheterna att minska mängden avfall, minska mängden skadliga ämnen i material och produkter, minska de negativa effekterna av avfall, och återvinna avfall (2 kap.</t>
  </si>
  <si>
    <t>http://localhost:8787/api/admin/requirements/documents/cmm4yuqun03ywcuqwq2zmaall/view</t>
  </si>
  <si>
    <t>KRAV-AUTO-000266</t>
  </si>
  <si>
    <t>cmm4yuqun03ywcuqwq2zmaall</t>
  </si>
  <si>
    <t>minska mängden avfall, 2.</t>
  </si>
  <si>
    <t>KRAV-AUTO-000267</t>
  </si>
  <si>
    <t>minska de negativa effekterna av avfall, och 4.</t>
  </si>
  <si>
    <t>KRAV-AUTO-000268</t>
  </si>
  <si>
    <t>Egenkontroll ska utföras på det avfall som ska användas.</t>
  </si>
  <si>
    <t>http://localhost:8787/api/admin/requirements/documents/cmm4yuqtx03y5cuqwsyyyl7cv/view</t>
  </si>
  <si>
    <t>KRAV-AUTO-000269</t>
  </si>
  <si>
    <t>cmm4yuqtx03y5cuqwsyyyl7cv</t>
  </si>
  <si>
    <t>KRAV-AUTO-000270</t>
  </si>
  <si>
    <t>KRAV-AUTO-000271</t>
  </si>
  <si>
    <t>http://localhost:8787/api/admin/requirements/documents/cmm4yuqti03xqcuqw1v65d4q7/view</t>
  </si>
  <si>
    <t>KRAV-AUTO-000272</t>
  </si>
  <si>
    <t>cmm4yuqti03xqcuqw1v65d4q7</t>
  </si>
  <si>
    <t>I detta läge, detaljplaneskedet, bedöms att även marken inom etapp 5 skall hänföras till normalriskmark.</t>
  </si>
  <si>
    <t>KRAV-AUTO-000273</t>
  </si>
  <si>
    <t>Utöver ovanstående bedöms risken för omgivningspåverkan som liten men skall tas med i bedömningen, t.ex.</t>
  </si>
  <si>
    <t>KRAV-AUTO-000274</t>
  </si>
  <si>
    <t>Värdering och riskanalys Värdering Geoteknik.</t>
  </si>
  <si>
    <t>http://localhost:8787/api/admin/requirements/documents/cmm4yuqt703xecuqw0udsfi9g/view</t>
  </si>
  <si>
    <t>KRAV-AUTO-000275</t>
  </si>
  <si>
    <t>cmm4yuqt703xecuqw0udsfi9g</t>
  </si>
  <si>
    <t>KRAV-AUTO-000276</t>
  </si>
  <si>
    <t>KRAV-AUTO-000277</t>
  </si>
  <si>
    <t>http://localhost:8787/api/admin/requirements/documents/cmm4yuqt203x8cuqws5ahixm1/view</t>
  </si>
  <si>
    <t>KRAV-AUTO-000278</t>
  </si>
  <si>
    <t>cmm4yuqt203x8cuqws5ahixm1</t>
  </si>
  <si>
    <t>KRAV-AUTO-000279</t>
  </si>
  <si>
    <t>KRAV-AUTO-000280</t>
  </si>
  <si>
    <t>http://localhost:8787/api/admin/requirements/documents/cmm4yuqsq03wwcuqworgh5mo1/view</t>
  </si>
  <si>
    <t>KRAV-AUTO-000281</t>
  </si>
  <si>
    <t>cmm4yuqsq03wwcuqworgh5mo1</t>
  </si>
  <si>
    <t>KRAV-AUTO-000282</t>
  </si>
  <si>
    <t>KRAV-AUTO-000283</t>
  </si>
  <si>
    <t>http://localhost:8787/api/admin/requirements/documents/cmm4yuqxd041ncuqw0xs9r3na/view</t>
  </si>
  <si>
    <t>KRAV-AUTO-000284</t>
  </si>
  <si>
    <t>cmm4yuqxd041ncuqw0xs9r3na</t>
  </si>
  <si>
    <t>Då verksamheten redan har kunskap, yta och avtal med mottagande verksamheter ställdes frågan huruvida avfallsmängd från stubbar faller inom redan godkända avfallskoder.</t>
  </si>
  <si>
    <t>KRAV-AUTO-000285</t>
  </si>
  <si>
    <t>Den nya hanteringen medges med stöd av följande paragrafer i Miljöbalken 15 kap: 11 § Den som hanterar avfall ska se till att hanteringen inte skadar eller orsakar risk för skada på människors hälsa eller miljön.</t>
  </si>
  <si>
    <t>KRAV-AUTO-000286</t>
  </si>
  <si>
    <t>var avfallet ska lämnas efter insamlingen eller transporten, och 4.</t>
  </si>
  <si>
    <t>http://localhost:8787/api/admin/requirements/documents/cmm4yuqxa041kcuqwazdzig9h/view</t>
  </si>
  <si>
    <t>KRAV-AUTO-000287</t>
  </si>
  <si>
    <t>cmm4yuqxa041kcuqwazdzig9h</t>
  </si>
  <si>
    <t>Lagring ska ske åtskilt för brandrisken.</t>
  </si>
  <si>
    <t>KRAV-AUTO-000288</t>
  </si>
  <si>
    <t>Varuslag, produkt eller tjänst Mängd per år Sort Bilaga bifogas Ja Nej Process eller produktionsmetod Typ av process eller produktionsmetod Innan trädstubbarna tas emot ska de så långt det är möjligt rensas från jordrester på ursprungsplatsen.</t>
  </si>
  <si>
    <t>KRAV-AUTO-000289</t>
  </si>
  <si>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</si>
  <si>
    <t>http://localhost:8787/api/admin/requirements/documents/cmm4yuqn203qzcuqwuuqj8a9w/view</t>
  </si>
  <si>
    <t>KRAV-AUTO-000290</t>
  </si>
  <si>
    <t>cmm4yuqn203qzcuqwuuqj8a9w</t>
  </si>
  <si>
    <t>Kontroll ska göras genom exempelvis provtagning.</t>
  </si>
  <si>
    <t>KRAV-AUTO-000291</t>
  </si>
  <si>
    <t>I anmälan anges att cirka 5000 ton schaktmassor från olika anläggningsfirmor i Hässleholm ska användas för att fylla upp betesmark.</t>
  </si>
  <si>
    <t>KRAV-AUTO-000292</t>
  </si>
  <si>
    <t>Då inga uppgifter har inkommit bedömer miljö- och stadsbyggnadsförvaltningen att den kunskap om avfallet som behövs för att kunna skydda människors hälsa och miljön mot skada eller olägenhet saknas.</t>
  </si>
  <si>
    <t>http://localhost:8787/api/admin/requirements/documents/cmm4yuqmn03qkcuqwegxhc1f9/view</t>
  </si>
  <si>
    <t>KRAV-AUTO-000293</t>
  </si>
  <si>
    <t>cmm4yuqmn03qkcuqwegxhc1f9</t>
  </si>
  <si>
    <t>All förvaring av övriga kemiska produkter och farligt avfall ska ske på yta som är tät och beständig mot de produkter och det avfall som lagras, invallad samt skyddad från nederbörd och dagvatten.</t>
  </si>
  <si>
    <t>KRAV-AUTO-000294</t>
  </si>
  <si>
    <t>Mängden farligt avfall, i detta fall katalysatorer får inte vid något tillfälle uppgå till mer än 1 ton.</t>
  </si>
  <si>
    <t>KRAV-AUTO-000295</t>
  </si>
  <si>
    <t>Förvaringsplats inomhus ska förses med invallning om det finns golvavlopp eller otätheter i golv eller väggar.</t>
  </si>
  <si>
    <t>http://localhost:8787/api/admin/requirements/documents/cmm4yuqm903q5cuqw4e2lm0yq/view</t>
  </si>
  <si>
    <t>KRAV-AUTO-000296</t>
  </si>
  <si>
    <t>ADMIN-INDEX-2026-02-27-00000000125C043F57453246863FE664CAFE6A3F0700950291EA24F0614FB6ACEDB12BF0E31D00000000010C0000950291EA24F0614FB6ACEDB12BF0E31D00002087ADE30000</t>
  </si>
  <si>
    <t>cmm4yuqm903q5cuqw4e2lm0yq</t>
  </si>
  <si>
    <t>Miljöinspektör Bygg och Miljö Ljusdals</t>
  </si>
  <si>
    <t>Miljöinspektör Bygg och Miljö Ljusdals kommun</t>
  </si>
  <si>
    <t>MFV.2025.230.pdf</t>
  </si>
  <si>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</si>
  <si>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</si>
  <si>
    <t>KRAV-AUTO-000297</t>
  </si>
  <si>
    <t>För att återvinningen ska kunna godtas krävs därför att användningen sker inom ett tydligt anläggningsändamål och att åtgärden utformas med tillräckliga skyddsåtgärder för att förhindra att lakvatten, ytavrinning eller erosion når bäcken.</t>
  </si>
  <si>
    <t>KRAV-AUTO-000298</t>
  </si>
  <si>
    <t>Åtgärden ska utföras så att lakvatten inte avleds mot bäcken.</t>
  </si>
  <si>
    <t>http://localhost:8787/api/admin/requirements/documents/cmm4yuqkr03oncuqwctsx0nxt/view</t>
  </si>
  <si>
    <t>KRAV-AUTO-000299</t>
  </si>
  <si>
    <t>ADMIN-INDEX-2026-02-27-00000000125C043F57453246863FE664CAFE6A3F0700950291EA24F0614FB6ACEDB12BF0E31D00000000010C0000950291EA24F0614FB6ACEDB12BF0E31D00002087ADEF0000</t>
  </si>
  <si>
    <t>cmm4yuqkr03oncuqwctsx0nxt</t>
  </si>
  <si>
    <t>Avgiftstaxa.pdf</t>
  </si>
  <si>
    <t>Potentiella handlingar som kan skapas med rutinbetonade åtgärder har kommunen en skyldighet skapa och lämna ut.</t>
  </si>
  <si>
    <t>http://localhost:8787/api/admin/requirements/documents/cmm4yuqhc03l8cuqwfjrfoy1e/view</t>
  </si>
  <si>
    <t>KRAV-AUTO-000300</t>
  </si>
  <si>
    <t>ADMIN-INDEX-2026-02-27-00000000125C043F57453246863FE664CAFE6A3F0700950291EA24F0614FB6ACEDB12BF0E31D00000000010C0000950291EA24F0614FB6ACEDB12BF0E31D00002087ADF30000</t>
  </si>
  <si>
    <t>cmm4yuqhc03l8cuqwfjrfoy1e</t>
  </si>
  <si>
    <t>251021-MMAVANLAN-CD02 2025-3268.pdf</t>
  </si>
  <si>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</si>
  <si>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</si>
  <si>
    <t>KRAV-AUTO-000301</t>
  </si>
  <si>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</si>
  <si>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</si>
  <si>
    <t>KRAV-AUTO-000302</t>
  </si>
  <si>
    <t>Beskrivning av massorna eller avfallet Beskriv ursprung och föroreningsinnehåll Alla massor måste ligga under Naturvårdsverkets värde för känslig mark (KM).</t>
  </si>
  <si>
    <t>http://localhost:8787/api/admin/requirements/documents/cmm4yuqf403iwcuqwm70zklx6/view</t>
  </si>
  <si>
    <t>KRAV-AUTO-000303</t>
  </si>
  <si>
    <t>ADMIN-INDEX-2026-02-27-00000000125C043F57453246863FE664CAFE6A3F0700950291EA24F0614FB6ACEDB12BF0E31D00000000010C0000950291EA24F0614FB6ACEDB12BF0E31D00002087ADF90000</t>
  </si>
  <si>
    <t>cmm4yuqf403iwcuqwm70zklx6</t>
  </si>
  <si>
    <t>Skanska Sverige AB Anmälan Flisan 2 Beslut 240214.pdf</t>
  </si>
  <si>
    <t>Bakgrund Skanska Sverige AB inkom den 6 februari 2024 med en anmälan om lagring av avfall i form av uppgrävda schaktmassor inom fastigheten Flisan 2.</t>
  </si>
  <si>
    <t>KRAV-AUTO-000304</t>
  </si>
  <si>
    <t>I ett svar från Skanska som inkom den 13 februari framgår att dessa utgörs av matjordslager som ska köras tillbaka till och att dessa inte är provtagna.</t>
  </si>
  <si>
    <t>KRAV-AUTO-000305</t>
  </si>
  <si>
    <t>Följande framkom: Schaktmassor från projekt lagras på platsen i en mängd som uppskatta- des till omkring I anmälan anges att dessa massor är klassade som massor med föroreningshalter under MKM.</t>
  </si>
  <si>
    <t>http://localhost:8787/api/admin/requirements/documents/cmm4yuqev03incuqwhki43c68/view</t>
  </si>
  <si>
    <t>KRAV-AUTO-000306</t>
  </si>
  <si>
    <t>ADMIN-INDEX-2026-02-27-00000000125C043F57453246863FE664CAFE6A3F0700950291EA24F0614FB6ACEDB12BF0E31D00000000010C0000950291EA24F0614FB6ACEDB12BF0E31D00002087ADFA0000</t>
  </si>
  <si>
    <t>cmm4yuqev03incuqwhki43c68</t>
  </si>
  <si>
    <t>KRAV-AUTO-000307</t>
  </si>
  <si>
    <t>KRAV-AUTO-000308</t>
  </si>
  <si>
    <t>http://localhost:8787/api/admin/requirements/documents/cmm4yuqej03ibcuqw3s2t4bqi/view</t>
  </si>
  <si>
    <t>KRAV-AUTO-000309</t>
  </si>
  <si>
    <t>ADMIN-INDEX-2026-02-27-00000000125C043F57453246863FE664CAFE6A3F0700950291EA24F0614FB6ACEDB12BF0E31D00000000010C0000950291EA24F0614FB6ACEDB12BF0E31D00002087ADFB0000</t>
  </si>
  <si>
    <t>cmm4yuqej03ibcuqw3s2t4bqi</t>
  </si>
  <si>
    <t>Skyddsåtgärder vid mellanlagring.pdf</t>
  </si>
  <si>
    <t>Skyddsåtgärder vid mellanlagring, SKEPPAREN 6 Människors hälsa och miljön För att minska risken för påverkan på människors hälsa och miljön kommer massorna att läggas på tät presenning samt övertäckas med tät presenning.</t>
  </si>
  <si>
    <t>http://localhost:8787/api/admin/requirements/documents/cmm4yuqdi03h8cuqwtpenx3af/view</t>
  </si>
  <si>
    <t>KRAV-AUTO-000310</t>
  </si>
  <si>
    <t>ADMIN-INDEX-2026-02-27-00000000125C043F57453246863FE664CAFE6A3F0700950291EA24F0614FB6ACEDB12BF0E31D00000000010C0000950291EA24F0614FB6ACEDB12BF0E31D00002087ADFD0000</t>
  </si>
  <si>
    <t>cmm4yuqdi03h8cuqwtpenx3af</t>
  </si>
  <si>
    <t>Karlstads</t>
  </si>
  <si>
    <t>Karlstads kommun</t>
  </si>
  <si>
    <t>SERAB Vålberg 1 431 Beslut 250609.pdf</t>
  </si>
  <si>
    <t>Årsrapporten ska innehålla följande uppgifter: • mängden avfall som tillförts området fördelat på respektive av- fallsslag inkl.</t>
  </si>
  <si>
    <t>KRAV-AUTO-000311</t>
  </si>
  <si>
    <t>Detta betyder att mängden avfall som får tas emot i anläggningen från och med 2025 uppgår till högst [BLANK] varav [BLANK] (avrundat till närmaste helt 100-tal) får utgöras av schakt- massor med invasiva växter.</t>
  </si>
  <si>
    <t>KRAV-AUTO-000312</t>
  </si>
  <si>
    <t>• var avfall med invasiva arter placerats på området och på vilket djup under markytan ska anges på karta.</t>
  </si>
  <si>
    <t>http://localhost:8787/api/admin/requirements/documents/cmm4yuqdc03h2cuqwnvci4ldd/view</t>
  </si>
  <si>
    <t>KRAV-AUTO-000313</t>
  </si>
  <si>
    <t>cmm4yuqdc03h2cuqwnvci4ldd</t>
  </si>
  <si>
    <t>Beskriv syftet med den nya anläggningen som avfallet ska användas till Masshantering av mottagna massor för sortering och sållning.</t>
  </si>
  <si>
    <t>KRAV-AUTO-000314</t>
  </si>
  <si>
    <t>Hänsyn ska tas till verksamheten, den plats som verksamheten bedrivs på och andra omständigheter som buller, damning, risk för spill- eller haveri, detaljplan, vattenskyddsområde, naturreservat och invasiva arter.</t>
  </si>
  <si>
    <t>http://localhost:8787/api/admin/requirements/documents/cmm4yuqd303gtcuqw3vlw8j3n/view</t>
  </si>
  <si>
    <t>KRAV-AUTO-000315</t>
  </si>
  <si>
    <t>ADMIN-INDEX-2026-02-27-00000000125C043F57453246863FE664CAFE6A3F0700950291EA24F0614FB6ACEDB12BF0E31D00000000010C0000950291EA24F0614FB6ACEDB12BF0E31D00002087ADFE0000</t>
  </si>
  <si>
    <t>cmm4yuqd303gtcuqw3vlw8j3n</t>
  </si>
  <si>
    <t>Styrning och kontroll - GIFA.pdf</t>
  </si>
  <si>
    <t>Förutom information om var materialet ska placeras bör det klart framgå hur det ska deponeras och vilka risker som är förknippade med detta.</t>
  </si>
  <si>
    <t>KRAV-AUTO-000316</t>
  </si>
  <si>
    <t>En ytterligare fördel med att täcka GIFA med andra schaktmassor är att det förhindrar att växterna börjar gro snabbt efter att de har lossats, vilket bidrar till att minska risken för spridning.</t>
  </si>
  <si>
    <t>KRAV-AUTO-000317</t>
  </si>
  <si>
    <t>Interntransport Vid riskbedömningen bör den interna transporten kartläggas noggrant.</t>
  </si>
  <si>
    <t>http://localhost:8787/api/admin/requirements/documents/cmm4yuqcn03ghcuqwyey1nsdt/view</t>
  </si>
  <si>
    <t>KRAV-AUTO-000318</t>
  </si>
  <si>
    <t>cmm4yuqcn03ghcuqwyey1nsdt</t>
  </si>
  <si>
    <t>Mängd avfall som ska användas ton 5000m3 Ange fyllnadshöjd i meter (vid fyllning över 0,5 m inom detaljplanelagt område krävs även mark lov) Från 0-2,9 meter, dal/svacka fylls igen för att nå normativ marknivå.</t>
  </si>
  <si>
    <t>KRAV-AUTO-000319</t>
  </si>
  <si>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</si>
  <si>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</si>
  <si>
    <t>KRAV-AUTO-000320</t>
  </si>
  <si>
    <t>Utrustning som hanterar massorna rengörs efter hantering enligt rutin för minskad risk för spridning.</t>
  </si>
  <si>
    <t>http://localhost:8787/api/admin/requirements/documents/cmm4yuqad03ekcuqwsjee53ix/view</t>
  </si>
  <si>
    <t>KRAV-AUTO-000321</t>
  </si>
  <si>
    <t>ADMIN-INDEX-2026-02-27-00000000125C043F57453246863FE664CAFE6A3F0700950291EA24F0614FB6ACEDB12BF0E31D00000000010C0000950291EA24F0614FB6ACEDB12BF0E31D00002087AE060000</t>
  </si>
  <si>
    <t>cmm4yuqad03ekcuqwsjee53ix</t>
  </si>
  <si>
    <t>MILJ.2025.963.pdf</t>
  </si>
  <si>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</si>
  <si>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</si>
  <si>
    <t>KRAV-AUTO-000322</t>
  </si>
  <si>
    <t>Verksamhetskoder 90.60 gällande lagring av elektriska eller elektroniska produkter (inklusive kabel) samt batterier.</t>
  </si>
  <si>
    <t>KRAV-AUTO-000323</t>
  </si>
  <si>
    <t>Nr 556569 2414) bedriver sedan 2023 återvinningsverksamhet med inriktning på återbruk (reuse) av elektriska och elektronisk utrustning på fastigheten LYFTKRANEN 2 i Huddinge kommun.</t>
  </si>
  <si>
    <t>http://localhost:8787/api/admin/requirements/documents/cmm4yuq7u03c2cuqwlx068jjt/view</t>
  </si>
  <si>
    <t>KRAV-AUTO-000324</t>
  </si>
  <si>
    <t>ADMIN-INDEX-2026-02-27-00000000125C043F57453246863FE664CAFE6A3F0700950291EA24F0614FB6ACEDB12BF0E31D00000000010C0000950291EA24F0614FB6ACEDB12BF0E31D00002087AE100000</t>
  </si>
  <si>
    <t>cmm4yuq7u03c2cuqwlx068jjt</t>
  </si>
  <si>
    <t>Östersunds</t>
  </si>
  <si>
    <t>Östersunds kommun</t>
  </si>
  <si>
    <t>Handlingar för ärende TN-00592-2025.pdf</t>
  </si>
  <si>
    <t>Con- tainrar och kärl kommer att placeras ut på platsen för att boende i närområ- det enkelt ska kunna lämna sitt trädgårdsavfall.</t>
  </si>
  <si>
    <t>KRAV-AUTO-000325</t>
  </si>
  <si>
    <t>Nämnden anser att det är viktigt att det inte står kvar några containrar/kärl under övrig tid för att inte allmänheten ska få uppfattningen att det är en permanent läm- ningsplats för trädgårdsavfall.</t>
  </si>
  <si>
    <t>KRAV-AUTO-000326</t>
  </si>
  <si>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</si>
  <si>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</si>
  <si>
    <t>http://localhost:8787/api/admin/requirements/documents/cmm4yuq6d03ahcuqwmgnuflvh/view</t>
  </si>
  <si>
    <t>KRAV-AUTO-000327</t>
  </si>
  <si>
    <t>ADMIN-INDEX-2026-02-27-00000000125C043F57453246863FE664CAFE6A3F0700950291EA24F0614FB6ACEDB12BF0E31D00000000010C0000950291EA24F0614FB6ACEDB12BF0E31D00002087AE2C0000</t>
  </si>
  <si>
    <t>cmm4yuq6d03ahcuqwmgnuflvh</t>
  </si>
  <si>
    <t>FÖRA 8_4 MBN-2023-1561 Delegationsbeslut 2023-12-27.pdf</t>
  </si>
  <si>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 • Endast det material och de mängder som finns på platsen ska fortsatt lagras på platsen.</t>
  </si>
  <si>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t>
  </si>
  <si>
    <t>KRAV-AUTO-000328</t>
  </si>
  <si>
    <t>Avfallet som anmälan avser har uppkommit lokalt och ska återanvändas till anläggningsändamål i närområdet.</t>
  </si>
  <si>
    <t>http://localhost:8787/api/admin/requirements/documents/cmm4yupwi031hcuqw0av2nvqk/view</t>
  </si>
  <si>
    <t>KRAV-AUTO-000329</t>
  </si>
  <si>
    <t>cmm4yupwi031hcuqw0av2nvqk</t>
  </si>
  <si>
    <t>KRAV-AUTO-000330</t>
  </si>
  <si>
    <t>KRAV-AUTO-000331</t>
  </si>
  <si>
    <t>http://localhost:8787/api/admin/requirements/documents/cmm4yupu902z8cuqwgdajjrxt/view</t>
  </si>
  <si>
    <t>KRAV-AUTO-000332</t>
  </si>
  <si>
    <t>cmm4yupu902z8cuqwgdajjrxt</t>
  </si>
  <si>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</si>
  <si>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</si>
  <si>
    <t>KRAV-AUTO-000333</t>
  </si>
  <si>
    <t>KRAV-AUTO-000334</t>
  </si>
  <si>
    <t>B.- Tekniska rekommendationer för att förebygga bränder och explosioner.</t>
  </si>
  <si>
    <t>http://localhost:8787/api/admin/requirements/documents/cmm4yupu302z2cuqw9f8i4jfi/view</t>
  </si>
  <si>
    <t>KRAV-AUTO-000335</t>
  </si>
  <si>
    <t>cmm4yupu302z2cuqw9f8i4jfi</t>
  </si>
  <si>
    <t>KRAV-AUTO-000336</t>
  </si>
  <si>
    <t>KRAV-AUTO-000337</t>
  </si>
  <si>
    <t>http://localhost:8787/api/admin/requirements/documents/cmm4yuqq603u8cuqw6lhlfmjw/view</t>
  </si>
  <si>
    <t>KRAV-AUTO-000338</t>
  </si>
  <si>
    <t>cmm4yuqq603u8cuqw6lhlfmjw</t>
  </si>
  <si>
    <t>http://localhost:8787/api/admin/requirements/documents/cmm4yuqpq03tqcuqwetdpqa2n/view</t>
  </si>
  <si>
    <t>KRAV-AUTO-000339</t>
  </si>
  <si>
    <t>cmm4yuqpq03tqcuqwetdpqa2n</t>
  </si>
  <si>
    <t>KRAV-AUTO-000340</t>
  </si>
  <si>
    <t>KRAV-AUTO-000341</t>
  </si>
  <si>
    <t>http://localhost:8787/api/admin/requirements/documents/cmm4yuqpn03tncuqwr2v487dq/view</t>
  </si>
  <si>
    <t>KRAV-AUTO-000342</t>
  </si>
  <si>
    <t>cmm4yuqpn03tncuqwr2v487dq</t>
  </si>
  <si>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</si>
  <si>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</si>
  <si>
    <t>KRAV-AUTO-000343</t>
  </si>
  <si>
    <t>KRAV-AUTO-000344</t>
  </si>
  <si>
    <t>Skalenliga profilskisser av platsen där avfallet ska användas.</t>
  </si>
  <si>
    <t>http://localhost:8787/api/admin/requirements/documents/cmm4yuqpd03tbcuqw7a0q4p57/view</t>
  </si>
  <si>
    <t>KRAV-AUTO-000345</t>
  </si>
  <si>
    <t>cmm4yuqpd03tbcuqw7a0q4p57</t>
  </si>
  <si>
    <t>KRAV-AUTO-000346</t>
  </si>
  <si>
    <t>KRAV-AUTO-000347</t>
  </si>
  <si>
    <t>http://localhost:8787/api/admin/requirements/documents/cmm4yuqpa03t8cuqwl7q44v5a/view</t>
  </si>
  <si>
    <t>KRAV-AUTO-000348</t>
  </si>
  <si>
    <t>cmm4yuqpa03t8cuqwl7q44v5a</t>
  </si>
  <si>
    <t>KRAV-AUTO-000349</t>
  </si>
  <si>
    <t>KRAV-AUTO-000350</t>
  </si>
  <si>
    <t>http://localhost:8787/api/admin/requirements/documents/cmm4yuqov03stcuqw721buerk/view</t>
  </si>
  <si>
    <t>KRAV-AUTO-000351</t>
  </si>
  <si>
    <t>cmm4yuqov03stcuqw721buerk</t>
  </si>
  <si>
    <t>KRAV-AUTO-000352</t>
  </si>
  <si>
    <t>KRAV-AUTO-000353</t>
  </si>
  <si>
    <t>http://localhost:8787/api/admin/requirements/documents/cmm4yuqnd03rbcuqw1pdg2zuy/view</t>
  </si>
  <si>
    <t>KRAV-AUTO-000354</t>
  </si>
  <si>
    <t>cmm4yuqnd03rbcuqw1pdg2zuy</t>
  </si>
  <si>
    <t>KRAV-AUTO-000355</t>
  </si>
  <si>
    <t>KRAV-AUTO-000356</t>
  </si>
  <si>
    <t>http://localhost:8787/api/admin/requirements/documents/cmm4yurb604dbcuqwpk6azwk6/view</t>
  </si>
  <si>
    <t>KRAV-AUTO-000357</t>
  </si>
  <si>
    <t>ADMIN-INDEX-2026-02-27-00000000125C043F57453246863FE664CAFE6A3F0700950291EA24F0614FB6ACEDB12BF0E31D00000000010C0000950291EA24F0614FB6ACEDB12BF0E31D00002087A5860000</t>
  </si>
  <si>
    <t>cmm4yurb604dbcuqwpk6azwk6</t>
  </si>
  <si>
    <t>2024.1848..pdf</t>
  </si>
  <si>
    <t>Ändringen innefattar att verksamheten vill börja ta emot 500 ton betongslam per år och sälja detta som jordförbättring/kalkningsmedel.</t>
  </si>
  <si>
    <t>KRAV-AUTO-000358</t>
  </si>
  <si>
    <t>Nämnden för myndighetsutövning gör därför bedömningen att innehållet i betongslammet bör dokumenteras och förmedlas vid försäljning av betongslammet som kalkningsmedel eller jordförbättringsmedel.</t>
  </si>
  <si>
    <t>http://localhost:8787/api/admin/requirements/documents/cmm4yurar04cwcuqwxnofej9e/view</t>
  </si>
  <si>
    <t>KRAV-AUTO-000359</t>
  </si>
  <si>
    <t>cmm4yurar04cwcuqwxnofej9e</t>
  </si>
  <si>
    <t>Åtgärden ska så långt det är ekonomiskt rimligt och tekniskt möjligt reducera miljö- och hälsoriskerna och bör vara av en engångskaraktär.</t>
  </si>
  <si>
    <t>KRAV-AUTO-000360</t>
  </si>
  <si>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</si>
  <si>
    <t>KRAV-AUTO-000361</t>
  </si>
  <si>
    <t>Minskar, men liten risk kvarstår då föroreningen är kvar.</t>
  </si>
  <si>
    <t>http://localhost:8787/api/admin/requirements/documents/cmm4yure104gbcuqw0iyq01tw/view</t>
  </si>
  <si>
    <t>KRAV-AUTO-000362</t>
  </si>
  <si>
    <t>ADMIN-INDEX-2026-02-27-00000000125C043F57453246863FE664CAFE6A3F0700950291EA24F0614FB6ACEDB12BF0E31D00000000010C0000950291EA24F0614FB6ACEDB12BF0E31D00002087A57E0000</t>
  </si>
  <si>
    <t>cmm4yure104gbcuqw0iyq01tw</t>
  </si>
  <si>
    <t>i Örnsköldsviks</t>
  </si>
  <si>
    <t>i Örnsköldsviks kommun</t>
  </si>
  <si>
    <t>E-2025-840, beslut.pdf</t>
  </si>
  <si>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kriterier för bland annat PFAS som ska uppfyllas innan avfallet kan användas på platsen.</t>
  </si>
  <si>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t>
  </si>
  <si>
    <t>KRAV-AUTO-000363</t>
  </si>
  <si>
    <t>Behovet av avfall uppskattas uppgå till totalt ca 25 000 kbm men mängden är beroende på markförhållanden och kan komma att öka eller minskas.</t>
  </si>
  <si>
    <t>KRAV-AUTO-000364</t>
  </si>
  <si>
    <t>Syftet med att återvinna lämpliga avfall vid anläggandet av ytan är att minska användningen av jungfruligt material.</t>
  </si>
  <si>
    <t>http://localhost:8787/api/admin/requirements/documents/cmm4yura904cecuqwjfm8vkfa/view</t>
  </si>
  <si>
    <t>KRAV-AUTO-000365</t>
  </si>
  <si>
    <t>ADMIN-INDEX-2026-02-27-00000000125C043F57453246863FE664CAFE6A3F0700950291EA24F0614FB6ACEDB12BF0E31D00000000010C0000950291EA24F0614FB6ACEDB12BF0E31D00002087A58B0000</t>
  </si>
  <si>
    <t>cmm4yura904cecuqwjfm8vkfa</t>
  </si>
  <si>
    <t>Beslut slamlager.pdf</t>
  </si>
  <si>
    <t>Flytande kemiska produkter och farligt avfall ska, utöver vad som följer av punkt 2, förvaras på tät invallad yta eller motsvarande skydd som tillsynsmyndigheten kan tillåta.</t>
  </si>
  <si>
    <t>KRAV-AUTO-000366</t>
  </si>
  <si>
    <t>Invallningen ska rymma en volym som motsvarar den största behållarens volym samt minst 10 % av summan av övriga behållares volym.</t>
  </si>
  <si>
    <t>KRAV-AUTO-000367</t>
  </si>
  <si>
    <t>Kemiska produkter och farligt avfall skall förvaras inlåst, väl uppmärkt under tak och på sådant sätt att olägenhet för människors hälsa eller miljön inte uppstår.</t>
  </si>
  <si>
    <t>http://localhost:8787/api/admin/requirements/documents/cmm4yurgh04izcuqw94zu0lgm/view</t>
  </si>
  <si>
    <t>KRAV-AUTO-000368</t>
  </si>
  <si>
    <t>cmm4yurgh04izcuqw94zu0lgm</t>
  </si>
  <si>
    <t>I egenkontrollen på mellanlagringen granskas att nivåerna inte underskrids.</t>
  </si>
  <si>
    <t>KRAV-AUTO-000369</t>
  </si>
  <si>
    <t>Enligt historiska kartor har det varit en uppställningsplats med virke på ytan men på EBH-kartan är inte själva fastigheten markerad som förorenad utan det är anliggande fastigheter där det pågått verksamhet.</t>
  </si>
  <si>
    <t>http://localhost:8787/api/admin/requirements/documents/cmm4yurgf04iwcuqwko04ao6j/view</t>
  </si>
  <si>
    <t>KRAV-AUTO-000370</t>
  </si>
  <si>
    <t>cmm4yurgf04iwcuqwko04ao6j</t>
  </si>
  <si>
    <t>KRAV-AUTO-000371</t>
  </si>
  <si>
    <t>http://localhost:8787/api/admin/requirements/documents/cmm4yuqmz03qwcuqwsrhh9s97/view</t>
  </si>
  <si>
    <t>KRAV-AUTO-000372</t>
  </si>
  <si>
    <t>cmm4yuqmz03qwcuqwsrhh9s97</t>
  </si>
  <si>
    <t>KRAV-AUTO-000373</t>
  </si>
  <si>
    <t>KRAV-AUTO-000374</t>
  </si>
  <si>
    <t>http://localhost:8787/api/admin/requirements/documents/cmm4yuqm603q2cuqw6h2pp8a0/view</t>
  </si>
  <si>
    <t>KRAV-AUTO-000375</t>
  </si>
  <si>
    <t>ADMIN-INDEX-2026-02-27-00000000125C043F57453246863FE664CAFE6A3F0700950291EA24F0614FB6ACEDB12BF0E31D00000000010C0000950291EA24F0614FB6ACEDB12BF0E31D00002087ADE40000</t>
  </si>
  <si>
    <t>cmm4yuqm603q2cuqw6h2pp8a0</t>
  </si>
  <si>
    <t>ämnden beslutar att förelägga Ljusdals</t>
  </si>
  <si>
    <t>ämnden beslutar att förelägga Ljusdals kommun</t>
  </si>
  <si>
    <t>MFV.2024.202.pdf</t>
  </si>
  <si>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</si>
  <si>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</si>
  <si>
    <t>http://localhost:8787/api/admin/requirements/documents/cmm4yurg404ikcuqw3vuicrdg/view</t>
  </si>
  <si>
    <t>KRAV-AUTO-000376</t>
  </si>
  <si>
    <t>cmm4yurg404ikcuqw3vuicrdg</t>
  </si>
  <si>
    <t>Mer än 10 ton men högst 30 000 ton och avfallet ska användas för byggnads- eller anläggningsändamål, eller 2.</t>
  </si>
  <si>
    <t>KRAV-AUTO-000377</t>
  </si>
  <si>
    <t>Det får vara upp till 30 000 ton om avfallet ska användas för byggnads- eller anläggningsändamål och upp till 10 000 ton annat icke farligt avfall i andra fall.</t>
  </si>
  <si>
    <t>KRAV-AUTO-000378</t>
  </si>
  <si>
    <t>Även utleverans av material ska dokumenteras avseende mängd, leveransdatum samt mottagare.</t>
  </si>
  <si>
    <t>http://localhost:8787/api/admin/requirements/documents/cmm4yurfv04ibcuqw16arjc1p/view</t>
  </si>
  <si>
    <t>KRAV-AUTO-000379</t>
  </si>
  <si>
    <t>cmm4yurfv04ibcuqw16arjc1p</t>
  </si>
  <si>
    <t>om mängden vid något tillfälle är mer än 10 ton men högst 30 000 ton och avfallet ska användas för byggnads- och anläggningsändamål eller ✔ 2.</t>
  </si>
  <si>
    <t>http://localhost:8787/api/admin/requirements/documents/cmm4yuqlm03pkcuqwjxh8oxe1/view</t>
  </si>
  <si>
    <t>KRAV-AUTO-000380</t>
  </si>
  <si>
    <t>ADMIN-INDEX-2026-02-27-00000000125C043F57453246863FE664CAFE6A3F0700950291EA24F0614FB6ACEDB12BF0E31D00000000010C0000950291EA24F0614FB6ACEDB12BF0E31D00002087ADEB0000</t>
  </si>
  <si>
    <t>cmm4yuqlm03pkcuqwjxh8oxe1</t>
  </si>
  <si>
    <t>Norsjö</t>
  </si>
  <si>
    <t>Norsjö kommun</t>
  </si>
  <si>
    <t>MBN-2024-178_1377_001_2024-04-12.pdf</t>
  </si>
  <si>
    <t>KRAV-AUTO-000381</t>
  </si>
  <si>
    <t>Volymen material som ska krossas/sorteras uppgår till ca 3000 ton IFA klassade överskottsmassor.</t>
  </si>
  <si>
    <t>http://localhost:8787/api/admin/requirements/documents/cmm4yuql503p2cuqwh5xr4lq2/view</t>
  </si>
  <si>
    <t>KRAV-AUTO-000382</t>
  </si>
  <si>
    <t>ADMIN-INDEX-2026-02-27-00000000125C043F57453246863FE664CAFE6A3F0700950291EA24F0614FB6ACEDB12BF0E31D00000000010C0000950291EA24F0614FB6ACEDB12BF0E31D00002087ADEC0000</t>
  </si>
  <si>
    <t>cmm4yuql503p2cuqwh5xr4lq2</t>
  </si>
  <si>
    <t>KRAV-AUTO-000383</t>
  </si>
  <si>
    <t>http://localhost:8787/api/admin/requirements/documents/cmm4yurfk04hzcuqwezgzwot3/view</t>
  </si>
  <si>
    <t>KRAV-AUTO-000384</t>
  </si>
  <si>
    <t>cmm4yurfk04hzcuqwezgzwot3</t>
  </si>
  <si>
    <t>Krav i föreläggandet angående invallning av kemikalier och farligt avfall, uppsamling av eventuellt spill samt tillgång till absorptionsmedel beslutas med hänvisning till 2 kap.</t>
  </si>
  <si>
    <t>KRAV-AUTO-000385</t>
  </si>
  <si>
    <t>Verksamhetsområdet ska utformas så att risken för att utomstående kan lämna avfall på upplaget minimeras.</t>
  </si>
  <si>
    <t>KRAV-AUTO-000386</t>
  </si>
  <si>
    <t>Ja Avfallsbehandlare Ange de typer och mängder av avfall som ska behandlas Jord Mest från egna och andras dikningar.</t>
  </si>
  <si>
    <t>http://localhost:8787/api/admin/requirements/documents/cmm4yurfi04hwcuqwie6w52wk/view</t>
  </si>
  <si>
    <t>KRAV-AUTO-000387</t>
  </si>
  <si>
    <t>cmm4yurfi04hwcuqwie6w52wk</t>
  </si>
  <si>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</si>
  <si>
    <t>KRAV-AUTO-000388</t>
  </si>
  <si>
    <t>KRAV-AUTO-000389</t>
  </si>
  <si>
    <t>http://localhost:8787/api/admin/requirements/documents/cmm4yurf504hhcuqwlbc7m7mi/view</t>
  </si>
  <si>
    <t>KRAV-AUTO-000390</t>
  </si>
  <si>
    <t>cmm4yurf504hhcuqwlbc7m7mi</t>
  </si>
  <si>
    <t>KRAV-AUTO-000391</t>
  </si>
  <si>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 har de tillstånd som krävs?</t>
  </si>
  <si>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t>
  </si>
  <si>
    <t>KRAV-AUTO-000392</t>
  </si>
  <si>
    <t>Valbo Entreprenad AB Hur ofta ska avfallet transporteras bort?</t>
  </si>
  <si>
    <t>http://localhost:8787/api/admin/requirements/documents/cmm4yurf204hecuqwvl3ipi92/view</t>
  </si>
  <si>
    <t>KRAV-AUTO-000393</t>
  </si>
  <si>
    <t>cmm4yurf204hecuqwvl3ipi92</t>
  </si>
  <si>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</si>
  <si>
    <t>KRAV-AUTO-000394</t>
  </si>
  <si>
    <t>KRAV-AUTO-000395</t>
  </si>
  <si>
    <t>MB Gräv &amp; Last AB Hur ofta ska avfallet transporteras bort?</t>
  </si>
  <si>
    <t>http://localhost:8787/api/admin/requirements/documents/cmm4yuren04gzcuqwx63secqv/view</t>
  </si>
  <si>
    <t>KRAV-AUTO-000396</t>
  </si>
  <si>
    <t>cmm4yuren04gzcuqwx63secqv</t>
  </si>
  <si>
    <t>KRAV-AUTO-000397</t>
  </si>
  <si>
    <t>Nämnden anser inte att en bullerutredning är skälig då bullret från mellanlagringen kommer vara lågt och endast förekomma vid användning och sortering av massorna.</t>
  </si>
  <si>
    <t>KRAV-AUTO-000398</t>
  </si>
  <si>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samhallsbyggnad@ornskoldsvik.se 0660-849 67 återkommande impulser som vid nitningsarbete, lossning av metallskrot och liknande eller innehåller ljud med tydligt hörbara tonkomponenter bör värdena ovan sänkas med 5 dBA.</t>
  </si>
  <si>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t>
  </si>
  <si>
    <t>http://localhost:8787/api/admin/requirements/documents/cmm4yurek04gwcuqw9v5w0hxt/view</t>
  </si>
  <si>
    <t>KRAV-AUTO-000399</t>
  </si>
  <si>
    <t>cmm4yurek04gwcuqw9v5w0hxt</t>
  </si>
  <si>
    <t>Namn Sammansättning Mängd/år Användningsområde Iw &amp; CC — — Beskriv pa vilket sätt kemiska produkter förvaras på fastigheten (inomhus/utomhus, närhet till golvavlopp, dagvattenbrunnar, max lagerhållen volym, m.m.).</t>
  </si>
  <si>
    <t>http://localhost:8787/api/admin/requirements/documents/cmm4yure604ghcuqw62m2b2d9/view</t>
  </si>
  <si>
    <t>KRAV-AUTO-000400</t>
  </si>
  <si>
    <t>cmm4yure604ghcuqw62m2b2d9</t>
  </si>
  <si>
    <t>Kemikalier och farligt avfall Invallning och nederbördsskydd av kemikalier och farligt avfall är viktigt för att förhindra spill och läckage som kan skada människors hälsa och miljön.</t>
  </si>
  <si>
    <t>KRAV-AUTO-000401</t>
  </si>
  <si>
    <t>Invallningen ska vara utformad så att den inte fylls med nederbörd.</t>
  </si>
  <si>
    <t>KRAV-AUTO-000402</t>
  </si>
  <si>
    <t>Dagvatten från återvinningsytan för icke-farligt avfall ska samlas upp och passerar genom en tät sedimentationsdamm.</t>
  </si>
  <si>
    <t>http://localhost:8787/api/admin/requirements/documents/cmm4yure404gecuqwonagntdx/view</t>
  </si>
  <si>
    <t>KRAV-AUTO-000403</t>
  </si>
  <si>
    <t>cmm4yure404gecuqwonagntdx</t>
  </si>
  <si>
    <t>4 Nederbördsstatistik for dimensionering av dagvattensystem —’State of the Art’, SMHI 2020-03-11 18 -- 18 of 29 -- 8.2.2 Utslapp till vatten generellt Dagvatten fran atervinningsytan för icke-farligt avfall ska samlas upp och passerar genom en tät sedimentationsdamm.</t>
  </si>
  <si>
    <t>KRAV-AUTO-000404</t>
  </si>
  <si>
    <t>Sortering föregår andra typer av bearbetningsmetoder för att minska mängden massor som måste bortskaffas.</t>
  </si>
  <si>
    <t>KRAV-AUTO-000405</t>
  </si>
  <si>
    <t>På anläggningen är riskerna att föroreningar ska spridas till omgivande mark och vatten vid ett eventuellt läckage mycket liten då all verksamhet sker på asfalterade ytor med uppsamling och hantering av dagvatten och eventuella spill.</t>
  </si>
  <si>
    <t>http://localhost:8787/api/admin/requirements/documents/cmm4yurdt04g2cuqwnjbo5z95/view</t>
  </si>
  <si>
    <t>KRAV-AUTO-000406</t>
  </si>
  <si>
    <t>cmm4yurdt04g2cuqwnjbo5z95</t>
  </si>
  <si>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www.ornskoldsvik.se 0660-880 00 Fax 0660-849 67 2(3) ÖRNSKÖLDSVIKS KOMMUN Anmälan om krossverksamhet, asfalt- och oljegrustillverkning 9 kap 6 § miljöbalken (1998:808) samt 10-11 §§ miljöprövningsförordningen (2013:251) Skickas in av verksamhetsutövaren i god tid verksamheten påbörjas.</t>
  </si>
  <si>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t>
  </si>
  <si>
    <t>http://localhost:8787/api/admin/requirements/documents/cmm4yurdq04fzcuqwsyl3rad1/view</t>
  </si>
  <si>
    <t>KRAV-AUTO-000407</t>
  </si>
  <si>
    <t>cmm4yurdq04fzcuqwsyl3rad1</t>
  </si>
  <si>
    <t>KRAV-AUTO-000408</t>
  </si>
  <si>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</si>
  <si>
    <t>KRAV-AUTO-000409</t>
  </si>
  <si>
    <t>Verksamhetsutövaren ska lämna förslag på kontrollprogram eller förbättrande åtgärder om tillsynsmyndigheten begär det.</t>
  </si>
  <si>
    <t>http://localhost:8787/api/admin/requirements/documents/cmm4yurdm04fwcuqwy9jsatvw/view</t>
  </si>
  <si>
    <t>KRAV-AUTO-000410</t>
  </si>
  <si>
    <t>cmm4yurdm04fwcuqwy9jsatvw</t>
  </si>
  <si>
    <t>LokaliseringPlats</t>
  </si>
  <si>
    <t>Skyddsobjekt</t>
  </si>
  <si>
    <t>Ange vilka bilagor som följer med anmälan Bilaga 1 Situationsplan över fastigheten, karta eller liknande Bilaga 3 Allmänna hänsynsregler Bilaga 2 Avfall Bilaga 4 Annat: Skickas in av verksamhetsutövaren i god tid innan mellanlagringen påbörjas.</t>
  </si>
  <si>
    <t>http://localhost:8787/api/admin/requirements/documents/cmm4yurd804fhcuqw6hiurhyu/view</t>
  </si>
  <si>
    <t>KRAV-AUTO-000411</t>
  </si>
  <si>
    <t>ADMIN-INDEX-2026-02-27-00000000125C043F57453246863FE664CAFE6A3F0700950291EA24F0614FB6ACEDB12BF0E31D00000000010C0000950291EA24F0614FB6ACEDB12BF0E31D00002087A57F0000</t>
  </si>
  <si>
    <t>cmm4yurd804fhcuqw6hiurhyu</t>
  </si>
  <si>
    <t>2024-923Miljöfarlig verksamhet, anmälan _ ändring - 10928.pdf</t>
  </si>
  <si>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Notifieringar E-post Mobiltelefon 0702167511 E-postadress jesper.gunnarsson@yahoo.se Telefon 043321040 För- och efternamn Jesper Gunnarsson Kontaktperson 2.</t>
  </si>
  <si>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t>
  </si>
  <si>
    <t>http://localhost:8787/api/admin/requirements/documents/cmm4yurcr04ezcuqwhc9p3iuj/view</t>
  </si>
  <si>
    <t>KRAV-AUTO-000412</t>
  </si>
  <si>
    <t>cmm4yurcr04ezcuqwhc9p3iuj</t>
  </si>
  <si>
    <t>Flöden, utsläppspunkter, uppskattade vattenföroreningsmängder.</t>
  </si>
  <si>
    <t>KRAV-AUTO-000413</t>
  </si>
  <si>
    <t>* Ja Nej Ange luftflöden, utsläppspunkter och uppskattade luftföroreningsmängder Reningsmetod Finns vattenrening?</t>
  </si>
  <si>
    <t>KRAV-AUTO-000414</t>
  </si>
  <si>
    <t>* Ja Nej Från vilka processer förekommer spillvatten (ej WC, kök m.m.) Ange flöden, utsläppspunkter och uppskattade vattenföroreningsmängder.</t>
  </si>
  <si>
    <t>http://localhost:8787/api/admin/requirements/documents/cmm4yurco04ewcuqwgtxybrxw/view</t>
  </si>
  <si>
    <t>KRAV-AUTO-000415</t>
  </si>
  <si>
    <t>cmm4yurco04ewcuqwgtxybrxw</t>
  </si>
  <si>
    <t>Bilaga Beskrivning av verksamhet Husbehovstäkt På fastigheten Åmot 3:3 (se karta) önskar man att bryta mer än 10 000 ton naturgrus för markinnehavarens husbehov.</t>
  </si>
  <si>
    <t>http://localhost:8787/api/admin/requirements/documents/cmm4yurcl04etcuqwxvc69l8l/view</t>
  </si>
  <si>
    <t>KRAV-AUTO-000416</t>
  </si>
  <si>
    <t>cmm4yurcl04etcuqwxvc69l8l</t>
  </si>
  <si>
    <t>Tillstånds- eller anmälningspliktiga verksamheter med villkor eller förelägganden om utsläppsgränser, ska även följa Naturvårdsverkets föreskrifter om genomförande av mätningar och provtagningar i vissa verksamheter NFS 2000:15.</t>
  </si>
  <si>
    <t>KRAV-AUTO-000417</t>
  </si>
  <si>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enligt följande: 1.</t>
  </si>
  <si>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t>
  </si>
  <si>
    <t>KRAV-AUTO-000418</t>
  </si>
  <si>
    <t>Kemikalier, avfall samt farligt ska vara märkta med uppgifter om innehållet 5.</t>
  </si>
  <si>
    <t>http://localhost:8787/api/admin/requirements/documents/cmm4yurc904ehcuqwgr00kwg3/view</t>
  </si>
  <si>
    <t>KRAV-AUTO-000419</t>
  </si>
  <si>
    <t>cmm4yurc904ehcuqwgr00kwg3</t>
  </si>
  <si>
    <t>Ändringar i verksamheten som berör hanteringen och lagringen av avfallet skall anmälas till bygg- och miljönämnden i Kävlinge kommun.</t>
  </si>
  <si>
    <t>KRAV-AUTO-000420</t>
  </si>
  <si>
    <t>6§ Verksamhetsutövaren skall fortlöpande och systematiskt undersöka och bedöma riskerna med verksamheten från hälso- och miljösynpunkt.</t>
  </si>
  <si>
    <t>KRAV-AUTO-000421</t>
  </si>
  <si>
    <t>Samtliga massor ska provtagas av sakkunnig och analyseras på ackrediterat laboratorium med avseende på PAH, alifater, aromater, BTEX och metaller.</t>
  </si>
  <si>
    <t>http://localhost:8787/api/admin/requirements/documents/cmm4yurc104e8cuqw1sywk36x/view</t>
  </si>
  <si>
    <t>KRAV-AUTO-000422</t>
  </si>
  <si>
    <t>cmm4yurc104e8cuqw1sywk36x</t>
  </si>
  <si>
    <t>KRAV-AUTO-000423</t>
  </si>
  <si>
    <t>Råvaran/produktens namn Mängd/år Andvändningsområde Köldmedia 20 liter Verksamheternas kyl-frysskåp som ej längre behövs eller är kasserade Ange hur kemiska produkter kommer att lagras och hanteras.</t>
  </si>
  <si>
    <t>http://localhost:8787/api/admin/requirements/documents/cmm4yurby04e5cuqweqjufp84/view</t>
  </si>
  <si>
    <t>KRAV-AUTO-000424</t>
  </si>
  <si>
    <t>cmm4yurby04e5cuqweqjufp84</t>
  </si>
  <si>
    <t>Ändringar i verksamheten som berör hanteringen och lagringen av avfall skall anmälas till bygg- och miljönämnden i Kävlinge kommun.</t>
  </si>
  <si>
    <t>KRAV-AUTO-000425</t>
  </si>
  <si>
    <t>KRAV-AUTO-000426</t>
  </si>
  <si>
    <t>4§ För varje verksamhet skall finnas en fastställd och dokumenterad fördelning av det organisatoriska ansvaret för de frågor som gäller för verksamheten enligt 1.</t>
  </si>
  <si>
    <t>http://localhost:8787/api/admin/requirements/documents/cmm4yurbn04dtcuqw3ufu813o/view</t>
  </si>
  <si>
    <t>KRAV-AUTO-000427</t>
  </si>
  <si>
    <t>cmm4yurbn04dtcuqw3ufu813o</t>
  </si>
  <si>
    <t>Absorptionsmedel och tätningslock till dagvattenbrunnar ska finnas där hantering av farligt avfall och kemiska produkter sker.</t>
  </si>
  <si>
    <t>KRAV-AUTO-000428</t>
  </si>
  <si>
    <t>Avfall ska källsorteras.</t>
  </si>
  <si>
    <t>KRAV-AUTO-000429</t>
  </si>
  <si>
    <t>Övriga upplysningar Avfall från verksamheter ska källsorteras så långt möjligt.</t>
  </si>
  <si>
    <t>http://localhost:8787/api/admin/requirements/documents/cmm4yurbl04dqcuqwye3c2z1g/view</t>
  </si>
  <si>
    <t>KRAV-AUTO-000430</t>
  </si>
  <si>
    <t>cmm4yurbl04dqcuqwye3c2z1g</t>
  </si>
  <si>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massornas egenskaper.</t>
  </si>
  <si>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t>
  </si>
  <si>
    <t>KRAV-AUTO-000431</t>
  </si>
  <si>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 där följande framgår: 1.</t>
  </si>
  <si>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t>
  </si>
  <si>
    <t>KRAV-AUTO-000432</t>
  </si>
  <si>
    <t>Anmälan kan göras frivilligt för att det ska finnas dokumenterat i bygg och miljöenhetens arkiv vad det är för sorts avfall och vilka bedömningar om risken som gjordes innan uppläggningen.</t>
  </si>
  <si>
    <t>http://localhost:8787/api/admin/requirements/documents/cmm4yurbi04dncuqw8f0v2ghg/view</t>
  </si>
  <si>
    <t>KRAV-AUTO-000433</t>
  </si>
  <si>
    <t>cmm4yurbi04dncuqw8f0v2ghg</t>
  </si>
  <si>
    <t>· Massorna av betong får inte innehålla annat avfall såsom isolering, järn, kabel eller plast.</t>
  </si>
  <si>
    <t>KRAV-AUTO-000434</t>
  </si>
  <si>
    <t>Betongen kommer inte läggas i fuktig mark eller i grundvatten samt ytan kommer att hårdgöras för parkeringsanläggningen vilket gör att risken för urlakning minskar.</t>
  </si>
  <si>
    <t>KRAV-AUTO-000435</t>
  </si>
  <si>
    <t>· Avfallet ska läggas över grundvattennivån.</t>
  </si>
  <si>
    <t>http://localhost:8787/api/admin/requirements/documents/cmm4yurbf04dkcuqw8qm2tlcb/view</t>
  </si>
  <si>
    <t>KRAV-AUTO-000436</t>
  </si>
  <si>
    <t>cmm4yurbf04dkcuqw8qm2tlcb</t>
  </si>
  <si>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</si>
  <si>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</si>
  <si>
    <t>http://localhost:8787/api/admin/requirements/documents/cmm4yurbb04dhcuqw5ukgmklk/view</t>
  </si>
  <si>
    <t>KRAV-AUTO-000437</t>
  </si>
  <si>
    <t>cmm4yurbb04dhcuqw5ukgmklk</t>
  </si>
  <si>
    <t>Anmälningsplikt C och verksamhetskod 90.80 gäller för att sortera icke farligt avfall om mängden avfall är mer än 1000 ton per kalenderår och avfallet ska användas för byggnads- eller anläggningsändamål.</t>
  </si>
  <si>
    <t>KRAV-AUTO-000438</t>
  </si>
  <si>
    <t>MIL.2024.21 11 Sida 4 (6) · Om det tydligt anges att det som önskas är hela och rena kläder och andra textilier som kan användas igen bör man inte betrakta textilen som avfall eller insamlingen som avfallsinsamling.</t>
  </si>
  <si>
    <t>KRAV-AUTO-000439</t>
  </si>
  <si>
    <t>Mer än 10 ton men högst 30 000 ton och avfallet ska användas för byggnads eller anläggningsändamål 2.</t>
  </si>
  <si>
    <t>http://localhost:8787/api/admin/requirements/documents/cmm4yuraj04cncuqwndhbxyt2/view</t>
  </si>
  <si>
    <t>KRAV-AUTO-000440</t>
  </si>
  <si>
    <t>cmm4yuraj04cncuqwndhbxyt2</t>
  </si>
  <si>
    <t>Ifråga om farligt avfall bör avfallslämnaren även kontrollera att mottagaren har det tillstånd som krävs för att hantera avfallet.</t>
  </si>
  <si>
    <t>KRAV-AUTO-000441</t>
  </si>
  <si>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</si>
  <si>
    <t>KRAV-AUTO-000442</t>
  </si>
  <si>
    <t> Farligt avfall och lagring kemiska produkter ska hanteras så att spridning ut i omgivningen inte sker.</t>
  </si>
  <si>
    <t>http://localhost:8787/api/admin/requirements/documents/cmm4yurag04ckcuqwoxpju3a2/view</t>
  </si>
  <si>
    <t>KRAV-AUTO-000443</t>
  </si>
  <si>
    <t>cmm4yurag04ckcuqwoxpju3a2</t>
  </si>
  <si>
    <t>Mängder borttransporterade massor Från området har körts bort 1 049,1 ton jordmaterial och 167,46 ton asfalt, se faktureringsunderlag enligt bilaga 3.</t>
  </si>
  <si>
    <t>KRAV-AUTO-000444</t>
  </si>
  <si>
    <t>Diarienummer: MIL.2024.1156 Beskrivning av genomfört arbete Arbetena med schakt, provtagning och borttransport av material har utförts under februari- mars 2025.</t>
  </si>
  <si>
    <t>KRAV-AUTO-000445</t>
  </si>
  <si>
    <t>-- 1 of 2 -- Bilagor: Bilaga 1: Kartbilder över området Bilaga 2: Föroreningstabell över genomförd provtagning Bilaga 3: Fakturaunderlag gällande bortkörda massor -- 2 of 2 --</t>
  </si>
  <si>
    <t>http://localhost:8787/api/admin/requirements/documents/cmm4yurac04chcuqwh3tl0khu/view</t>
  </si>
  <si>
    <t>KRAV-AUTO-000446</t>
  </si>
  <si>
    <t>cmm4yurac04chcuqwh3tl0khu</t>
  </si>
  <si>
    <t>I höjd med Aringsås 19:25's södra tomtgräns ska en schakt för dagvattenledning ske.</t>
  </si>
  <si>
    <t>KRAV-AUTO-000447</t>
  </si>
  <si>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</si>
  <si>
    <t>KRAV-AUTO-000448</t>
  </si>
  <si>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</si>
  <si>
    <t>http://localhost:8787/api/admin/requirements/documents/cmm4yur9304b5cuqwauhbo864/view</t>
  </si>
  <si>
    <t>KRAV-AUTO-000449</t>
  </si>
  <si>
    <t>ADMIN-INDEX-2026-02-27-00000000125C043F57453246863FE664CAFE6A3F0700950291EA24F0614FB6ACEDB12BF0E31D00000000010C0000950291EA24F0614FB6ACEDB12BF0E31D00002087A58C0000</t>
  </si>
  <si>
    <t>cmm4yur9304b5cuqwauhbo864</t>
  </si>
  <si>
    <t>m-2025-851_Föreläggande om försiktighetsmått.pdf</t>
  </si>
  <si>
    <t>KRAV-AUTO-000450</t>
  </si>
  <si>
    <t>Invallningen för flytande icke-farligt avfall ska rymma minst den största behållarens volym plus 10 %.</t>
  </si>
  <si>
    <t>KRAV-AUTO-000451</t>
  </si>
  <si>
    <t>Vid anläggningen ska tättingar eller annan likvärdig utrustning finnas för att hindra att spill eller läckage av flytande avfall hamnar i dagvattennätet.</t>
  </si>
  <si>
    <t>http://localhost:8787/api/admin/requirements/documents/cmm4yur8u04awcuqwamg5io3f/view</t>
  </si>
  <si>
    <t>KRAV-AUTO-000452</t>
  </si>
  <si>
    <t>cmm4yur8u04awcuqwamg5io3f</t>
  </si>
  <si>
    <t>Provtagningen visar att avfallsmassorna som ska återanvändas är av kvalitén att klara mindre känslig markanvändning.</t>
  </si>
  <si>
    <t>KRAV-AUTO-000453</t>
  </si>
  <si>
    <t>Massorna uppskattas till 2000 ton och en markprovtagning av massorna inom schaktningsområdet har genomförts av SWECO.</t>
  </si>
  <si>
    <t>KRAV-AUTO-000454</t>
  </si>
  <si>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</si>
  <si>
    <t>http://localhost:8787/api/admin/requirements/documents/cmm4yur8q04atcuqw4s199oap/view</t>
  </si>
  <si>
    <t>KRAV-AUTO-000455</t>
  </si>
  <si>
    <t>cmm4yur8q04atcuqw4s199oap</t>
  </si>
  <si>
    <t>Massorna har sorterats och provtagits och uppskattas till mängden 25 ton.</t>
  </si>
  <si>
    <t>KRAV-AUTO-000456</t>
  </si>
  <si>
    <t>KRAV-AUTO-000457</t>
  </si>
  <si>
    <t>http://localhost:8787/api/admin/requirements/documents/cmm4yur8f04ahcuqwwwzodl6h/view</t>
  </si>
  <si>
    <t>KRAV-AUTO-000458</t>
  </si>
  <si>
    <t>ADMIN-INDEX-2026-02-27-00000000125C043F57453246863FE664CAFE6A3F0700950291EA24F0614FB6ACEDB12BF0E31D00000000010C0000950291EA24F0614FB6ACEDB12BF0E31D00002087A58F0000</t>
  </si>
  <si>
    <t>cmm4yur8f04ahcuqwwwzodl6h</t>
  </si>
  <si>
    <t>Marks</t>
  </si>
  <si>
    <t>Marks kommun</t>
  </si>
  <si>
    <t>MIL.2025.1276.pdf</t>
  </si>
  <si>
    <t>En rutin för hantering av damm finns i kontrollprogrammet för att minska risken att närboende störs.</t>
  </si>
  <si>
    <t>KRAV-AUTO-000459</t>
  </si>
  <si>
    <t>• Allt avfall som tas emot ska åtföljas av dokumentation som anger mottagningsdatum, mängd och avfallstyp.</t>
  </si>
  <si>
    <t>KRAV-AUTO-000460</t>
  </si>
  <si>
    <t>Avfallsproducenten måste även fylla i en digital mottagningsblankett som bland annat visar var och vilket typområde massorna kommer från så att Massoptimering får indikation på om det kan behövas ytterligare provtagning.</t>
  </si>
  <si>
    <t>http://localhost:8787/api/admin/requirements/documents/cmm4yur8b04abcuqwioo7w9vg/view</t>
  </si>
  <si>
    <t>KRAV-AUTO-000461</t>
  </si>
  <si>
    <t>cmm4yur8b04abcuqwioo7w9vg</t>
  </si>
  <si>
    <t>I provtagningen av dagvatten vill man fortsätta att fokusera på de parametrar som är problematiska d.v.s metaller.</t>
  </si>
  <si>
    <t>KRAV-AUTO-000462</t>
  </si>
  <si>
    <t>Risker och miljökonsekvenser Syftet med installationen är att innehålla riktvärden för utgående dagvatten och avser därför att minska risker för att förorenat dagvatten når Reningsverket.</t>
  </si>
  <si>
    <t>KRAV-AUTO-000463</t>
  </si>
  <si>
    <t>I samråd med miljöenheten kom vi fram till att föreläggandet om gräns- och riktvärden för dagvatten, i ärende MIL.2019.121, kan upphävas.</t>
  </si>
  <si>
    <t>http://localhost:8787/api/admin/requirements/documents/cmm4yuqjs03nncuqw2tfjq4a3/view</t>
  </si>
  <si>
    <t>KRAV-AUTO-000464</t>
  </si>
  <si>
    <t>ADMIN-INDEX-2026-02-27-00000000125C043F57453246863FE664CAFE6A3F0700950291EA24F0614FB6ACEDB12BF0E31D00000000010C0000950291EA24F0614FB6ACEDB12BF0E31D00002087ADF10000</t>
  </si>
  <si>
    <t>cmm4yuqjs03nncuqw2tfjq4a3</t>
  </si>
  <si>
    <t>anmälan 2024-1627.pdf</t>
  </si>
  <si>
    <t>För att minska nedskräpning från förpackningarna så hanteras dem i ett betongfack och upplastning kommer ske så snabbt som möjligt efter materialet kommit in.</t>
  </si>
  <si>
    <t>KRAV-AUTO-000465</t>
  </si>
  <si>
    <t>Mottagningskontroll, avvikelsehantering, riskbedömning, beredskapsplan osv sker enligt Bolagets centrala rutiner och anläggningens egenkontroll, som är certifierat enligt ISO 9001 och 14001.</t>
  </si>
  <si>
    <t>http://localhost:8787/api/admin/requirements/documents/cmm4yur7d049bcuqwpx6ueoru/view</t>
  </si>
  <si>
    <t>KRAV-AUTO-000466</t>
  </si>
  <si>
    <t>cmm4yur7d049bcuqwpx6ueoru</t>
  </si>
  <si>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bostäder, närliggande anläggningar och andra områden av intresse (naturreservat, lekplatser, vattenskyddsområde) Verksamheten kommer vara placerad vid Emanuelsson Åkeris etablering i Ekshärad inom inhägnat område.</t>
  </si>
  <si>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t>
  </si>
  <si>
    <t>http://localhost:8787/api/admin/requirements/documents/cmm4yuqjl03nhcuqw2brl9og9/view</t>
  </si>
  <si>
    <t>KRAV-AUTO-000467</t>
  </si>
  <si>
    <t>cmm4yuqjl03nhcuqw2brl9og9</t>
  </si>
  <si>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</si>
  <si>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</si>
  <si>
    <t>KRAV-AUTO-000468</t>
  </si>
  <si>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</si>
  <si>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</si>
  <si>
    <t>KRAV-AUTO-000469</t>
  </si>
  <si>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</si>
  <si>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</si>
  <si>
    <t>http://localhost:8787/api/admin/requirements/documents/cmm4yur6n048kcuqwga0fe72r/view</t>
  </si>
  <si>
    <t>KRAV-AUTO-000470</t>
  </si>
  <si>
    <t>cmm4yur6n048kcuqwga0fe72r</t>
  </si>
  <si>
    <t>Lagring av flytande kemiska produkter och flytande farligt avfall ska ske i tät invallning.</t>
  </si>
  <si>
    <t>KRAV-AUTO-000471</t>
  </si>
  <si>
    <t>För att säkerställa korrekt och säker hantering bör behållare som innehåller kemikalier och flytande farligt avfall förvaras i täta invallningar och vara tydligt märkta.</t>
  </si>
  <si>
    <t>KRAV-AUTO-000472</t>
  </si>
  <si>
    <t>Dag- och lakvatten från lagringsplatsen ska ledas till en tät brunn på 2500 m³.</t>
  </si>
  <si>
    <t>http://localhost:8787/api/admin/requirements/documents/cmm4yurb304d8cuqwoeku548e/view</t>
  </si>
  <si>
    <t>KRAV-AUTO-000473</t>
  </si>
  <si>
    <t>cmm4yurb304d8cuqwoeku548e</t>
  </si>
  <si>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användas på platsen Lastbil, traktorer Åtgärder för att återställning av platsen Platsen återställs efter behov Eventuell kompletterande information för att beskriva verksamheten och dess mijöeffekter En kortare period av insamling och mellanlagring av begagnad lantbruksplast som sedan ska återvinnas i Korsberga eller Stigamo.</t>
  </si>
  <si>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t>
  </si>
  <si>
    <t>http://localhost:8787/api/admin/requirements/documents/cmm4yur4a046bcuqwmcjygg3z/view</t>
  </si>
  <si>
    <t>KRAV-AUTO-000474</t>
  </si>
  <si>
    <t>ADMIN-INDEX-2026-02-27-00000000125C043F57453246863FE664CAFE6A3F0700950291EA24F0614FB6ACEDB12BF0E31D00000000010C0000950291EA24F0614FB6ACEDB12BF0E31D00002087A5AF0000</t>
  </si>
  <si>
    <t>cmm4yur4a046bcuqwmcjygg3z</t>
  </si>
  <si>
    <t>Beskrivning av avnmälan.pdf</t>
  </si>
  <si>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uppdateras.</t>
  </si>
  <si>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t>
  </si>
  <si>
    <t>KRAV-AUTO-000475</t>
  </si>
  <si>
    <t>Efter återställningen av djupet 2023 gjordes kompletterande provtagning och laboratorie- analys av bottenmaterialet, de långa alifaterna bedömdes då vara humusämnen.</t>
  </si>
  <si>
    <t>http://localhost:8787/api/admin/requirements/documents/cmm4yur470468cuqwrbtsyqls/view</t>
  </si>
  <si>
    <t>KRAV-AUTO-000476</t>
  </si>
  <si>
    <t>cmm4yur470468cuqwrbtsyqls</t>
  </si>
  <si>
    <t>Bilagor Situationsplan Planritning Vid behov till exempel VA-ritning, teknisk beskrivning, riskbedömning, kemikalieförteckning Signatur Göteborg 250711 Morton Hellgesson sid 2/2 Ale kommun SE-449 80 Alafors 212000-1439 0303-70 30 00 kommun@ale.se www.ale.se</t>
  </si>
  <si>
    <t>KRAV-AUTO-000477</t>
  </si>
  <si>
    <t>sid 1/2 Ale kommun SE-449 80 Alafors 212000-1439 0303-70 30 00 kommun@ale.se www.ale.se Cistern för förvaring av brandfarlig vätska eller spillolja kommer finnas.</t>
  </si>
  <si>
    <t>http://localhost:8787/api/admin/requirements/documents/cmm4yur3u045wcuqwtxlgiv42/view</t>
  </si>
  <si>
    <t>KRAV-AUTO-000478</t>
  </si>
  <si>
    <t>ADMIN-INDEX-2026-02-27-00000000125C043F57453246863FE664CAFE6A3F0700950291EA24F0614FB6ACEDB12BF0E31D00000000010C0000950291EA24F0614FB6ACEDB12BF0E31D00002087A5B00000</t>
  </si>
  <si>
    <t>cmm4yur3u045wcuqwtxlgiv42</t>
  </si>
  <si>
    <t>Situationsplan.pdf</t>
  </si>
  <si>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Rättigheter Bäck, Mitt Höjdkurva, 1m ekvidis Ägoslagsgräns / kantli Lövskog Barrskog Kärr Berg symbol / Inmätt h Ägoslagsgräns / kantli Slänt, Släntkrön Släntbeteckning Slänt, Släntfot Stengärdesgård, mittli Dike, Mitt Dikeskantlinjer och dik Staket Häck, Mitt Körbana, asfalterad vä Elledning/ Luftledning</t>
  </si>
  <si>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
  </si>
  <si>
    <t>http://localhost:8787/api/admin/requirements/documents/cmm4yur3q045tcuqwfup8y4uh/view</t>
  </si>
  <si>
    <t>KRAV-AUTO-000479</t>
  </si>
  <si>
    <t>cmm4yur3q045tcuqwfup8y4uh</t>
  </si>
  <si>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 • • Vattendrag • Vattentäkters placering (egen och grannars) • Transportvägar • Grannfastigheter • Översiktskarta Kommer förekomma transport in till fastighet från Starrkärrsvägen Älvängen 2025-07-01 Sebastian Faltin -- 2 of 2 --</t>
  </si>
  <si>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t>
  </si>
  <si>
    <t>http://localhost:8787/api/admin/requirements/documents/cmm4yur3b045hcuqwrrudf9ye/view</t>
  </si>
  <si>
    <t>KRAV-AUTO-000480</t>
  </si>
  <si>
    <t>cmm4yur3b045hcuqwrrudf9ye</t>
  </si>
  <si>
    <t>Vi uppskattar den lagrade mängd som finns till bearbetning till 10 000 ton.och grovsorteras (= med en st.</t>
  </si>
  <si>
    <t>http://localhost:8787/api/admin/requirements/documents/cmm4yur300458cuqwtm7fg31i/view</t>
  </si>
  <si>
    <t>KRAV-AUTO-000481</t>
  </si>
  <si>
    <t>cmm4yur300458cuqwtm7fg31i</t>
  </si>
  <si>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 Vägtrumma -6420600 79 78 84 81 41:7 82 84 84 74 -6420500 -6420400</t>
  </si>
  <si>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t>
  </si>
  <si>
    <t>http://localhost:8787/api/admin/requirements/documents/cmm4yur2p044zcuqwd50bmrv8/view</t>
  </si>
  <si>
    <t>KRAV-AUTO-000482</t>
  </si>
  <si>
    <t>cmm4yur2p044zcuqwd50bmrv8</t>
  </si>
  <si>
    <t>Verksamheten skall mellanlagra samt även krossa riven asfalt på fastigheten Tärendö 2:3.</t>
  </si>
  <si>
    <t>KRAV-AUTO-000483</t>
  </si>
  <si>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</si>
  <si>
    <t>KRAV-AUTO-000484</t>
  </si>
  <si>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anläggningsändamål.</t>
  </si>
  <si>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t>
  </si>
  <si>
    <t>http://localhost:8787/api/admin/requirements/documents/cmm4yur2h044tcuqw0jisb5tb/view</t>
  </si>
  <si>
    <t>KRAV-AUTO-000485</t>
  </si>
  <si>
    <t>cmm4yur2h044tcuqw0jisb5tb</t>
  </si>
  <si>
    <t>• Bolaget behöver förtydliga hur stor del av den totala angivna mängden morän, dvs 50 000 ton, som ska nyttjas till efterbehandling samt om det kommer påverka antalet transporter från täktområdet.</t>
  </si>
  <si>
    <t>KRAV-AUTO-000486</t>
  </si>
  <si>
    <t>Miljöprövningsdelegationen anser att bolaget behöver förtydliga hur stor del av den totala angivna mängden morän, dvs 50 000 ton, som ska nyttjas till efterbehandling samt om det kommer påverka antalet transporter från täktområdet.</t>
  </si>
  <si>
    <t>http://localhost:8787/api/admin/requirements/documents/cmm4yur2d044qcuqwicesib1o/view</t>
  </si>
  <si>
    <t>KRAV-AUTO-000487</t>
  </si>
  <si>
    <t>cmm4yur2d044qcuqwicesib1o</t>
  </si>
  <si>
    <t>Redovisa i så fall vilka utredningar du ska göra och vilka provisoriska villkor som ska gälla under prövotiden.</t>
  </si>
  <si>
    <t>KRAV-AUTO-000488</t>
  </si>
  <si>
    <t>Spillskydd och absorptionsmedel skall användas vid arbetsmoment som kan innebära risk för spill av oljeprodukter.</t>
  </si>
  <si>
    <t>KRAV-AUTO-000489</t>
  </si>
  <si>
    <t>Ett förslag till kontrollprogram skall lämnas till tillsynsmyndigheten senast tre månader efter att detta beslut tagits i anspråk.</t>
  </si>
  <si>
    <t>http://localhost:8787/api/admin/requirements/documents/cmm4yur1w044bcuqwyzt0dug7/view</t>
  </si>
  <si>
    <t>KRAV-AUTO-000490</t>
  </si>
  <si>
    <t>cmm4yur1w044bcuqwyzt0dug7</t>
  </si>
  <si>
    <t>KRAV-AUTO-000491</t>
  </si>
  <si>
    <t>- Mellanlagring av högst 1 500 ton mesakalk och 1 500 ton riven asfalt vid något enskilt tillfälle, högst ett år om det ska bortskaffas eller högst tre år om avfallet ska återvinnas eller behandlas inom anläggningen.</t>
  </si>
  <si>
    <t>KRAV-AUTO-000492</t>
  </si>
  <si>
    <t>Invallningen ska utföras så att den volym som behållarna innehåller kan samlas upp vid läckage.</t>
  </si>
  <si>
    <t>http://localhost:8787/api/admin/requirements/documents/cmm4yur1o0445cuqwxuhvyn1e/view</t>
  </si>
  <si>
    <t>KRAV-AUTO-000493</t>
  </si>
  <si>
    <t>ADMIN-INDEX-2026-02-27-00000000125C043F57453246863FE664CAFE6A3F0700950291EA24F0614FB6ACEDB12BF0E31D00000000010C0000950291EA24F0614FB6ACEDB12BF0E31D00002087A5B60000</t>
  </si>
  <si>
    <t>cmm4yur1o0445cuqwxuhvyn1e</t>
  </si>
  <si>
    <t>E-POSTADRESS Varbergs</t>
  </si>
  <si>
    <t>E-POSTADRESS Varbergs kommun</t>
  </si>
  <si>
    <t>Beslut Grävtjänst.pdf</t>
  </si>
  <si>
    <t>Provtagning ska utföras av certifierad provtagare och ska analyseras på ackrediterat laboratorium.</t>
  </si>
  <si>
    <t>KRAV-AUTO-000494</t>
  </si>
  <si>
    <t>Utgående vatten från reningsanläggningen ska klara de målsättningssättningsvärden som anges i bilaga B i Dagvattenanvisningar för Falkenbergs och Varbergs kommuner (2017 03-31) och reningsanläggningen ska konstrueras för detta ändamål.</t>
  </si>
  <si>
    <t>KRAV-AUTO-000495</t>
  </si>
  <si>
    <t>Om hörbara toner förekommer ska de angivna värdena sänkas med 5 dB (A)-enheter.</t>
  </si>
  <si>
    <t>http://localhost:8787/api/admin/requirements/documents/cmm4yur1l0442cuqwiobhkja5/view</t>
  </si>
  <si>
    <t>KRAV-AUTO-000496</t>
  </si>
  <si>
    <t>cmm4yur1l0442cuqwiobhkja5</t>
  </si>
  <si>
    <t>-- 1 of 1 -- 2:4 SKÄLBY 2:2 Dagvattenbrunn H=0,4 L=0,3 Dagvattenbrunn H=0,4 L=0,3 TRUCKVÄGEN 2.</t>
  </si>
  <si>
    <t>http://localhost:8787/api/admin/requirements/documents/cmm4yur0g042wcuqw7dqgvnqv/view</t>
  </si>
  <si>
    <t>KRAV-AUTO-000497</t>
  </si>
  <si>
    <t>ADMIN-INDEX-2026-02-27-00000000125C043F57453246863FE664CAFE6A3F0700950291EA24F0614FB6ACEDB12BF0E31D00000000010C0000950291EA24F0614FB6ACEDB12BF0E31D00002087A5C50000</t>
  </si>
  <si>
    <t>cmm4yur0g042wcuqw7dqgvnqv</t>
  </si>
  <si>
    <t>MILJ2024450.pdf</t>
  </si>
  <si>
    <t>· 90.80 - Att sortera icke-farligt avfall, om mängden avfall är mer än 1000 ton per kalenderår och avfallet ska användas för byggnads- eller anläggningsändamål, eller mer än 1 000 ton men högst 10 000 ton per kalenderår i andra fall.</t>
  </si>
  <si>
    <t>KRAV-AUTO-000498</t>
  </si>
  <si>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</si>
  <si>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</si>
  <si>
    <t>KRAV-AUTO-000499</t>
  </si>
  <si>
    <t>http://localhost:8787/api/admin/requirements/documents/cmm4yur0d042tcuqwjrz1yvx7/view</t>
  </si>
  <si>
    <t>KRAV-AUTO-000500</t>
  </si>
  <si>
    <t>cmm4yur0d042tcuqwjrz1yvx7</t>
  </si>
  <si>
    <t>KRAV-AUTO-000501</t>
  </si>
  <si>
    <t>KRAV-AUTO-000502</t>
  </si>
  <si>
    <t>http://localhost:8787/api/admin/requirements/documents/cmm4yur08042ncuqwokoyde4i/view</t>
  </si>
  <si>
    <t>KRAV-AUTO-000503</t>
  </si>
  <si>
    <t>cmm4yur08042ncuqwokoyde4i</t>
  </si>
  <si>
    <t>KRAV-AUTO-000504</t>
  </si>
  <si>
    <t>KRAV-AUTO-000505</t>
  </si>
  <si>
    <t>http://localhost:8787/api/admin/requirements/documents/cmm4yuqzv0428cuqw5ms9lenv/view</t>
  </si>
  <si>
    <t>KRAV-AUTO-000506</t>
  </si>
  <si>
    <t>ADMIN-INDEX-2026-02-27-00000000125C043F57453246863FE664CAFE6A3F0700950291EA24F0614FB6ACEDB12BF0E31D00000000010C0000950291EA24F0614FB6ACEDB12BF0E31D00002087A5CC0000</t>
  </si>
  <si>
    <t>cmm4yuqzv0428cuqw5ms9lenv</t>
  </si>
  <si>
    <t>Anmälan om miljöfarlig verksamhet - signed.pdf</t>
  </si>
  <si>
    <t>En uppdelning bör göras på process- kyl-, sanitärt- och dagvatten.</t>
  </si>
  <si>
    <t>KRAV-AUTO-000507</t>
  </si>
  <si>
    <t>Övrigt avfall Ange vilket övrigt avfall som uppkommer i verksamheten, eller sådant material som går till åt i i Material/avfall Mängd/år (ange om större mängder) Mellanlagras på angiven och isolerad plats, transporteras bort varteftersom.</t>
  </si>
  <si>
    <t>KRAV-AUTO-000508</t>
  </si>
  <si>
    <t>Sortera transporterar bort avfallet.</t>
  </si>
  <si>
    <t>http://localhost:8787/api/admin/requirements/documents/cmm4yuqzs0425cuqw7vi6pzyx/view</t>
  </si>
  <si>
    <t>KRAV-AUTO-000509</t>
  </si>
  <si>
    <t>cmm4yuqzs0425cuqw7vi6pzyx</t>
  </si>
  <si>
    <t>KRAV-AUTO-000510</t>
  </si>
  <si>
    <t>KRAV-AUTO-000511</t>
  </si>
  <si>
    <t>http://localhost:8787/api/admin/requirements/documents/cmm4yuqzp0422cuqwqz2sso82/view</t>
  </si>
  <si>
    <t>KRAV-AUTO-000512</t>
  </si>
  <si>
    <t>cmm4yuqzp0422cuqwqz2sso82</t>
  </si>
  <si>
    <t>KRAV-AUTO-000513</t>
  </si>
  <si>
    <t>KRAV-AUTO-000514</t>
  </si>
  <si>
    <t>http://localhost:8787/api/admin/requirements/documents/cmm4yur0n0435cuqwm93q1pqq/view</t>
  </si>
  <si>
    <t>KRAV-AUTO-000515</t>
  </si>
  <si>
    <t>ADMIN-INDEX-2026-02-27-00000000125C043F57453246863FE664CAFE6A3F0700950291EA24F0614FB6ACEDB12BF0E31D00000000010C0000950291EA24F0614FB6ACEDB12BF0E31D00002087A5C30000</t>
  </si>
  <si>
    <t>cmm4yur0n0435cuqwm93q1pqq</t>
  </si>
  <si>
    <t>MILJ20241666.pdf</t>
  </si>
  <si>
    <t>Vid användning av avfall för anläggningsändamål ska endast den mängd massor som behövs för att uppnå syftet användas.</t>
  </si>
  <si>
    <t>KRAV-AUTO-000516</t>
  </si>
  <si>
    <t>Det ska inte längre användas några betongmassor från Skanska för utfyllnad.</t>
  </si>
  <si>
    <t>KRAV-AUTO-000517</t>
  </si>
  <si>
    <t>Information För att anmälan om användning av avfall för anläggningsändamål ska kunna handläggas behöver den kompletteras med sidan två i blanketten.</t>
  </si>
  <si>
    <t>http://localhost:8787/api/admin/requirements/documents/cmm4yuqzg041tcuqwqn2oidhf/view</t>
  </si>
  <si>
    <t>KRAV-AUTO-000518</t>
  </si>
  <si>
    <t>cmm4yuqzg041tcuqwqn2oidhf</t>
  </si>
  <si>
    <t>KRAV-AUTO-000519</t>
  </si>
  <si>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 Kabel | 17 04 11 Däck | 16 01 06 f.) Osorterat bygg- och rivningsavfall får endast transporteras och tas emot vid anläggningen om mottagaren av avfallet har kontrollerat att den som producerat avfallet har ansökt om undantag från krav på utsortering.</t>
  </si>
  <si>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t>
  </si>
  <si>
    <t>http://localhost:8787/api/admin/requirements/documents/cmm4yur0k0432cuqweo5zpqdy/view</t>
  </si>
  <si>
    <t>KRAV-AUTO-000520</t>
  </si>
  <si>
    <t>ADMIN-INDEX-2026-02-27-00000000125C043F57453246863FE664CAFE6A3F0700950291EA24F0614FB6ACEDB12BF0E31D00000000010C0000950291EA24F0614FB6ACEDB12BF0E31D00002087A5C40000</t>
  </si>
  <si>
    <t>cmm4yur0k0432cuqweo5zpqdy</t>
  </si>
  <si>
    <t>KRAV-AUTO-000521</t>
  </si>
  <si>
    <t>KRAV-AUTO-000522</t>
  </si>
  <si>
    <t>http://localhost:8787/api/admin/requirements/documents/cmm4yuqx4041ecuqwevyodwuu/view</t>
  </si>
  <si>
    <t>KRAV-AUTO-000523</t>
  </si>
  <si>
    <t>cmm4yuqx4041ecuqwevyodwuu</t>
  </si>
  <si>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</si>
  <si>
    <t>http://localhost:8787/api/admin/requirements/documents/cmm4yuqwy0418cuqwlzj4qa28/view</t>
  </si>
  <si>
    <t>KRAV-AUTO-000524</t>
  </si>
  <si>
    <t>cmm4yuqwy0418cuqwlzj4qa28</t>
  </si>
  <si>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</si>
  <si>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</si>
  <si>
    <t>http://localhost:8787/api/admin/requirements/documents/cmm4yuqwp040zcuqw83rklvza/view</t>
  </si>
  <si>
    <t>KRAV-AUTO-000525</t>
  </si>
  <si>
    <t>ADMIN-INDEX-2026-02-27-00000000125C043F57453246863FE664CAFE6A3F0700950291EA24F0614FB6ACEDB12BF0E31D00000000010C0000950291EA24F0614FB6ACEDB12BF0E31D00002087A5D50000</t>
  </si>
  <si>
    <t>cmm4yuqwp040zcuqw83rklvza</t>
  </si>
  <si>
    <t>i Stenungsunds</t>
  </si>
  <si>
    <t>i Stenungsunds kommun</t>
  </si>
  <si>
    <t>M-2024-554.pdf</t>
  </si>
  <si>
    <t>Av historiska flygfoton över området så verkar det som det skett någon form av aktivitet mellan 2006 och 2009.</t>
  </si>
  <si>
    <t>KRAV-AUTO-000526</t>
  </si>
  <si>
    <t>Detta för att minska risken för stöld/sabotage.</t>
  </si>
  <si>
    <t>KRAV-AUTO-000527</t>
  </si>
  <si>
    <t>Gränsvärdena som avfallsmassorna ska innehålla är inte bedömda utifrån bakgrundshalter i området.</t>
  </si>
  <si>
    <t>http://localhost:8787/api/admin/requirements/documents/cmm4yuqwm040wcuqwc4vc7ri4/view</t>
  </si>
  <si>
    <t>KRAV-AUTO-000528</t>
  </si>
  <si>
    <t>cmm4yuqwm040wcuqwc4vc7ri4</t>
  </si>
  <si>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</si>
  <si>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</si>
  <si>
    <t>KRAV-AUTO-000529</t>
  </si>
  <si>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</si>
  <si>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</si>
  <si>
    <t>KRAV-AUTO-000530</t>
  </si>
  <si>
    <t>Anmälan avser ”mellanlagring av jord, grus och betong med mera”, med en uppskattad mängd av cirka 3000 ton per år.</t>
  </si>
  <si>
    <t>http://localhost:8787/api/admin/requirements/documents/cmm4yuqwg040qcuqw4w3wh8u8/view</t>
  </si>
  <si>
    <t>KRAV-AUTO-000531</t>
  </si>
  <si>
    <t>ADMIN-INDEX-2026-02-27-00000000125C043F57453246863FE664CAFE6A3F0700950291EA24F0614FB6ACEDB12BF0E31D00000000010C0000950291EA24F0614FB6ACEDB12BF0E31D00002087A5D60000</t>
  </si>
  <si>
    <t>cmm4yuqwg040qcuqw4w3wh8u8</t>
  </si>
  <si>
    <t>M-2025-1072.pdf</t>
  </si>
  <si>
    <t>KRAV-AUTO-000532</t>
  </si>
  <si>
    <t>KRAV-AUTO-000533</t>
  </si>
  <si>
    <t>http://localhost:8787/api/admin/requirements/documents/cmm4yuqw2040bcuqwtfa0vnge/view</t>
  </si>
  <si>
    <t>KRAV-AUTO-000534</t>
  </si>
  <si>
    <t>cmm4yuqw2040bcuqwtfa0vnge</t>
  </si>
  <si>
    <t>Det uppsamlade materialet kommer sedan grävas upp och placeras i ett väl uppmärkt uppsamlingskärl för att sedan borttransporteras av behörig transportör till för ändamålet godkänd anläggning.</t>
  </si>
  <si>
    <t>KRAV-AUTO-000535</t>
  </si>
  <si>
    <t>KRAV-AUTO-000536</t>
  </si>
  <si>
    <t>Inga behov av skyddsåtgärder för att minska föroreningsrisken på platsen föreligger.</t>
  </si>
  <si>
    <t>http://localhost:8787/api/admin/requirements/documents/cmm4yuqvs0402cuqwvxiuabf4/view</t>
  </si>
  <si>
    <t>KRAV-AUTO-000537</t>
  </si>
  <si>
    <t>cmm4yuqvs0402cuqwvxiuabf4</t>
  </si>
  <si>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</si>
  <si>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</si>
  <si>
    <t>KRAV-AUTO-000538</t>
  </si>
  <si>
    <t>KRAV-AUTO-000539</t>
  </si>
  <si>
    <t>http://localhost:8787/api/admin/requirements/documents/cmm4yuqv903zhcuqwlf3gkri8/view</t>
  </si>
  <si>
    <t>KRAV-AUTO-000540</t>
  </si>
  <si>
    <t>cmm4yuqv903zhcuqwlf3gkri8</t>
  </si>
  <si>
    <t>KRAV-AUTO-000541</t>
  </si>
  <si>
    <t>KRAV-AUTO-000542</t>
  </si>
  <si>
    <t>http://localhost:8787/api/admin/requirements/documents/cmm4yuquz03z8cuqwmz6iukej/view</t>
  </si>
  <si>
    <t>KRAV-AUTO-000543</t>
  </si>
  <si>
    <t>cmm4yuquz03z8cuqwmz6iukej</t>
  </si>
  <si>
    <t>KRAV-AUTO-000544</t>
  </si>
  <si>
    <t>KRAV-AUTO-000545</t>
  </si>
  <si>
    <t>http://localhost:8787/api/admin/requirements/documents/cmm4yuquk03ytcuqwhpnly6jr/view</t>
  </si>
  <si>
    <t>KRAV-AUTO-000546</t>
  </si>
  <si>
    <t>cmm4yuquk03ytcuqwhpnly6jr</t>
  </si>
  <si>
    <t>KRAV-AUTO-000547</t>
  </si>
  <si>
    <t>KRAV-AUTO-000548</t>
  </si>
  <si>
    <t>http://localhost:8787/api/admin/requirements/documents/cmm4yuquh03yqcuqw7gxhc2hz/view</t>
  </si>
  <si>
    <t>KRAV-AUTO-000549</t>
  </si>
  <si>
    <t>cmm4yuquh03yqcuqw7gxhc2hz</t>
  </si>
  <si>
    <t>KRAV-AUTO-000550</t>
  </si>
  <si>
    <t>KRAV-AUTO-000551</t>
  </si>
  <si>
    <t>http://localhost:8787/api/admin/requirements/documents/cmm4yuqu603yecuqws049eih9/view</t>
  </si>
  <si>
    <t>KRAV-AUTO-000552</t>
  </si>
  <si>
    <t>cmm4yuqu603yecuqws049eih9</t>
  </si>
  <si>
    <t>KRAV-AUTO-000553</t>
  </si>
  <si>
    <t>KRAV-AUTO-000554</t>
  </si>
  <si>
    <t>http://localhost:8787/api/admin/requirements/documents/cmm4yuqu303ybcuqwtmwwfwey/view</t>
  </si>
  <si>
    <t>KRAV-AUTO-000555</t>
  </si>
  <si>
    <t>cmm4yuqu303ybcuqwtmwwfwey</t>
  </si>
  <si>
    <t>KRAV-AUTO-000556</t>
  </si>
  <si>
    <t>KRAV-AUTO-000557</t>
  </si>
  <si>
    <t>http://localhost:8787/api/admin/requirements/documents/cmm4yuqtr03xzcuqwox96v0gt/view</t>
  </si>
  <si>
    <t>KRAV-AUTO-000558</t>
  </si>
  <si>
    <t>cmm4yuqtr03xzcuqwox96v0gt</t>
  </si>
  <si>
    <t>KRAV-AUTO-000559</t>
  </si>
  <si>
    <t>KRAV-AUTO-000560</t>
  </si>
  <si>
    <t>http://localhost:8787/api/admin/requirements/documents/cmm4yuqto03xwcuqw14v3uafr/view</t>
  </si>
  <si>
    <t>KRAV-AUTO-000561</t>
  </si>
  <si>
    <t>cmm4yuqto03xwcuqw14v3uafr</t>
  </si>
  <si>
    <t>KRAV-AUTO-000562</t>
  </si>
  <si>
    <t>KRAV-AUTO-000563</t>
  </si>
  <si>
    <t>http://localhost:8787/api/admin/requirements/documents/cmm4yuqt903xhcuqwobok24wr/view</t>
  </si>
  <si>
    <t>KRAV-AUTO-000564</t>
  </si>
  <si>
    <t>cmm4yuqt903xhcuqwobok24wr</t>
  </si>
  <si>
    <t>KRAV-AUTO-000565</t>
  </si>
  <si>
    <t>KRAV-AUTO-000566</t>
  </si>
  <si>
    <t>http://localhost:8787/api/admin/requirements/documents/cmm4yuqst03wzcuqwq0t736l6/view</t>
  </si>
  <si>
    <t>KRAV-AUTO-000567</t>
  </si>
  <si>
    <t>cmm4yuqst03wzcuqwq0t736l6</t>
  </si>
  <si>
    <t>KRAV-AUTO-000568</t>
  </si>
  <si>
    <t>http://localhost:8787/api/admin/requirements/documents/cmm4yuqsg03wncuqw80tmxoyt/view</t>
  </si>
  <si>
    <t>KRAV-AUTO-000569</t>
  </si>
  <si>
    <t>cmm4yuqsg03wncuqw80tmxoyt</t>
  </si>
  <si>
    <t>KRAV-AUTO-000570</t>
  </si>
  <si>
    <t>KRAV-AUTO-000571</t>
  </si>
  <si>
    <t>http://localhost:8787/api/admin/requirements/documents/cmm4yuqs203w8cuqwsfvcc0ls/view</t>
  </si>
  <si>
    <t>KRAV-AUTO-000572</t>
  </si>
  <si>
    <t>cmm4yuqs203w8cuqwsfvcc0ls</t>
  </si>
  <si>
    <t>KRAV-AUTO-000573</t>
  </si>
  <si>
    <t>KRAV-AUTO-000574</t>
  </si>
  <si>
    <t>http://localhost:8787/api/admin/requirements/documents/cmm4yuqs003w5cuqwu7f1arzr/view</t>
  </si>
  <si>
    <t>KRAV-AUTO-000575</t>
  </si>
  <si>
    <t>cmm4yuqs003w5cuqwu7f1arzr</t>
  </si>
  <si>
    <t>KRAV-AUTO-000576</t>
  </si>
  <si>
    <t>http://localhost:8787/api/admin/requirements/documents/cmm4yuqrs03vwcuqww7o69h0p/view</t>
  </si>
  <si>
    <t>KRAV-AUTO-000577</t>
  </si>
  <si>
    <t>cmm4yuqrs03vwcuqww7o69h0p</t>
  </si>
  <si>
    <t>Den myndighet som handlägger ett anmälningsärende som avses i 25 d § FMH ska, när ärendet är tillräckligt utrett, förelägga om försiktighetsmått eller förbud om ärendet avser en sådan verksamhet som behandlar avfall.</t>
  </si>
  <si>
    <t>KRAV-AUTO-000578</t>
  </si>
  <si>
    <t>Omkring 5 000 ton betongkross ska användas för att anlägga en verksamhetsyta för lagring av flis till gårdens flispanna.</t>
  </si>
  <si>
    <t>http://localhost:8787/api/admin/requirements/documents/cmm4yur0i042zcuqwhcf1xqa7/view</t>
  </si>
  <si>
    <t>KRAV-AUTO-000579</t>
  </si>
  <si>
    <t>cmm4yur0i042zcuqwhcf1xqa7</t>
  </si>
  <si>
    <t>KRAV-AUTO-000580</t>
  </si>
  <si>
    <t>KRAV-AUTO-000581</t>
  </si>
  <si>
    <t>http://localhost:8787/api/admin/requirements/documents/cmm4yuqrd03vhcuqwdq075qm9/view</t>
  </si>
  <si>
    <t>KRAV-AUTO-000582</t>
  </si>
  <si>
    <t>cmm4yuqrd03vhcuqwdq075qm9</t>
  </si>
  <si>
    <t>Avser anmälan en verksamhet med behandling av avfall ange typ och mängd som ska behandlas samt behandlingsmetoder.</t>
  </si>
  <si>
    <t>http://localhost:8787/api/admin/requirements/documents/cmm4yuqr103v5cuqwc4nx984p/view</t>
  </si>
  <si>
    <t>KRAV-AUTO-000583</t>
  </si>
  <si>
    <t>cmm4yuqr103v5cuqwc4nx984p</t>
  </si>
  <si>
    <t>Byggavdelningen har den 14 augusti 2024 yttrat sig om att marklov inte behövs men att det måste säkerställas att dagvattenhanteringen hanteras inom fastigheten och inte belastar grannfastigheterna och vägar.</t>
  </si>
  <si>
    <t>http://localhost:8787/api/admin/requirements/documents/cmm4yur01042ecuqwjjvrz035/view</t>
  </si>
  <si>
    <t>KRAV-AUTO-000584</t>
  </si>
  <si>
    <t>ADMIN-INDEX-2026-02-27-00000000125C043F57453246863FE664CAFE6A3F0700950291EA24F0614FB6ACEDB12BF0E31D00000000010C0000950291EA24F0614FB6ACEDB12BF0E31D00002087A5CB0000</t>
  </si>
  <si>
    <t>cmm4yur01042ecuqwjjvrz035</t>
  </si>
  <si>
    <t>KRAV-AUTO-000585</t>
  </si>
  <si>
    <t>KRAV-AUTO-000586</t>
  </si>
  <si>
    <t>http://localhost:8787/api/admin/requirements/documents/cmm4yuqpt03ttcuqwulx76rll/view</t>
  </si>
  <si>
    <t>KRAV-AUTO-000587</t>
  </si>
  <si>
    <t>cmm4yuqpt03ttcuqwulx76rll</t>
  </si>
  <si>
    <t>Inga planer Hur planerar ni att arbeta för att minska mängden avfall?</t>
  </si>
  <si>
    <t>KRAV-AUTO-000588</t>
  </si>
  <si>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</si>
  <si>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</si>
  <si>
    <t>http://localhost:8787/api/admin/requirements/documents/cmm4yuqpi03thcuqwmm9krvj4/view</t>
  </si>
  <si>
    <t>KRAV-AUTO-000589</t>
  </si>
  <si>
    <t>cmm4yuqpi03thcuqwmm9krvj4</t>
  </si>
  <si>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</si>
  <si>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</si>
  <si>
    <t>KRAV-AUTO-000590</t>
  </si>
  <si>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</si>
  <si>
    <t>KRAV-AUTO-000591</t>
  </si>
  <si>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</si>
  <si>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</si>
  <si>
    <t>http://localhost:8787/api/admin/requirements/documents/cmm4yuqpg03tecuqwir21xni9/view</t>
  </si>
  <si>
    <t>KRAV-AUTO-000592</t>
  </si>
  <si>
    <t>cmm4yuqpg03tecuqwir21xni9</t>
  </si>
  <si>
    <t>Beskrivning av avfallet Beskriv vilken typ av avfall som ska användas (ange även mängd i ton eller m³) Taktegel ca 20m3 Beskriv var avfallet kommer ifrån och hur det har uppstått (om möjligt, ange även fastighetsbeteckning) Takteglet kommer från huset Attarp Södra.</t>
  </si>
  <si>
    <t>KRAV-AUTO-000593</t>
  </si>
  <si>
    <t>KRAV-AUTO-000594</t>
  </si>
  <si>
    <t>http://localhost:8787/api/admin/requirements/documents/cmm4yuqp703t5cuqwt93a9un1/view</t>
  </si>
  <si>
    <t>KRAV-AUTO-000595</t>
  </si>
  <si>
    <t>cmm4yuqp703t5cuqwt93a9un1</t>
  </si>
  <si>
    <t>KRAV-AUTO-000596</t>
  </si>
  <si>
    <t>http://localhost:8787/api/admin/requirements/documents/cmm4yuqos03sqcuqwgo95z89m/view</t>
  </si>
  <si>
    <t>KRAV-AUTO-000597</t>
  </si>
  <si>
    <t>cmm4yuqos03sqcuqwgo95z89m</t>
  </si>
  <si>
    <t>http://localhost:8787/api/admin/requirements/documents/cmm4yura204c8cuqwdn0qjqn7/view</t>
  </si>
  <si>
    <t>KRAV-AUTO-000598</t>
  </si>
  <si>
    <t>cmm4yura204c8cuqwdn0qjqn7</t>
  </si>
  <si>
    <t>KRAV-AUTO-000599</t>
  </si>
  <si>
    <t>Avfallsmassorna som ska återanvändas bedöms vara av kvalitén att klara mindre känslig markanvändning och kan därför användas enligt anmälan.</t>
  </si>
  <si>
    <t>KRAV-AUTO-000600</t>
  </si>
  <si>
    <t>Eftersom massorna var jungfruliga från början och endast legat under tät asfalt en relativt kort tidsperiod bedömer miljö- och byggförvaltningen att ingen provtagning är nödvändig.</t>
  </si>
  <si>
    <t>http://localhost:8787/api/admin/requirements/documents/cmm4yuqoh03secuqw8qyu3kcn/view</t>
  </si>
  <si>
    <t>KRAV-AUTO-000601</t>
  </si>
  <si>
    <t>cmm4yuqoh03secuqw8qyu3kcn</t>
  </si>
  <si>
    <t>http://localhost:8787/api/admin/requirements/documents/cmm4yur9u04bzcuqwsp95msw6/view</t>
  </si>
  <si>
    <t>KRAV-AUTO-000602</t>
  </si>
  <si>
    <t>cmm4yur9u04bzcuqwsp95msw6</t>
  </si>
  <si>
    <t>Massorna ska sorteras på avsändaradressen i Hässleholms kommun och uppskattas till mängden 1000 ton.</t>
  </si>
  <si>
    <t>KRAV-AUTO-000603</t>
  </si>
  <si>
    <t>Provtagning av massorna visar att avfallsmassorna som ska återanvändas är av kvalitén att klara mindre känslig markanvändning.</t>
  </si>
  <si>
    <t>KRAV-AUTO-000604</t>
  </si>
  <si>
    <t>http://localhost:8787/api/admin/requirements/documents/cmm4yuqzy042bcuqwsp9kt30r/view</t>
  </si>
  <si>
    <t>KRAV-AUTO-000605</t>
  </si>
  <si>
    <t>cmm4yuqzy042bcuqwsp9kt30r</t>
  </si>
  <si>
    <t>Motivering: Farligt avfall ska förvaras så att spill eller läckage inte kan nå avlopp, dagvattennätet, omgivande mark eller vatten.</t>
  </si>
  <si>
    <t>KRAV-AUTO-000606</t>
  </si>
  <si>
    <t>Förvaltningen har sedan tidigare informerats om att Eleda Mantén AB ska ta över ansvaret av ytan som benämns ”Arméupplaget” och som en del av förberedelserna inför övertagandet sköter de bortforsling av tidigare upplagt material samt dumpat avfall.</t>
  </si>
  <si>
    <t>KRAV-AUTO-000607</t>
  </si>
  <si>
    <t>Dessa var varken placerade utan risk för spridning, nederbördsskyddat eller i uppmärkta behållare med information om att de innehöll farligt avfall.</t>
  </si>
  <si>
    <t>http://localhost:8787/api/admin/requirements/documents/cmm4yur9h04bkcuqwju4xj4fg/view</t>
  </si>
  <si>
    <t>KRAV-AUTO-000608</t>
  </si>
  <si>
    <t>cmm4yur9h04bkcuqwju4xj4fg</t>
  </si>
  <si>
    <t>KRAV-AUTO-000609</t>
  </si>
  <si>
    <t>Avfallsmassorna som ska återanvändas bedöms vara av kvalitén att klara mindre känslig markanvändning och kan därför användas enligt ansökan.</t>
  </si>
  <si>
    <t>http://localhost:8787/api/admin/requirements/documents/cmm4yuqn503r2cuqwfz69vyc6/view</t>
  </si>
  <si>
    <t>KRAV-AUTO-000610</t>
  </si>
  <si>
    <t>cmm4yuqn503r2cuqwfz69vyc6</t>
  </si>
  <si>
    <t>KRAV-AUTO-000611</t>
  </si>
  <si>
    <t>http://localhost:8787/api/admin/requirements/documents/cmm4yuqmt03qqcuqwns8ldngk/view</t>
  </si>
  <si>
    <t>KRAV-AUTO-000612</t>
  </si>
  <si>
    <t>cmm4yuqmt03qqcuqwns8ldngk</t>
  </si>
  <si>
    <t>KRAV-AUTO-000613</t>
  </si>
  <si>
    <t>KRAV-AUTO-000614</t>
  </si>
  <si>
    <t>http://localhost:8787/api/admin/requirements/documents/cmm4yuqmq03qncuqwh1abz1d9/view</t>
  </si>
  <si>
    <t>KRAV-AUTO-000615</t>
  </si>
  <si>
    <t>cmm4yuqmq03qncuqwh1abz1d9</t>
  </si>
  <si>
    <t>KRAV-AUTO-000616</t>
  </si>
  <si>
    <t>KRAV-AUTO-000617</t>
  </si>
  <si>
    <t>http://localhost:8787/api/admin/requirements/documents/cmm4yurdw04g5cuqwg55ootk0/view</t>
  </si>
  <si>
    <t>KRAV-AUTO-000618</t>
  </si>
  <si>
    <t>cmm4yurdw04g5cuqwg55ootk0</t>
  </si>
  <si>
    <t>Skäl för beslutet Samhällsbyggnadsnämndens motivering Samhällsbyggnadsnämnden anser att krossning av restbetong kan ske enligt den anmälan som lämnats in.</t>
  </si>
  <si>
    <t>http://localhost:8787/api/admin/requirements/documents/cmm4yuqmh03qecuqwuamnbmp4/view</t>
  </si>
  <si>
    <t>KRAV-AUTO-000619</t>
  </si>
  <si>
    <t>ADMIN-INDEX-2026-02-27-00000000125C043F57453246863FE664CAFE6A3F0700950291EA24F0614FB6ACEDB12BF0E31D00000000010C0000950291EA24F0614FB6ACEDB12BF0E31D00002087A5DE0000</t>
  </si>
  <si>
    <t>cmm4yuqmh03qecuqwuamnbmp4</t>
  </si>
  <si>
    <t>Anmälan slamkompostering.pdf</t>
  </si>
  <si>
    <t>Den uppsugande förmågan hos bark och flis förhindrar avrinning av vatten från ytan vid tillfällen med större mängder nederbörd.</t>
  </si>
  <si>
    <t>KRAV-AUTO-000620</t>
  </si>
  <si>
    <t>MBN2019:44-427) bedrivs mellanlagring av bark ca 2000 ton, returträ ca 1000 ton, aska ca 300 ton, krossning och sortering på den aktuella fastigheten.</t>
  </si>
  <si>
    <t>KRAV-AUTO-000621</t>
  </si>
  <si>
    <t>JA X NEJ Farligt Avfall Om farligt avfall uppstår ange typ och lagring Bilaga bifogas JA X NEJ Föroreningsskador Har föroreningsskada upptäckts i mark eller byggnad?</t>
  </si>
  <si>
    <t>http://localhost:8787/api/admin/requirements/documents/cmm4yuqme03qbcuqwtpkeijd2/view</t>
  </si>
  <si>
    <t>KRAV-AUTO-000622</t>
  </si>
  <si>
    <t>cmm4yuqme03qbcuqwtpkeijd2</t>
  </si>
  <si>
    <t>http://localhost:8787/api/admin/requirements/documents/cmm4yuqmc03q8cuqwf6wc1urn/view</t>
  </si>
  <si>
    <t>KRAV-AUTO-000623</t>
  </si>
  <si>
    <t>cmm4yuqmc03q8cuqwf6wc1urn</t>
  </si>
  <si>
    <t>Ändamålet ska vara anläggningsändamål, dvs syftet får inte vara att endast bli av med avfallet utan det måste vara någon ”nytta” med uppläggningen.</t>
  </si>
  <si>
    <t>KRAV-AUTO-000624</t>
  </si>
  <si>
    <t>Föroreningsrisken avgör om du måste göra en anmälan Det som avgör om en anmälan krävs eller inte är risken för förorening av mark, vattenområde eller grundvatten.</t>
  </si>
  <si>
    <t>KRAV-AUTO-000625</t>
  </si>
  <si>
    <t>Närmaste vattendrag är Kyrksjön med dess huvudavrinningsområde Ljusnan, avrinningsområdet börjar cirka 550 meter ifrån centralstationens perrong i Kyrksjöns sydöstra kant.</t>
  </si>
  <si>
    <t>http://localhost:8787/api/admin/requirements/documents/cmm4yuqm003pwcuqwkxaq80ir/view</t>
  </si>
  <si>
    <t>KRAV-AUTO-000626</t>
  </si>
  <si>
    <t>cmm4yuqm003pwcuqwkxaq80ir</t>
  </si>
  <si>
    <t>KRAV-AUTO-000627</t>
  </si>
  <si>
    <t>KRAV-AUTO-000628</t>
  </si>
  <si>
    <t>http://localhost:8787/api/admin/requirements/documents/cmm4yuqlw03ptcuqwthrsimks/view</t>
  </si>
  <si>
    <t>KRAV-AUTO-000629</t>
  </si>
  <si>
    <t>cmm4yuqlw03ptcuqwthrsimks</t>
  </si>
  <si>
    <t>Avfall som skall återvinnas uppgår till ca 5000 ton.</t>
  </si>
  <si>
    <t>KRAV-AUTO-000630</t>
  </si>
  <si>
    <t>- Överstiger återvunnet avfall 10 000 ton skall tillstånd sökas hos Länsstyrelsen.</t>
  </si>
  <si>
    <t>KRAV-AUTO-000631</t>
  </si>
  <si>
    <t>Volymen av nyproducerat material skall uppgå till 32 000 ton.</t>
  </si>
  <si>
    <t>http://localhost:8787/api/admin/requirements/documents/cmm4yuqlt03pqcuqwzjrflke7/view</t>
  </si>
  <si>
    <t>KRAV-AUTO-000632</t>
  </si>
  <si>
    <t>cmm4yuqlt03pqcuqwzjrflke7</t>
  </si>
  <si>
    <t>Ja x Nej: Farligt avfall som mot förmodan uppkommer förvaras i täta behållare i avvaktan på borttransport.</t>
  </si>
  <si>
    <t>http://localhost:8787/api/admin/requirements/documents/cmm4yuqld03pbcuqwk1q8ruah/view</t>
  </si>
  <si>
    <t>KRAV-AUTO-000633</t>
  </si>
  <si>
    <t>cmm4yuqld03pbcuqwk1q8ruah</t>
  </si>
  <si>
    <t>KRAV-AUTO-000634</t>
  </si>
  <si>
    <t>KRAV-AUTO-000635</t>
  </si>
  <si>
    <t>http://localhost:8787/api/admin/requirements/documents/cmm4yuqla03p8cuqw3icbms51/view</t>
  </si>
  <si>
    <t>KRAV-AUTO-000636</t>
  </si>
  <si>
    <t>cmm4yuqla03p8cuqw3icbms51</t>
  </si>
  <si>
    <t>http://localhost:8787/api/admin/requirements/documents/cmm4yur0v043ecuqw8uyv5zks/view</t>
  </si>
  <si>
    <t>KRAV-AUTO-000637</t>
  </si>
  <si>
    <t>ADMIN-INDEX-2026-02-27-00000000125C043F57453246863FE664CAFE6A3F0700950291EA24F0614FB6ACEDB12BF0E31D00000000010C0000950291EA24F0614FB6ACEDB12BF0E31D00002087A5BE0000</t>
  </si>
  <si>
    <t>cmm4yur0v043ecuqw8uyv5zks</t>
  </si>
  <si>
    <t>Teknisk beskrivning.pdf</t>
  </si>
  <si>
    <t>KRAV-AUTO-000638</t>
  </si>
  <si>
    <t>KRAV-AUTO-000639</t>
  </si>
  <si>
    <t>http://localhost:8787/api/admin/requirements/documents/cmm4yur8d04aecuqw0edz0il1/view</t>
  </si>
  <si>
    <t>KRAV-AUTO-000640</t>
  </si>
  <si>
    <t>cmm4yur8d04aecuqw0edz0il1</t>
  </si>
  <si>
    <t>Lågpunkter, svackdiken, invallning för sedimentation/rening av sådant finmaterial skall anordnas i erforderlig omfattning.</t>
  </si>
  <si>
    <t>KRAV-AUTO-000641</t>
  </si>
  <si>
    <t>Vid allvarlig skada eller risk för sådan skada skall tillförsel av material stoppas.</t>
  </si>
  <si>
    <t>KRAV-AUTO-000642</t>
  </si>
  <si>
    <t>Verksamheten skall i övrigt bedrivas så att risken för störning till omgivningen minimeras enligt miljöbalken 2 kap och 26:19.</t>
  </si>
  <si>
    <t>http://localhost:8787/api/admin/requirements/documents/cmm4yuqk003nwcuqweyeygk78/view</t>
  </si>
  <si>
    <t>KRAV-AUTO-000643</t>
  </si>
  <si>
    <t>cmm4yuqk003nwcuqweyeygk78</t>
  </si>
  <si>
    <t>Mottagningskvitton för bortlämnat avfall ska bifogas till sammanställningen.</t>
  </si>
  <si>
    <t>KRAV-AUTO-000644</t>
  </si>
  <si>
    <t>Övervägande MHF bedömer att ett föreläggande om försiktighetsmått är motiverat för den anmälda verksamheten för att minska risken för störning för omgivningen.</t>
  </si>
  <si>
    <t>KRAV-AUTO-000645</t>
  </si>
  <si>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</si>
  <si>
    <t>http://localhost:8787/api/admin/requirements/documents/cmm4yur8204a2cuqw8bjwvcaq/view</t>
  </si>
  <si>
    <t>KRAV-AUTO-000646</t>
  </si>
  <si>
    <t>ADMIN-INDEX-2026-02-27-00000000125C043F57453246863FE664CAFE6A3F0700950291EA24F0614FB6ACEDB12BF0E31D00000000010C0000950291EA24F0614FB6ACEDB12BF0E31D00002087A5900000</t>
  </si>
  <si>
    <t>cmm4yur8204a2cuqw8bjwvcaq</t>
  </si>
  <si>
    <t>1043_001_BMN-2024-497_2024-06-17.pdf</t>
  </si>
  <si>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anmälningspliktig har den en sifferkod som anger hur verksamheten ska klassas (SNI-kod).</t>
  </si>
  <si>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t>
  </si>
  <si>
    <t>http://localhost:8787/api/admin/requirements/documents/cmm4yuqji03necuqw1jdacamo/view</t>
  </si>
  <si>
    <t>KRAV-AUTO-000647</t>
  </si>
  <si>
    <t>cmm4yuqji03necuqw1jdacamo</t>
  </si>
  <si>
    <t>Beskrivning av verksamheten Typ av massor som skall användas Mängd i ton Volym i m³ Krossad asfalt Krossad betong Rena schaktmassor sten, lera, matjord, grus eller morän?</t>
  </si>
  <si>
    <t>KRAV-AUTO-000648</t>
  </si>
  <si>
    <t>vattenbrunnar, vattendrag mm obligatorisk Analysresultat Information Verksamheten får påbörjas tidigast sex veckor efter det att anmälan gjorts, om inte miljö- och hälsoskyddsförvaltningen bestämt något annat.</t>
  </si>
  <si>
    <t>http://localhost:8787/api/admin/requirements/documents/cmm4yurde04fncuqwov97uzl5/view</t>
  </si>
  <si>
    <t>KRAV-AUTO-000649</t>
  </si>
  <si>
    <t>cmm4yurde04fncuqwov97uzl5</t>
  </si>
  <si>
    <t>KRAV-AUTO-000650</t>
  </si>
  <si>
    <t>Den som hanterar avfall ska se till att hanteringen inte skadar eller orsakar risk för skada på människors hälsa eller miljön.</t>
  </si>
  <si>
    <t>http://localhost:8787/api/admin/requirements/documents/cmm4yuqiy03mtcuqwzwa03bvg/view</t>
  </si>
  <si>
    <t>KRAV-AUTO-000651</t>
  </si>
  <si>
    <t>ADMIN-INDEX-2026-02-27-00000000125C043F57453246863FE664CAFE6A3F0700950291EA24F0614FB6ACEDB12BF0E31D00000000010C0000950291EA24F0614FB6ACEDB12BF0E31D00002087ADF20000</t>
  </si>
  <si>
    <t>cmm4yuqiy03mtcuqwzwa03bvg</t>
  </si>
  <si>
    <t>Beslut 2024-1627.pdf</t>
  </si>
  <si>
    <t>Avfall kan även via dagvatten, skadedjur och stölder spridas från platsen.</t>
  </si>
  <si>
    <t>KRAV-AUTO-000652</t>
  </si>
  <si>
    <t>Lagring av avfall eller parkering av fordon över dagvattenbrunnar får inte ske.</t>
  </si>
  <si>
    <t>KRAV-AUTO-000653</t>
  </si>
  <si>
    <t>Behållare med flytande farligt avfall ska förvaras invallat i en invallning som rymmer hela behållarens volym.</t>
  </si>
  <si>
    <t>http://localhost:8787/api/admin/requirements/documents/cmm4yuqih03mbcuqwub85cz1x/view</t>
  </si>
  <si>
    <t>KRAV-AUTO-000654</t>
  </si>
  <si>
    <t>cmm4yuqih03mbcuqwub85cz1x</t>
  </si>
  <si>
    <t>KRAV-AUTO-000655</t>
  </si>
  <si>
    <t>KRAV-AUTO-000656</t>
  </si>
  <si>
    <t>http://localhost:8787/api/admin/requirements/documents/cmm4yuqhx03ltcuqw7sv8tw6o/view</t>
  </si>
  <si>
    <t>KRAV-AUTO-000657</t>
  </si>
  <si>
    <t>cmm4yuqhx03ltcuqw7sv8tw6o</t>
  </si>
  <si>
    <t>Anläggningen ska möjliggöra provtagning av lakvatten efter avvattningen av avfall.</t>
  </si>
  <si>
    <t>KRAV-AUTO-000658</t>
  </si>
  <si>
    <t>Anläggningen ska möjliggöra stängning av avledning av lakvatten till sedimentationsdammar.</t>
  </si>
  <si>
    <t>KRAV-AUTO-000659</t>
  </si>
  <si>
    <t>Vid misstanke om förorening i inlevererat material ska tömning omedelbart avbrytas och avledning av lakvatten upphöra.</t>
  </si>
  <si>
    <t>http://localhost:8787/api/admin/requirements/documents/cmm4yuqhu03lqcuqwouj8yl4z/view</t>
  </si>
  <si>
    <t>KRAV-AUTO-000660</t>
  </si>
  <si>
    <t>cmm4yuqhu03lqcuqwouj8yl4z</t>
  </si>
  <si>
    <t>Resurshushållning Uppskattad energianvändning inom verksamheten Energislag Solenergi, fosila bränslen Uppskattad energimängd (kWh/år) 7000 Har ni valt ”gröna” avtal för till exempel el och/eller fjärrgas?</t>
  </si>
  <si>
    <t>http://localhost:8787/api/admin/requirements/documents/cmm4yuqhl03lhcuqw7dml2qns/view</t>
  </si>
  <si>
    <t>KRAV-AUTO-000661</t>
  </si>
  <si>
    <t>cmm4yuqhl03lhcuqw7dml2qns</t>
  </si>
  <si>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</si>
  <si>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</si>
  <si>
    <t>http://localhost:8787/api/admin/requirements/documents/cmm4yuqhf03lbcuqwkf5fi8p1/view</t>
  </si>
  <si>
    <t>KRAV-AUTO-000662</t>
  </si>
  <si>
    <t>cmm4yuqhf03lbcuqwkf5fi8p1</t>
  </si>
  <si>
    <t>Det avfall som tas emot vid verksamheten ska åtföljas av dokumentation som anger mottagningsdatum, mängd, avfallstyp med avfallskod samt vart avfallet kommer ifrån.</t>
  </si>
  <si>
    <t>KRAV-AUTO-000663</t>
  </si>
  <si>
    <t>KRAV-AUTO-000664</t>
  </si>
  <si>
    <t>I verksamheten används gas och uppskattad energimängd uppgår till 30 000 kWh/år.</t>
  </si>
  <si>
    <t>http://localhost:8787/api/admin/requirements/documents/cmm4yuqgz03kwcuqwd6url55e/view</t>
  </si>
  <si>
    <t>KRAV-AUTO-000665</t>
  </si>
  <si>
    <t>cmm4yuqgz03kwcuqwd6url55e</t>
  </si>
  <si>
    <t>Antal lastbilstransporter beräknas till ca 20 per dag och totalmängden massor uppskattas till 10 000 ton.</t>
  </si>
  <si>
    <t>KRAV-AUTO-000666</t>
  </si>
  <si>
    <t>Kontrollprogrammet ska finnas lättillgängligt på arbetsplatsen och personerna som genomför anläggningsarbetena ska ha kännedom om de rutiner som finns för kontroll av avfallsmassorna.</t>
  </si>
  <si>
    <t>KRAV-AUTO-000667</t>
  </si>
  <si>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</si>
  <si>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</si>
  <si>
    <t>http://localhost:8787/api/admin/requirements/documents/cmm4yuqgw03ktcuqwsj8z1sdd/view</t>
  </si>
  <si>
    <t>KRAV-AUTO-000668</t>
  </si>
  <si>
    <t>ADMIN-INDEX-2026-02-27-00000000125C043F57453246863FE664CAFE6A3F0700950291EA24F0614FB6ACEDB12BF0E31D00000000010C0000950291EA24F0614FB6ACEDB12BF0E31D00002087ADF40000</t>
  </si>
  <si>
    <t>cmm4yuqgw03ktcuqwsj8z1sdd</t>
  </si>
  <si>
    <t>fattat av Miljöskyddsenheten i Varbergs</t>
  </si>
  <si>
    <t>fattat av Miljöskyddsenheten i Varbergs kommun</t>
  </si>
  <si>
    <t>PM Sedimentationsdammar 2024-1596.pdf</t>
  </si>
  <si>
    <t>Själva arbetsytan anläggs av schaktmassor med tillskott av material med lämpliga geotekniska egenskaper, t ex betong och tegel.</t>
  </si>
  <si>
    <t>KRAV-AUTO-000669</t>
  </si>
  <si>
    <t>De blöta massorna kommer att utgöras av schaktmassor eftersom betong och tegel av naturliga skäl inte kommer att föras in blöta.</t>
  </si>
  <si>
    <t>KRAV-AUTO-000670</t>
  </si>
  <si>
    <t>Mängden vatten som lämnar området bedöms inte öka i sådan omfattning att det får någon betydelse, mycket vatten avdunstar och den mängd som avrinner från de blöta massorna är försumbar räknat mot den nederbörd som faller över arbetsytan, ca 7-800 mm/år.</t>
  </si>
  <si>
    <t>http://localhost:8787/api/admin/requirements/documents/cmm4yuqgt03kqcuqwhhs9m3bf/view</t>
  </si>
  <si>
    <t>KRAV-AUTO-000671</t>
  </si>
  <si>
    <t>cmm4yuqgt03kqcuqwhhs9m3bf</t>
  </si>
  <si>
    <t>Om mängden avfall som ska avvattnas övergår 2000 ton så gäller tillståndsplikt B och verksamhetskod 90.420.</t>
  </si>
  <si>
    <t>http://localhost:8787/api/admin/requirements/documents/cmm4yur6v048qcuqwwb50oot6/view</t>
  </si>
  <si>
    <t>KRAV-AUTO-000672</t>
  </si>
  <si>
    <t>cmm4yur6v048qcuqwwb50oot6</t>
  </si>
  <si>
    <t>KRAV-AUTO-000673</t>
  </si>
  <si>
    <t>KRAV-AUTO-000674</t>
  </si>
  <si>
    <t>Kemiska produkter och farligt avfall ska förvaras väl uppmärkta och på sådant sätt att förorening av mark, vatten och luft inte riskeras.</t>
  </si>
  <si>
    <t>http://localhost:8787/api/admin/requirements/documents/cmm4yuqgm03khcuqwa7nrttmq/view</t>
  </si>
  <si>
    <t>KRAV-AUTO-000675</t>
  </si>
  <si>
    <t>cmm4yuqgm03khcuqwa7nrttmq</t>
  </si>
  <si>
    <t>KRAV-AUTO-000676</t>
  </si>
  <si>
    <t>KRAV-AUTO-000677</t>
  </si>
  <si>
    <t>http://localhost:8787/api/admin/requirements/documents/cmm4yuqgj03kecuqwf156vcw1/view</t>
  </si>
  <si>
    <t>KRAV-AUTO-000678</t>
  </si>
  <si>
    <t>cmm4yuqgj03kecuqwf156vcw1</t>
  </si>
  <si>
    <t>http://localhost:8787/api/admin/requirements/documents/cmm4yuqg503jzcuqwqo6390c7/view</t>
  </si>
  <si>
    <t>KRAV-AUTO-000679</t>
  </si>
  <si>
    <t>cmm4yuqg503jzcuqwqo6390c7</t>
  </si>
  <si>
    <t>KRAV-AUTO-000680</t>
  </si>
  <si>
    <t>KRAV-AUTO-000681</t>
  </si>
  <si>
    <t>http://localhost:8787/api/admin/requirements/documents/cmm4yuqg303jwcuqwsgkyufx5/view</t>
  </si>
  <si>
    <t>KRAV-AUTO-000682</t>
  </si>
  <si>
    <t>cmm4yuqg303jwcuqwsgkyufx5</t>
  </si>
  <si>
    <t>KRAV-AUTO-000683</t>
  </si>
  <si>
    <t>KRAV-AUTO-000684</t>
  </si>
  <si>
    <t>http://localhost:8787/api/admin/requirements/documents/cmm4yuqfo03jhcuqwgv6re8pd/view</t>
  </si>
  <si>
    <t>KRAV-AUTO-000685</t>
  </si>
  <si>
    <t>ADMIN-INDEX-2026-02-27-00000000125C043F57453246863FE664CAFE6A3F0700950291EA24F0614FB6ACEDB12BF0E31D00000000010C0000950291EA24F0614FB6ACEDB12BF0E31D00002087ADF50000</t>
  </si>
  <si>
    <t>cmm4yuqfo03jhcuqwgv6re8pd</t>
  </si>
  <si>
    <t>Omnires Holding AB Anmälan om behandling av avfall 20250225.pdf</t>
  </si>
  <si>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</si>
  <si>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</si>
  <si>
    <t>http://localhost:8787/api/admin/requirements/documents/cmm4yuqfk03jecuqwviqg72hj/view</t>
  </si>
  <si>
    <t>KRAV-AUTO-000686</t>
  </si>
  <si>
    <t>ADMIN-INDEX-2026-02-27-00000000125C043F57453246863FE664CAFE6A3F0700950291EA24F0614FB6ACEDB12BF0E31D00000000010C0000950291EA24F0614FB6ACEDB12BF0E31D00002087ADF60000</t>
  </si>
  <si>
    <t>cmm4yuqfk03jecuqwviqg72hj</t>
  </si>
  <si>
    <t>http://localhost:8787/api/admin/requirements/documents/cmm4yuqfi03jbcuqw695vrv4c/view</t>
  </si>
  <si>
    <t>KRAV-AUTO-000687</t>
  </si>
  <si>
    <t>ADMIN-INDEX-2026-02-27-00000000125C043F57453246863FE664CAFE6A3F0700950291EA24F0614FB6ACEDB12BF0E31D00000000010C0000950291EA24F0614FB6ACEDB12BF0E31D00002087ADF70000</t>
  </si>
  <si>
    <t>cmm4yuqfi03jbcuqw695vrv4c</t>
  </si>
  <si>
    <t>Komplettering</t>
  </si>
  <si>
    <t>Per Eriksson Åsen 1 17 Komplettering av anmälan.pdf</t>
  </si>
  <si>
    <t>Materialet kommer att mellanlagras på den aktuella ytan där gårdsplanen ska anläggas.</t>
  </si>
  <si>
    <t>KRAV-AUTO-000688</t>
  </si>
  <si>
    <t>Betongen utgörs av jungfruliga råvaror det vill säga ingen flygaska eller slagg ska ha använts vid framställningen enligt entreprenören (Everettsson Schakt och Transport AB).</t>
  </si>
  <si>
    <t>KRAV-AUTO-000689</t>
  </si>
  <si>
    <t>Syfte och beskrivning av verksamheten Per Eriksson önskar använda återvunnet anläggningsmaterial (krossad betong) som del i uppbyggnad i en ny gårdsplan på fastigheten Karlstad Åsen 1:17.</t>
  </si>
  <si>
    <t>http://localhost:8787/api/admin/requirements/documents/cmm4yur650482cuqwpb5gpjgt/view</t>
  </si>
  <si>
    <t>KRAV-AUTO-000690</t>
  </si>
  <si>
    <t>cmm4yur650482cuqwpb5gpjgt</t>
  </si>
  <si>
    <t>Den hanterade asfaltsmängden förväntas vara ungefär 1500 ton per år, med en uppskattad maximal årlig mängd om 3000 ton.</t>
  </si>
  <si>
    <t>http://localhost:8787/api/admin/requirements/documents/cmm4yur5o047kcuqwxavpza0s/view</t>
  </si>
  <si>
    <t>KRAV-AUTO-000691</t>
  </si>
  <si>
    <t>cmm4yur5o047kcuqwxavpza0s</t>
  </si>
  <si>
    <t>Flytande farligt avfall och kemiska produkter ska förvaras inom invallning som rymmer största behållarens volym plus 10 % av övriga behållares totala volym, på hårdgjord yta samt nederbördsskyddat.</t>
  </si>
  <si>
    <t>KRAV-AUTO-000692</t>
  </si>
  <si>
    <t>Av samma anledning ska inte lakvatten uppstå.</t>
  </si>
  <si>
    <t>KRAV-AUTO-000693</t>
  </si>
  <si>
    <t>I händelse av att lakvatten uppstår bör detta hindras från att spridas.</t>
  </si>
  <si>
    <t>http://localhost:8787/api/admin/requirements/documents/cmm4yur5i047ecuqw6v9fmtpn/view</t>
  </si>
  <si>
    <t>KRAV-AUTO-000694</t>
  </si>
  <si>
    <t>cmm4yur5i047ecuqw6v9fmtpn</t>
  </si>
  <si>
    <t>Dokument: MK-2025-254-6_Miljörisker vid lagring av aska vid spridningsområde _2025-06-17.pdf.</t>
  </si>
  <si>
    <t>http://localhost:8787/api/admin/requirements/documents/cmm4yuqdl03hbcuqwsz1ygnv1/view</t>
  </si>
  <si>
    <t>KRAV-AUTO-000695</t>
  </si>
  <si>
    <t>cmm4yuqdl03hbcuqwsz1ygnv1</t>
  </si>
  <si>
    <t>KRAV-AUTO-000696</t>
  </si>
  <si>
    <t>KRAV-AUTO-000697</t>
  </si>
  <si>
    <t>http://localhost:8787/api/admin/requirements/documents/cmm4yuqd603gwcuqwb2tyymkm/view</t>
  </si>
  <si>
    <t>KRAV-AUTO-000698</t>
  </si>
  <si>
    <t>cmm4yuqd603gwcuqwb2tyymkm</t>
  </si>
  <si>
    <t>KRAV-AUTO-000699</t>
  </si>
  <si>
    <t>http://localhost:8787/api/admin/requirements/documents/cmm4yuqcq03gkcuqwtvl6o7vj/view</t>
  </si>
  <si>
    <t>KRAV-AUTO-000700</t>
  </si>
  <si>
    <t>cmm4yuqcq03gkcuqwtvl6o7vj</t>
  </si>
  <si>
    <t>KRAV-AUTO-000701</t>
  </si>
  <si>
    <t>http://localhost:8787/api/admin/requirements/documents/cmm4yuqck03gecuqwnykm0vbp/view</t>
  </si>
  <si>
    <t>KRAV-AUTO-000702</t>
  </si>
  <si>
    <t>cmm4yuqck03gecuqwnykm0vbp</t>
  </si>
  <si>
    <t>KRAV-AUTO-000703</t>
  </si>
  <si>
    <t>http://localhost:8787/api/admin/requirements/documents/cmm4yuqc903g5cuqwme802knw/view</t>
  </si>
  <si>
    <t>KRAV-AUTO-000704</t>
  </si>
  <si>
    <t>ADMIN-INDEX-2026-02-27-00000000125C043F57453246863FE664CAFE6A3F0700950291EA24F0614FB6ACEDB12BF0E31D00000000010C0000950291EA24F0614FB6ACEDB12BF0E31D00002087AE000000</t>
  </si>
  <si>
    <t>cmm4yuqc903g5cuqwme802knw</t>
  </si>
  <si>
    <t>avfall samt anläggning av ytor Karlstads</t>
  </si>
  <si>
    <t>avfall samt anläggning av ytor Karlstads kommun</t>
  </si>
  <si>
    <t>Karlstads kommun Anmälan om lagring av avfall Skåre 1 369 Beslut 250820.pdf</t>
  </si>
  <si>
    <t>Dokument: Karlstads kommun Anmälan om lagring av avfall Skåre 1 369 Beslut 250820.pdf.</t>
  </si>
  <si>
    <t>http://localhost:8787/api/admin/requirements/documents/cmm4yuqc603g2cuqw2w536lb6/view</t>
  </si>
  <si>
    <t>KRAV-AUTO-000705</t>
  </si>
  <si>
    <t>cmm4yuqc603g2cuqw2w536lb6</t>
  </si>
  <si>
    <t>Sid 3(4) Mellanlagret kommer börja användas 2025-09-01 och det avslutas 2026-03-31.</t>
  </si>
  <si>
    <t>KRAV-AUTO-000706</t>
  </si>
  <si>
    <t>Vid behov ska den även kunna användas för provtagning av misstänkt förorenade massor.</t>
  </si>
  <si>
    <t>KRAV-AUTO-000707</t>
  </si>
  <si>
    <t>Den största vinsten bedöms vara att transporterna kommer minska då avståndet mellan arbetsområdet och mellanlagret är relativt kort.</t>
  </si>
  <si>
    <t>http://localhost:8787/api/admin/requirements/documents/cmm4yuqb703f8cuqwpfqz0kfo/view</t>
  </si>
  <si>
    <t>KRAV-AUTO-000708</t>
  </si>
  <si>
    <t>cmm4yuqb703f8cuqwpfqz0kfo</t>
  </si>
  <si>
    <t>Eventuellt tillkommande massor ska uppfylla mindre än ringa risk (MRR).</t>
  </si>
  <si>
    <t>KRAV-AUTO-000709</t>
  </si>
  <si>
    <t>de massor som tas emot får genom sitt föroreningsinnehåll inte innebära någon oacceptabel risk för skadliga effekter på omgivande miljö eller hälsa.</t>
  </si>
  <si>
    <t>KRAV-AUTO-000710</t>
  </si>
  <si>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</si>
  <si>
    <t>http://localhost:8787/api/admin/requirements/documents/cmm4yuqay03f2cuqw4iu39umv/view</t>
  </si>
  <si>
    <t>KRAV-AUTO-000711</t>
  </si>
  <si>
    <t>cmm4yuqay03f2cuqw4iu39umv</t>
  </si>
  <si>
    <t>Syror och baser förvaras, liksom övrigt flytande farligt avfall, invallade och nederbördsskyddade eller med motsvarande skydd så att spill och läckage inte kan nå mark, grund- eller ytvatten.</t>
  </si>
  <si>
    <t>KRAV-AUTO-000712</t>
  </si>
  <si>
    <t>Ragn-Sells uppskattar att cirka 100-200 ton flytande farligt avfall kommer att behandlas genom neutralisering årligen.</t>
  </si>
  <si>
    <t>KRAV-AUTO-000713</t>
  </si>
  <si>
    <t>Det neutraliserade farliga avfallet kommer sedimentera i behållarna och den neutrala vätskan pumpas över till en ny behållare.</t>
  </si>
  <si>
    <t>http://localhost:8787/api/admin/requirements/documents/cmm4yur400462cuqwco0rcfa6/view</t>
  </si>
  <si>
    <t>KRAV-AUTO-000714</t>
  </si>
  <si>
    <t>cmm4yur400462cuqwco0rcfa6</t>
  </si>
  <si>
    <t>Eftersom endast hål ska fyllas ut i området där brunnen finns, så borde heller ingen större mängd massor hamna i närheten av brunnen.</t>
  </si>
  <si>
    <t>KRAV-AUTO-000715</t>
  </si>
  <si>
    <t>Ingen uppskattning av mängd massor som behövs eller markprofil har bifogats anmälan, men Sebastian uppger att de ska ta in massor med försiktighet eftersom han inte vill behöva schakta bort massor igen.</t>
  </si>
  <si>
    <t>KRAV-AUTO-000716</t>
  </si>
  <si>
    <t>Det finns också ett syfte att minska risken för översvämning av tomten.</t>
  </si>
  <si>
    <t>http://localhost:8787/api/admin/requirements/documents/cmm4yuqao03etcuqwf9eps7mu/view</t>
  </si>
  <si>
    <t>KRAV-AUTO-000717</t>
  </si>
  <si>
    <t>cmm4yuqao03etcuqwf9eps7mu</t>
  </si>
  <si>
    <t>Små mängder avfall från den egna verksamheten får transporteras utan tillstånd, men för det krävs anmälan till länsstyrelsen.</t>
  </si>
  <si>
    <t>KRAV-AUTO-000718</t>
  </si>
  <si>
    <t>Vem transporterar bort avfallet?</t>
  </si>
  <si>
    <t>KRAV-AUTO-000719</t>
  </si>
  <si>
    <t>Anmälan ska vara inlämnad senast sex veckor innan farligt avfall får tas emot.</t>
  </si>
  <si>
    <t>http://localhost:8787/api/admin/requirements/documents/cmm4yuqah03encuqw2ul2y4yr/view</t>
  </si>
  <si>
    <t>KRAV-AUTO-000720</t>
  </si>
  <si>
    <t>cmm4yuqah03encuqw2ul2y4yr</t>
  </si>
  <si>
    <t>Ragn-Sells uppskattar att cirka 50 ton tomma tryckbehållare kommer hanteras årligen.</t>
  </si>
  <si>
    <t>KRAV-AUTO-000721</t>
  </si>
  <si>
    <t>1 § Avfallsförordningen (AF) ska avfallsinnehavaren välja den kod som bäst beskriver avfallet.</t>
  </si>
  <si>
    <t>KRAV-AUTO-000722</t>
  </si>
  <si>
    <t>Tryckbehållare innehållandes vätska/gas klassas som farligt avfall enligt Avfallsförordningen (SFS 2011:927).</t>
  </si>
  <si>
    <t>http://localhost:8787/api/admin/requirements/documents/cmm4yur3f045kcuqwd2xidy5u/view</t>
  </si>
  <si>
    <t>KRAV-AUTO-000723</t>
  </si>
  <si>
    <t>cmm4yur3f045kcuqwd2xidy5u</t>
  </si>
  <si>
    <t>-- 1 of 1 -- 07:41 ons 4 sep Sök här Prov 3 Prov 2 Prov 1 Google Utforska Sparat Bidra 2024 Google Ankom: 2025-03-27 Ärende: MIL.2025.213 Handling: 1309761 Provtagning lärligen X Prov 4 x Prow 5</t>
  </si>
  <si>
    <t>http://localhost:8787/api/admin/requirements/documents/cmm4yuq9v03e5cuqw4pr4jnpp/view</t>
  </si>
  <si>
    <t>KRAV-AUTO-000724</t>
  </si>
  <si>
    <t>cmm4yuq9v03e5cuqw4pr4jnpp</t>
  </si>
  <si>
    <t>KRAV-AUTO-000725</t>
  </si>
  <si>
    <t>KRAV-AUTO-000726</t>
  </si>
  <si>
    <t>http://localhost:8787/api/admin/requirements/documents/cmm4yur2t0452cuqw92ikw9lo/view</t>
  </si>
  <si>
    <t>KRAV-AUTO-000727</t>
  </si>
  <si>
    <t>cmm4yur2t0452cuqw92ikw9lo</t>
  </si>
  <si>
    <t>Underskrift ee | Datum och sökandens underskrift" | \wrers LETA “il AGUS Oa | Beskrivning av luftfloden, utslappspunkter, uppskattade luftfororeningsmangder | Beskrivning av processer där spillvatten förekommer.</t>
  </si>
  <si>
    <t>KRAV-AUTO-000728</t>
  </si>
  <si>
    <t>kök m.m.) Ange flöden, utsläppspunkter och uppskattade vattenföroreningsmängder (kan bifogas sombilaga) Är verksamheten ansluten till egen anläggning?” Ja X Nej Avger verksamheten luftutsläpp?" Ja Ts Nej Ange luftfléden.</t>
  </si>
  <si>
    <t>http://localhost:8787/api/admin/requirements/documents/cmm4yuq9d03dncuqwwomqoxjw/view</t>
  </si>
  <si>
    <t>KRAV-AUTO-000729</t>
  </si>
  <si>
    <t>ADMIN-INDEX-2026-02-27-00000000125C043F57453246863FE664CAFE6A3F0700950291EA24F0614FB6ACEDB12BF0E31D00000000010C0000950291EA24F0614FB6ACEDB12BF0E31D00002087AE070000</t>
  </si>
  <si>
    <t>cmm4yuq9d03dncuqwwomqoxjw</t>
  </si>
  <si>
    <t>MN-2025-421-Sv_ Fyllnadsmassor Arvidsjaur 5_14.pdf</t>
  </si>
  <si>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</si>
  <si>
    <t>KRAV-AUTO-000730</t>
  </si>
  <si>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</si>
  <si>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</si>
  <si>
    <t>http://localhost:8787/api/admin/requirements/documents/cmm4yuq8y03d8cuqwq094njtx/view</t>
  </si>
  <si>
    <t>KRAV-AUTO-000731</t>
  </si>
  <si>
    <t>cmm4yuq8y03d8cuqwq094njtx</t>
  </si>
  <si>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</si>
  <si>
    <t>KRAV-AUTO-000732</t>
  </si>
  <si>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</si>
  <si>
    <t>http://localhost:8787/api/admin/requirements/documents/cmm4yuq8v03d5cuqwmv8ldybu/view</t>
  </si>
  <si>
    <t>KRAV-AUTO-000733</t>
  </si>
  <si>
    <t>cmm4yuq8v03d5cuqwmv8ldybu</t>
  </si>
  <si>
    <t>Bifogas ej Beskrivning av luftflöden, utsläppspunkter, uppskattade luftföroreningsmängder Du kan välja att ladda upp dokumentet här eller skicka in det per post.</t>
  </si>
  <si>
    <t>http://localhost:8787/api/admin/requirements/documents/cmm4yuq8t03d2cuqwjyjrslet/view</t>
  </si>
  <si>
    <t>KRAV-AUTO-000734</t>
  </si>
  <si>
    <t>cmm4yuq8t03d2cuqwjyjrslet</t>
  </si>
  <si>
    <t>Certifiering krävs inte heller för sorteringen innan ingrepp har gjorts beträffande de elektriska eller elektroniska delarna, eller behandling som sker efter att ämnen, komponenter m.m.</t>
  </si>
  <si>
    <t>KRAV-AUTO-000735</t>
  </si>
  <si>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</si>
  <si>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t>
  </si>
  <si>
    <t>KRAV-AUTO-000736</t>
  </si>
  <si>
    <t>Anteckningar om mängder av avfall och hur dessa ska behandlas ska föras i enlighet med bestämmelserna i avfallslagstiftningen.</t>
  </si>
  <si>
    <t>http://localhost:8787/api/admin/requirements/documents/cmm4yur26044kcuqw8lpev5n6/view</t>
  </si>
  <si>
    <t>KRAV-AUTO-000737</t>
  </si>
  <si>
    <t>cmm4yur26044kcuqw8lpev5n6</t>
  </si>
  <si>
    <t>KRAV-AUTO-000738</t>
  </si>
  <si>
    <t>Mängden krossade asfaltrester som lagras skall hållas så liten som möjligt.</t>
  </si>
  <si>
    <t>KRAV-AUTO-000739</t>
  </si>
  <si>
    <t>http://localhost:8787/api/admin/requirements/documents/cmm4yuq8h03cqcuqw79qvo0km/view</t>
  </si>
  <si>
    <t>KRAV-AUTO-000740</t>
  </si>
  <si>
    <t>ADMIN-INDEX-2026-02-27-00000000125C043F57453246863FE664CAFE6A3F0700950291EA24F0614FB6ACEDB12BF0E31D00000000010C0000950291EA24F0614FB6ACEDB12BF0E31D00002087AE080000</t>
  </si>
  <si>
    <t>cmm4yuq8h03cqcuqw79qvo0km</t>
  </si>
  <si>
    <t>MN-2025-421-Anmälan.pdf</t>
  </si>
  <si>
    <t>KRAV-AUTO-000741</t>
  </si>
  <si>
    <t>Om föroreningsrisken bedöms som ringa ska en anmälan lämnas till miljö-, bygg- och hälsoskyddsnämnden.</t>
  </si>
  <si>
    <t>KRAV-AUTO-000742</t>
  </si>
  <si>
    <t>Om föroreningsrisken bedöms som mer än ringa krävs tillstånd av länsstyrelsen Om det inte finns någon föroreningsrisk krävs ingen anmälan (samråd, strandskydds- dispens och/eller marklov kan dock ändå vara aktuellt, se nedan).</t>
  </si>
  <si>
    <t>http://localhost:8787/api/admin/requirements/documents/cmm4yuq8903chcuqwqha72piw/view</t>
  </si>
  <si>
    <t>KRAV-AUTO-000743</t>
  </si>
  <si>
    <t>cmm4yuq8903chcuqwqha72piw</t>
  </si>
  <si>
    <t>http://localhost:8787/api/admin/requirements/documents/cmm4yuq7z03c8cuqwfikjuwgu/view</t>
  </si>
  <si>
    <t>KRAV-AUTO-000744</t>
  </si>
  <si>
    <t>ADMIN-INDEX-2026-02-27-00000000125C043F57453246863FE664CAFE6A3F0700950291EA24F0614FB6ACEDB12BF0E31D00000000010C0000950291EA24F0614FB6ACEDB12BF0E31D00002087AE0C0000</t>
  </si>
  <si>
    <t>cmm4yuq7z03c8cuqwfikjuwgu</t>
  </si>
  <si>
    <t>Diariekort anmälningspliktiga verksamheter.pdf</t>
  </si>
  <si>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</si>
  <si>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</si>
  <si>
    <t>KRAV-AUTO-000745</t>
  </si>
  <si>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</si>
  <si>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</si>
  <si>
    <t>http://localhost:8787/api/admin/requirements/documents/cmm4yuq7w03c5cuqwlsylb0mg/view</t>
  </si>
  <si>
    <t>KRAV-AUTO-000746</t>
  </si>
  <si>
    <t>ADMIN-INDEX-2026-02-27-00000000125C043F57453246863FE664CAFE6A3F0700950291EA24F0614FB6ACEDB12BF0E31D00000000010C0000950291EA24F0614FB6ACEDB12BF0E31D00002087AE0F0000</t>
  </si>
  <si>
    <t>cmm4yuq7w03c5cuqwlsylb0mg</t>
  </si>
  <si>
    <t>KRAV-AUTO-000747</t>
  </si>
  <si>
    <t>KRAV-AUTO-000748</t>
  </si>
  <si>
    <t>http://localhost:8787/api/admin/requirements/documents/cmm4yur0y043hcuqwuogltp4v/view</t>
  </si>
  <si>
    <t>KRAV-AUTO-000749</t>
  </si>
  <si>
    <t>cmm4yur0y043hcuqwuogltp4v</t>
  </si>
  <si>
    <t>KRAV-AUTO-000750</t>
  </si>
  <si>
    <t>KRAV-AUTO-000751</t>
  </si>
  <si>
    <t>http://localhost:8787/api/admin/requirements/documents/cmm4yuq7503bbcuqway70c0xj/view</t>
  </si>
  <si>
    <t>KRAV-AUTO-000752</t>
  </si>
  <si>
    <t>ADMIN-INDEX-2026-02-27-00000000125C043F57453246863FE664CAFE6A3F0700950291EA24F0614FB6ACEDB12BF0E31D00000000010C0000950291EA24F0614FB6ACEDB12BF0E31D00002087AE230000</t>
  </si>
  <si>
    <t>cmm4yuq7503bbcuqway70c0xj</t>
  </si>
  <si>
    <t>anmälan.pdf</t>
  </si>
  <si>
    <t>Beskriv verksamheten och ge om möjligt en kort historik Omlastning av sopor från en stor mängd företag i Gagnefs kommun där vi har för avsikt att påbörja sortering av detta avfall.</t>
  </si>
  <si>
    <t>KRAV-AUTO-000753</t>
  </si>
  <si>
    <t>Verksamhetsbeskrivning Beskriv i korthet produktionsmetoder, produkter, kapacitet/producerad mängd, arbetstider och annat som är relevant för er verksamhet Lokalisering Beskriv den närmaste omgivningen.</t>
  </si>
  <si>
    <t>KRAV-AUTO-000754</t>
  </si>
  <si>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</si>
  <si>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</si>
  <si>
    <t>http://localhost:8787/api/admin/requirements/documents/cmm4yuq6r03awcuqwq022xuhi/view</t>
  </si>
  <si>
    <t>KRAV-AUTO-000755</t>
  </si>
  <si>
    <t>ADMIN-INDEX-2026-02-27-00000000125C043F57453246863FE664CAFE6A3F0700950291EA24F0614FB6ACEDB12BF0E31D00000000010C0000950291EA24F0614FB6ACEDB12BF0E31D00002087AE240000</t>
  </si>
  <si>
    <t>cmm4yuq6r03awcuqwq022xuhi</t>
  </si>
  <si>
    <t>Postadress Gagnefs</t>
  </si>
  <si>
    <t>Postadress Gagnefs kommun</t>
  </si>
  <si>
    <t>beslut.pdf</t>
  </si>
  <si>
    <t>Spill och förorenat dagvatten från hantering av elavfall ska kunna samlas upp och kontrolleras.</t>
  </si>
  <si>
    <t>KRAV-AUTO-000756</t>
  </si>
  <si>
    <t>Det ska även förvaras på tät invallad yta under tak.</t>
  </si>
  <si>
    <t>KRAV-AUTO-000757</t>
  </si>
  <si>
    <t>• Elavfall ska sorteras ut lagras skyddat mot nederbörd och förvaras på en plats med tät ytbeläggning.</t>
  </si>
  <si>
    <t>http://localhost:8787/api/admin/requirements/documents/cmm4yuq6o03atcuqwooffjadk/view</t>
  </si>
  <si>
    <t>KRAV-AUTO-000758</t>
  </si>
  <si>
    <t>ADMIN-INDEX-2026-02-27-00000000125C043F57453246863FE664CAFE6A3F0700950291EA24F0614FB6ACEDB12BF0E31D00000000010C0000950291EA24F0614FB6ACEDB12BF0E31D00002087AE2B0000</t>
  </si>
  <si>
    <t>cmm4yuq6o03atcuqwooffjadk</t>
  </si>
  <si>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Endast det material och de mängder som finns på platsen ska fortsatt lagras på platsen.</t>
  </si>
  <si>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t>
  </si>
  <si>
    <t>KRAV-AUTO-000759</t>
  </si>
  <si>
    <t>http://localhost:8787/api/admin/requirements/documents/cmm4yuq6m03aqcuqwypr8t24m/view</t>
  </si>
  <si>
    <t>KRAV-AUTO-000760</t>
  </si>
  <si>
    <t>cmm4yuq6m03aqcuqwypr8t24m</t>
  </si>
  <si>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</si>
  <si>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</si>
  <si>
    <t>KRAV-AUTO-000761</t>
  </si>
  <si>
    <t>KRAV-AUTO-000762</t>
  </si>
  <si>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</si>
  <si>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</si>
  <si>
    <t>http://localhost:8787/api/admin/requirements/documents/cmm4yur03042hcuqw64f552ii/view</t>
  </si>
  <si>
    <t>KRAV-AUTO-000763</t>
  </si>
  <si>
    <t>cmm4yur03042hcuqw64f552ii</t>
  </si>
  <si>
    <t>KRAV-AUTO-000764</t>
  </si>
  <si>
    <t>KRAV-AUTO-000765</t>
  </si>
  <si>
    <t>http://localhost:8787/api/admin/requirements/documents/cmm4yuq5w039zcuqwnutcz35o/view</t>
  </si>
  <si>
    <t>KRAV-AUTO-000766</t>
  </si>
  <si>
    <t>ADMIN-INDEX-2026-02-27-00000000125C043F57453246863FE664CAFE6A3F0700950291EA24F0614FB6ACEDB12BF0E31D00000000010C0000950291EA24F0614FB6ACEDB12BF0E31D00002087AE2E0000</t>
  </si>
  <si>
    <t>cmm4yuq5w039zcuqwnutcz35o</t>
  </si>
  <si>
    <t>Föreläggande försiktighetsåtgärder_Bortredigerad.pdf</t>
  </si>
  <si>
    <t>Skäl för beslutet Enligt uppgift har smetresten (som är aktuell i detta fall) legat hos länge, i åtminstone ett par år, kanske mer.</t>
  </si>
  <si>
    <t>http://localhost:8787/api/admin/requirements/documents/cmm4yuq5t039wcuqw6g49k5mm/view</t>
  </si>
  <si>
    <t>KRAV-AUTO-000767</t>
  </si>
  <si>
    <t>cmm4yuq5t039wcuqw6g49k5mm</t>
  </si>
  <si>
    <t>Kontrollprogram finns upprättat för platsen där smeresten ska appliceras.</t>
  </si>
  <si>
    <t>KRAV-AUTO-000768</t>
  </si>
  <si>
    <t>Beskriv syftet med den nya anläggningen som avfallet ska användas till Ingen ny anläggning, utan tillägg av material till konstruktion av yta samt bullervall.</t>
  </si>
  <si>
    <t>KRAV-AUTO-000769</t>
  </si>
  <si>
    <t>http://localhost:8787/api/admin/requirements/documents/cmm4yuq56039bcuqw31feylkb/view</t>
  </si>
  <si>
    <t>KRAV-AUTO-000770</t>
  </si>
  <si>
    <t>ADMIN-INDEX-2026-02-27-00000000125C043F57453246863FE664CAFE6A3F0700950291EA24F0614FB6ACEDB12BF0E31D00000000010C0000950291EA24F0614FB6ACEDB12BF0E31D00002087AE330000</t>
  </si>
  <si>
    <t>cmm4yuq56039bcuqw31feylkb</t>
  </si>
  <si>
    <t>Säffle</t>
  </si>
  <si>
    <t>Säffle kommun</t>
  </si>
  <si>
    <t>Anmälningsbeslut - Avelsäter 1_46.pdf</t>
  </si>
  <si>
    <t>Detta innebär att asfaltens innehåll av dessa skadliga ämnen måste vara tillräckligt lågt för att inte utgöra en risk för miljön eller människors hälsa.</t>
  </si>
  <si>
    <t>KRAV-AUTO-000771</t>
  </si>
  <si>
    <t>För att asfalt ska klassificeras som icke-farligt avfall måste halten av PAH16 (polycykliska aromatiska kolväten) underskrida värden på mindre än 70 ppm (parts per million).</t>
  </si>
  <si>
    <t>KRAV-AUTO-000772</t>
  </si>
  <si>
    <t>http://localhost:8787/api/admin/requirements/documents/cmm4yuq4q038wcuqw47iia2s2/view</t>
  </si>
  <si>
    <t>KRAV-AUTO-000773</t>
  </si>
  <si>
    <t>cmm4yuq4q038wcuqw47iia2s2</t>
  </si>
  <si>
    <t>En mindre mängd på 100 m3 kommer att uppstå när åtgärder ska utföras för att förstärka vägkanter på vissa delar längs väg 175 Säffle – Knöstad.</t>
  </si>
  <si>
    <t>http://localhost:8787/api/admin/requirements/documents/cmm4yuq30037bcuqw6m75qin5/view</t>
  </si>
  <si>
    <t>KRAV-AUTO-000774</t>
  </si>
  <si>
    <t>cmm4yuq30037bcuqw6m75qin5</t>
  </si>
  <si>
    <t>KRAV-AUTO-000775</t>
  </si>
  <si>
    <t>KRAV-AUTO-000776</t>
  </si>
  <si>
    <t>http://localhost:8787/api/admin/requirements/documents/cmm4yuprg02whcuqwxnhw7fpc/view</t>
  </si>
  <si>
    <t>KRAV-AUTO-000777</t>
  </si>
  <si>
    <t>ADMIN-INDEX-2026-02-27-00000000125C043F57453246863FE664CAFE6A3F0700950291EA24F0614FB6ACEDB12BF0E31D00000000010C0000950291EA24F0614FB6ACEDB12BF0E31D00002087AE590000</t>
  </si>
  <si>
    <t>cmm4yuprg02whcuqwxnhw7fpc</t>
  </si>
  <si>
    <t>Lagring av avfall får ske under högst ett år innan det bortskaffas eller under högst tre år innan det återvinns eller behandlas (kod 90.40) Företagsuppgifter Namn/anmälare BaoTAD Grev o schakt AB Fastighetsbeteckning Hemmes lov.</t>
  </si>
  <si>
    <t>KRAV-AUTO-000778</t>
  </si>
  <si>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</si>
  <si>
    <t>KRAV-AUTO-000779</t>
  </si>
  <si>
    <t>Ska avfallet användas för bygg- eller anläggningsändamål får 30 000 ton lagras vid varje enskilt tillfälle.</t>
  </si>
  <si>
    <t>http://localhost:8787/api/admin/requirements/documents/cmm4yuq48038hcuqw5b5nu4fw/view</t>
  </si>
  <si>
    <t>KRAV-AUTO-000780</t>
  </si>
  <si>
    <t>cmm4yuq48038hcuqw5b5nu4fw</t>
  </si>
  <si>
    <t>KRAV-AUTO-000781</t>
  </si>
  <si>
    <t>KRAV-AUTO-000782</t>
  </si>
  <si>
    <t>http://localhost:8787/api/admin/requirements/documents/cmm4yuqzj041wcuqwv7g9ufp9/view</t>
  </si>
  <si>
    <t>KRAV-AUTO-000783</t>
  </si>
  <si>
    <t>cmm4yuqzj041wcuqwv7g9ufp9</t>
  </si>
  <si>
    <t>http://localhost:8787/api/admin/requirements/documents/cmm4yuqzc041qcuqwmgzig5te/view</t>
  </si>
  <si>
    <t>KRAV-AUTO-000784</t>
  </si>
  <si>
    <t>cmm4yuqzc041qcuqwmgzig5te</t>
  </si>
  <si>
    <t>http://localhost:8787/api/admin/requirements/documents/cmm4yuqx7041hcuqwplkukuaz/view</t>
  </si>
  <si>
    <t>KRAV-AUTO-000785</t>
  </si>
  <si>
    <t>cmm4yuqx7041hcuqwplkukuaz</t>
  </si>
  <si>
    <t>KRAV-AUTO-000786</t>
  </si>
  <si>
    <t>KRAV-AUTO-000787</t>
  </si>
  <si>
    <t>http://localhost:8787/api/admin/requirements/documents/cmm4yuq2s0372cuqwnzg9nx4r/view</t>
  </si>
  <si>
    <t>KRAV-AUTO-000788</t>
  </si>
  <si>
    <t>cmm4yuq2s0372cuqwnzg9nx4r</t>
  </si>
  <si>
    <t>KRAV-AUTO-000789</t>
  </si>
  <si>
    <t>KRAV-AUTO-000790</t>
  </si>
  <si>
    <t>http://localhost:8787/api/admin/requirements/documents/cmm4yuqws0412cuqw9oh6824u/view</t>
  </si>
  <si>
    <t>KRAV-AUTO-000791</t>
  </si>
  <si>
    <t>ADMIN-INDEX-2026-02-27-00000000125C043F57453246863FE664CAFE6A3F0700950291EA24F0614FB6ACEDB12BF0E31D00000000010C0000950291EA24F0614FB6ACEDB12BF0E31D00002087A5D20000</t>
  </si>
  <si>
    <t>cmm4yuqws0412cuqw9oh6824u</t>
  </si>
  <si>
    <t>KRAV-AUTO-000792</t>
  </si>
  <si>
    <t>KRAV-AUTO-000793</t>
  </si>
  <si>
    <t>http://localhost:8787/api/admin/requirements/documents/cmm4yuq24036ecuqwn0danstz/view</t>
  </si>
  <si>
    <t>KRAV-AUTO-000794</t>
  </si>
  <si>
    <t>cmm4yuq24036ecuqwn0danstz</t>
  </si>
  <si>
    <t>http://localhost:8787/api/admin/requirements/documents/cmm4yuq1n035zcuqwvdutidh3/view</t>
  </si>
  <si>
    <t>KRAV-AUTO-000795</t>
  </si>
  <si>
    <t>cmm4yuq1n035zcuqwvdutidh3</t>
  </si>
  <si>
    <t>KRAV-AUTO-000796</t>
  </si>
  <si>
    <t>http://localhost:8787/api/admin/requirements/documents/cmm4yurg704incuqwk4udajh4/view</t>
  </si>
  <si>
    <t>KRAV-AUTO-000797</t>
  </si>
  <si>
    <t>cmm4yurg704incuqwk4udajh4</t>
  </si>
  <si>
    <t>Vid misstanke om förorening skall provtagning av materialet ske enligt rutin.</t>
  </si>
  <si>
    <t>KRAV-AUTO-000798</t>
  </si>
  <si>
    <t>Maximal mängd som ska förvaras på fastigheten är 30 000 ton och materialet samlas i högar i olika fraktioner.</t>
  </si>
  <si>
    <t>http://localhost:8787/api/admin/requirements/documents/cmm4yurfy04iecuqw6dwn8r90/view</t>
  </si>
  <si>
    <t>KRAV-AUTO-000799</t>
  </si>
  <si>
    <t>cmm4yurfy04iecuqw6dwn8r90</t>
  </si>
  <si>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mellanlagring av avfall.</t>
  </si>
  <si>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t>
  </si>
  <si>
    <t>KRAV-AUTO-000800</t>
  </si>
  <si>
    <t>Vid misstanke om förorening skall provtagning av materialet ske enligt rutin innan mellanlagring och massor med misstänkt förorening högre än MKM ska inte mellanlagras på ytan.</t>
  </si>
  <si>
    <t>KRAV-AUTO-000801</t>
  </si>
  <si>
    <t>http://localhost:8787/api/admin/requirements/documents/cmm4yuq19035kcuqwn06inenj/view</t>
  </si>
  <si>
    <t>KRAV-AUTO-000802</t>
  </si>
  <si>
    <t>cmm4yuq19035kcuqwn06inenj</t>
  </si>
  <si>
    <t>http://localhost:8787/api/admin/requirements/documents/cmm4yurft04i8cuqwfabytyif/view</t>
  </si>
  <si>
    <t>KRAV-AUTO-000803</t>
  </si>
  <si>
    <t>cmm4yurft04i8cuqwfabytyif</t>
  </si>
  <si>
    <t>Mer än 10 ton men högst 30 000 ton och avfallet ska användas för byggnads- eller anläggningsändamål Asfalten ska vara provtagen där massorna hämtas.</t>
  </si>
  <si>
    <t>KRAV-AUTO-000804</t>
  </si>
  <si>
    <t>För att minska risken att förorenade massor eller massor med okänt ursprung körs in på området bedöms det skäligt att verksamheten ska försöka förhindra att olovlig deponering av avfall sker inom området.</t>
  </si>
  <si>
    <t>KRAV-AUTO-000805</t>
  </si>
  <si>
    <t>Verksamhetsutövaren bör även utföra rutinmässiga provtagningar av materialet.</t>
  </si>
  <si>
    <t>http://localhost:8787/api/admin/requirements/documents/cmm4yuqwj040tcuqwkjxx26xs/view</t>
  </si>
  <si>
    <t>KRAV-AUTO-000806</t>
  </si>
  <si>
    <t>cmm4yuqwj040tcuqwkjxx26xs</t>
  </si>
  <si>
    <t>KRAV-AUTO-000807</t>
  </si>
  <si>
    <t>KRAV-AUTO-000808</t>
  </si>
  <si>
    <t>http://localhost:8787/api/admin/requirements/documents/cmm4yuq0q0352cuqwtzx4vvfr/view</t>
  </si>
  <si>
    <t>KRAV-AUTO-000809</t>
  </si>
  <si>
    <t>cmm4yuq0q0352cuqwtzx4vvfr</t>
  </si>
  <si>
    <t>KRAV-AUTO-000810</t>
  </si>
  <si>
    <t>KRAV-AUTO-000811</t>
  </si>
  <si>
    <t>http://localhost:8787/api/admin/requirements/documents/cmm4yuqwb040kcuqwpmag8g2a/view</t>
  </si>
  <si>
    <t>KRAV-AUTO-000812</t>
  </si>
  <si>
    <t>cmm4yuqwb040kcuqwpmag8g2a</t>
  </si>
  <si>
    <t>Om annat avfall ska användas för anläggningsändamål på fastigheten, ska en ny anmälan lämnas in till miljöavdelningen.</t>
  </si>
  <si>
    <t>http://localhost:8787/api/admin/requirements/documents/cmm4yuq01034ecuqwl63x1j4f/view</t>
  </si>
  <si>
    <t>KRAV-AUTO-000813</t>
  </si>
  <si>
    <t>cmm4yuq01034ecuqwl63x1j4f</t>
  </si>
  <si>
    <t>KRAV-AUTO-000814</t>
  </si>
  <si>
    <t>KRAV-AUTO-000815</t>
  </si>
  <si>
    <t>http://localhost:8787/api/admin/requirements/documents/cmm4yurfn04i2cuqwe6ig7qy2/view</t>
  </si>
  <si>
    <t>KRAV-AUTO-000816</t>
  </si>
  <si>
    <t>cmm4yurfn04i2cuqwe6ig7qy2</t>
  </si>
  <si>
    <t>KRAV-AUTO-000817</t>
  </si>
  <si>
    <t>KRAV-AUTO-000818</t>
  </si>
  <si>
    <t>Förbrukat absorptionsmaterial ska hanteras som farligt avfall.</t>
  </si>
  <si>
    <t>http://localhost:8787/api/admin/requirements/documents/cmm4yuqvv0405cuqw6prvmyre/view</t>
  </si>
  <si>
    <t>KRAV-AUTO-000819</t>
  </si>
  <si>
    <t>cmm4yuqvv0405cuqw6prvmyre</t>
  </si>
  <si>
    <t>KRAV-AUTO-000820</t>
  </si>
  <si>
    <t>KRAV-AUTO-000821</t>
  </si>
  <si>
    <t>http://localhost:8787/api/admin/requirements/documents/cmm4yuqvh03zqcuqwdyyz1ffu/view</t>
  </si>
  <si>
    <t>KRAV-AUTO-000822</t>
  </si>
  <si>
    <t>cmm4yuqvh03zqcuqwdyyz1ffu</t>
  </si>
  <si>
    <t>http://localhost:8787/api/admin/requirements/documents/cmm4yurfa04hncuqw9o7kzut4/view</t>
  </si>
  <si>
    <t>KRAV-AUTO-000823</t>
  </si>
  <si>
    <t>cmm4yurfa04hncuqw9o7kzut4</t>
  </si>
  <si>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</si>
  <si>
    <t>KRAV-AUTO-000824</t>
  </si>
  <si>
    <t>KRAV-AUTO-000825</t>
  </si>
  <si>
    <t>http://localhost:8787/api/admin/requirements/documents/cmm4yuqmk03qhcuqwkj7haeic/view</t>
  </si>
  <si>
    <t>KRAV-AUTO-000826</t>
  </si>
  <si>
    <t>ADMIN-INDEX-2026-02-27-00000000125C043F57453246863FE664CAFE6A3F0700950291EA24F0614FB6ACEDB12BF0E31D00000000010C0000950291EA24F0614FB6ACEDB12BF0E31D00002087A5DD0000</t>
  </si>
  <si>
    <t>cmm4yuqmk03qhcuqwkj7haeic</t>
  </si>
  <si>
    <t>Den uppsugande förmågan hos bark och fis förhindrar avrinning av vatten från ytan vid tillfällen med större mängder nederbörd.</t>
  </si>
  <si>
    <t>KRAV-AUTO-000827</t>
  </si>
  <si>
    <t>MBN2019:44-427) bedrivs mellanlagring av bark ca 2000 ton, returtrå ca 1000 ton, aska ca 300 ton, krossning och sortering på den aktuella fastigheten.</t>
  </si>
  <si>
    <t>KRAV-AUTO-000828</t>
  </si>
  <si>
    <t>http://localhost:8787/api/admin/requirements/documents/cmm4yupxb0325cuqwdup8lxoj/view</t>
  </si>
  <si>
    <t>KRAV-AUTO-000829</t>
  </si>
  <si>
    <t>cmm4yupxb0325cuqwdup8lxoj</t>
  </si>
  <si>
    <t>http://localhost:8787/api/admin/requirements/documents/cmm4yurez04hbcuqwxxr9o6wy/view</t>
  </si>
  <si>
    <t>KRAV-AUTO-000830</t>
  </si>
  <si>
    <t>cmm4yurez04hbcuqwxxr9o6wy</t>
  </si>
  <si>
    <t>KRAV-AUTO-000831</t>
  </si>
  <si>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avfall som en del av att samla in det, om mängden avfall vid något tillfälle är mer än 10 ton men högst 30 000 ton och avfallet ska användas för byggnads- eller anläggningsändamål, eller mer än 10 ton men högst 10 000 ton annat icke-farligt avfall i andra fall).</t>
  </si>
  <si>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</si>
  <si>
    <t>KRAV-AUTO-000832</t>
  </si>
  <si>
    <t>http://localhost:8787/api/admin/requirements/documents/cmm4yuqm303pzcuqw5gh59mmu/view</t>
  </si>
  <si>
    <t>KRAV-AUTO-000833</t>
  </si>
  <si>
    <t>cmm4yuqm303pzcuqw5gh59mmu</t>
  </si>
  <si>
    <t>KRAV-AUTO-000834</t>
  </si>
  <si>
    <t>KRAV-AUTO-000835</t>
  </si>
  <si>
    <t>http://localhost:8787/api/admin/requirements/documents/cmm4yupwt031qcuqwzc8saf3f/view</t>
  </si>
  <si>
    <t>KRAV-AUTO-000836</t>
  </si>
  <si>
    <t>cmm4yupwt031qcuqwzc8saf3f</t>
  </si>
  <si>
    <t>Provtagningsplanen ska godkännas av oss innan ni kan påbörja provtagningen.</t>
  </si>
  <si>
    <t>KRAV-AUTO-000837</t>
  </si>
  <si>
    <t>Information I samband med att ni väljer att avveckla verksamheten ska ni låta undersöka marken där asfalt hanterats samt dagvattendammarna och dess sediment vad gäller föroreningar.</t>
  </si>
  <si>
    <t>KRAV-AUTO-000838</t>
  </si>
  <si>
    <t>Enligt anmälan och dess kompletteringar ska ni mellanlagra avfall i form av asfalt och jordmassor.</t>
  </si>
  <si>
    <t>http://localhost:8787/api/admin/requirements/documents/cmm4yupwq031ncuqwlbswueo3/view</t>
  </si>
  <si>
    <t>KRAV-AUTO-000839</t>
  </si>
  <si>
    <t>cmm4yupwq031ncuqwlbswueo3</t>
  </si>
  <si>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</si>
  <si>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</si>
  <si>
    <t>http://localhost:8787/api/admin/requirements/documents/cmm4yupwm031kcuqwh2ogdctd/view</t>
  </si>
  <si>
    <t>KRAV-AUTO-000840</t>
  </si>
  <si>
    <t>cmm4yupwm031kcuqwh2ogdctd</t>
  </si>
  <si>
    <t>Hur kommer lakvatten och avrinning från nederbörd vid asfaltslagringen tas omhand?</t>
  </si>
  <si>
    <t>http://localhost:8787/api/admin/requirements/documents/cmm4yurew04h8cuqwn9vy6ttu/view</t>
  </si>
  <si>
    <t>KRAV-AUTO-000841</t>
  </si>
  <si>
    <t>cmm4yurew04h8cuqwn9vy6ttu</t>
  </si>
  <si>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Organisationsnummer 556768-9848 Kontaktperson Andreas Wikström Telefon 0709135653 Företag Svevia AB Anlitad entreprenör Beskriv den närmaste omgivningen inom 200 meter Planerad användningsyta, transportvägar, dricksvattentäkter och andra skyddsvärda objekt.</t>
  </si>
  <si>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t>
  </si>
  <si>
    <t>KRAV-AUTO-000842</t>
  </si>
  <si>
    <t>Mängden avfall som ska användas är 1000 ton.</t>
  </si>
  <si>
    <t>KRAV-AUTO-000843</t>
  </si>
  <si>
    <t>Vid spill till avloppsnätet och/eller dagvattennätet ska Sandviken Energi vatten AB omedelbart kontaktas.</t>
  </si>
  <si>
    <t>http://localhost:8787/api/admin/requirements/documents/cmm4yupw50315cuqwjd2374n6/view</t>
  </si>
  <si>
    <t>KRAV-AUTO-000844</t>
  </si>
  <si>
    <t>cmm4yupw50315cuqwjd2374n6</t>
  </si>
  <si>
    <t>KRAV-AUTO-000845</t>
  </si>
  <si>
    <t>KRAV-AUTO-000846</t>
  </si>
  <si>
    <t>http://localhost:8787/api/admin/requirements/documents/cmm4yupw20312cuqwbg4qnrgx/view</t>
  </si>
  <si>
    <t>KRAV-AUTO-000847</t>
  </si>
  <si>
    <t>cmm4yupw20312cuqwbg4qnrgx</t>
  </si>
  <si>
    <t>http://localhost:8787/api/admin/requirements/documents/cmm4yupvz030zcuqwfqqjksi7/view</t>
  </si>
  <si>
    <t>KRAV-AUTO-000848</t>
  </si>
  <si>
    <t>cmm4yupvz030zcuqwfqqjksi7</t>
  </si>
  <si>
    <t>http://localhost:8787/api/admin/requirements/documents/cmm4yuret04h5cuqwh1h0330u/view</t>
  </si>
  <si>
    <t>KRAV-AUTO-000849</t>
  </si>
  <si>
    <t>cmm4yuret04h5cuqwh1h0330u</t>
  </si>
  <si>
    <t>KRAV-AUTO-000850</t>
  </si>
  <si>
    <t>KRAV-AUTO-000851</t>
  </si>
  <si>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Risker för störningar (buller, damning eller föroreningar av mark eller vatten) Rutiner för kontroll, dokumentation och dylikt Bilagor * Skiss över hur upplaget ska göras (form, utbredning, höjd) Obligatorisk Tydlig karta där uppläggningsplatsen är markerad.</t>
  </si>
  <si>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t>
  </si>
  <si>
    <t>http://localhost:8787/api/admin/requirements/documents/cmm4yureq04h2cuqwpn6iios7/view</t>
  </si>
  <si>
    <t>KRAV-AUTO-000852</t>
  </si>
  <si>
    <t>cmm4yureq04h2cuqwpn6iios7</t>
  </si>
  <si>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påbörjas respektive avslutas Påbörjas Beräknas avslutas Arbetstider Ange tid 20240701 20250701 7-16 Anlitad entreprenör -- 4 of 20 -- Ärendenummer #77299 Datum 2024-06-25 09:49 Sandvikens kommun Sida ( ) 2 3 Beskriv den närmaste omgivningen inom 200 meter Planerad användningsyta, transportvägar, dricksvattentäkter och andra skyddsvärda objekt.</t>
  </si>
  <si>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t>
  </si>
  <si>
    <t>KRAV-AUTO-000853</t>
  </si>
  <si>
    <t>Mängden avfall som ska användas är 5000 ton.</t>
  </si>
  <si>
    <t>KRAV-AUTO-000854</t>
  </si>
  <si>
    <t>http://localhost:8787/api/admin/requirements/documents/cmm4yurei04gtcuqwcvr1rytc/view</t>
  </si>
  <si>
    <t>KRAV-AUTO-000855</t>
  </si>
  <si>
    <t>cmm4yurei04gtcuqwcvr1rytc</t>
  </si>
  <si>
    <t>KRAV-AUTO-000856</t>
  </si>
  <si>
    <t>Invallning eller liknande ska rymma minst den volym som kan rinna ur den största behållarens volym plus 10 % av övriga behållares volym.</t>
  </si>
  <si>
    <t>KRAV-AUTO-000857</t>
  </si>
  <si>
    <t>Anmälan Av anmälan framgår mellanlagring avsågs ske på fastigheten Själevads Prästbord 1:83.</t>
  </si>
  <si>
    <t>http://localhost:8787/api/admin/requirements/documents/cmm4yuref04gqcuqwrzo1aich/view</t>
  </si>
  <si>
    <t>KRAV-AUTO-000858</t>
  </si>
  <si>
    <t>cmm4yuref04gqcuqwrzo1aich</t>
  </si>
  <si>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Besöksadress Järnvägsgatan 6 Förvaltningens e-postadress samhallsbyggnad@ornskoldsvik.se Hemsida Telefon www.ornskoldsvik.se 0660-880 00 Fax 0660-849 67 ÖRNSKÖLDSVIKS KOMMUN Anmälan om mellanlagring av avfall 9 kap 6 § miljöbalken (1998:808) samt 10-11 §§ miljöprövningsförordningen (2013:251) Mer än 10 ton men max 10 000 ton vid något enskilt tillfälle.</t>
  </si>
  <si>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t>
  </si>
  <si>
    <t>KRAV-AUTO-000859</t>
  </si>
  <si>
    <t>http://localhost:8787/api/admin/requirements/documents/cmm4yurec04gncuqwe9k67pff/view</t>
  </si>
  <si>
    <t>KRAV-AUTO-000860</t>
  </si>
  <si>
    <t>cmm4yurec04gncuqwe9k67pff</t>
  </si>
  <si>
    <t>Elavfallet kommer att fortsätta förvaras på täta ytor med skydd från nederbörd med syfte att förhindra/minska risken för att dagvatten förorenas.</t>
  </si>
  <si>
    <t>KRAV-AUTO-000861</t>
  </si>
  <si>
    <t>Genom beslutet DB 2014-781 är det reglerat att el- avfallet ska förvaras på täta ytor, nederbördsskyddat och på ett sätt som ska eliminera risken att dagvatten kontamineras vid ett eventuellt läckage.</t>
  </si>
  <si>
    <t>KRAV-AUTO-000862</t>
  </si>
  <si>
    <t>Den största mängden elavfallet som vid något tillfälle ska lagras på fastigheten får inte överskrida 50 ton.</t>
  </si>
  <si>
    <t>http://localhost:8787/api/admin/requirements/documents/cmm4yupuc02zbcuqwjls41p19/view</t>
  </si>
  <si>
    <t>KRAV-AUTO-000863</t>
  </si>
  <si>
    <t>cmm4yupuc02zbcuqwjls41p19</t>
  </si>
  <si>
    <t>Avfall som uppstår vid tömning skall tas omhand som farligt avfall.</t>
  </si>
  <si>
    <t>KRAV-AUTO-000864</t>
  </si>
  <si>
    <t>Utgående vatten från fordonstvättsanläggningen skall efter rening ledas till spillvattennätet och ska därför uppfylla riktvärden enligt tabell 1 vad gäller maximal mängd förorening per tvättat fordon.</t>
  </si>
  <si>
    <t>KRAV-AUTO-000865</t>
  </si>
  <si>
    <t>Kemikalier ska förvaras i sekundärt skydd eller i en invallning som är tät och beständig mot det aktuella ämnet, samt rymmer hela den största behållarens volym plus 10 procent av resterande behållares totala volym.</t>
  </si>
  <si>
    <t>http://localhost:8787/api/admin/requirements/documents/cmm4yure904gkcuqw947iihiq/view</t>
  </si>
  <si>
    <t>KRAV-AUTO-000866</t>
  </si>
  <si>
    <t>cmm4yure904gkcuqw947iihiq</t>
  </si>
  <si>
    <t>Dagvatten och spill Lagringen av elavfallet kommer att ske på tätt underlag och skyddat från nederbörd.</t>
  </si>
  <si>
    <t>KRAV-AUTO-000867</t>
  </si>
  <si>
    <t>I verksamhetskoden 90.90 finns ingen övre mängd gräns därför avser bolaget att göra en mindre ändring av beslutet 2020-03-06 och ta bort begränsningen på maximalt 150 ton per kalenderår till ingen över gräns i enlighet med formuleringen i verksamhetskoden 90.90.</t>
  </si>
  <si>
    <t>KRAV-AUTO-000868</t>
  </si>
  <si>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</si>
  <si>
    <t>http://localhost:8787/api/admin/requirements/documents/cmm4yuptu02ytcuqw40n6bzqd/view</t>
  </si>
  <si>
    <t>KRAV-AUTO-000869</t>
  </si>
  <si>
    <t>cmm4yuptu02ytcuqw40n6bzqd</t>
  </si>
  <si>
    <t>Innehåller brandfarliga ämnen som kan bilda brandfarliga ång-luftblandningar vid kontakt med antändningskällor.</t>
  </si>
  <si>
    <t>KRAV-AUTO-000870</t>
  </si>
  <si>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</si>
  <si>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</si>
  <si>
    <t>KRAV-AUTO-000871</t>
  </si>
  <si>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</si>
  <si>
    <t>http://localhost:8787/api/admin/requirements/documents/cmm4yuptr02yqcuqweencgfpv/view</t>
  </si>
  <si>
    <t>KRAV-AUTO-000872</t>
  </si>
  <si>
    <t>cmm4yuptr02yqcuqweencgfpv</t>
  </si>
  <si>
    <t>KRAV-AUTO-000873</t>
  </si>
  <si>
    <t>KRAV-AUTO-000874</t>
  </si>
  <si>
    <t>http://localhost:8787/api/admin/requirements/documents/cmm4yupto02yncuqwd4ijzebz/view</t>
  </si>
  <si>
    <t>KRAV-AUTO-000875</t>
  </si>
  <si>
    <t>cmm4yupto02yncuqwd4ijzebz</t>
  </si>
  <si>
    <t>KRAV-AUTO-000876</t>
  </si>
  <si>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</si>
  <si>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</si>
  <si>
    <t>KRAV-AUTO-000877</t>
  </si>
  <si>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</si>
  <si>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</si>
  <si>
    <t>http://localhost:8787/api/admin/requirements/documents/cmm4yuptl02ykcuqweg012bq5/view</t>
  </si>
  <si>
    <t>KRAV-AUTO-000878</t>
  </si>
  <si>
    <t>cmm4yuptl02ykcuqweg012bq5</t>
  </si>
  <si>
    <t>KRAV-AUTO-000879</t>
  </si>
  <si>
    <t>KRAV-AUTO-000880</t>
  </si>
  <si>
    <t>http://localhost:8787/api/admin/requirements/documents/cmm4yurdy04g8cuqwns87ejh4/view</t>
  </si>
  <si>
    <t>KRAV-AUTO-000881</t>
  </si>
  <si>
    <t>cmm4yurdy04g8cuqwns87ejh4</t>
  </si>
  <si>
    <t>Provtagning och undersökning av det avfall som skall återvinnas för konstruktions- och anläggningsändamål.</t>
  </si>
  <si>
    <t>KRAV-AUTO-000882</t>
  </si>
  <si>
    <t>Behovet av avfall som kan ersätta jungfruligt material för uppbyggnad av ytan uppskattas uppgå till totalt ca 25 000 kbm men mängden är beroende på markförhållanden och kan komma att öka eller minskas.</t>
  </si>
  <si>
    <t>KRAV-AUTO-000883</t>
  </si>
  <si>
    <t>Ragn-Sells är ett av Skandinaviens ledande avfallsbolag med verksamhet i fyra länder.</t>
  </si>
  <si>
    <t>http://localhost:8787/api/admin/requirements/documents/cmm4yuqko03okcuqwqo9xwjbf/view</t>
  </si>
  <si>
    <t>KRAV-AUTO-000884</t>
  </si>
  <si>
    <t>ADMIN-INDEX-2026-02-27-00000000125C043F57453246863FE664CAFE6A3F0700950291EA24F0614FB6ACEDB12BF0E31D00000000010C0000950291EA24F0614FB6ACEDB12BF0E31D00002087ADF00000</t>
  </si>
  <si>
    <t>cmm4yuqko03okcuqwqo9xwjbf</t>
  </si>
  <si>
    <t>http://localhost:8787/api/admin/requirements/documents/cmm4yupsz02xwcuqw3ww1l8bj/view</t>
  </si>
  <si>
    <t>KRAV-AUTO-000885</t>
  </si>
  <si>
    <t>cmm4yupsz02xwcuqw3ww1l8bj</t>
  </si>
  <si>
    <t>KRAV-AUTO-000886</t>
  </si>
  <si>
    <t>KRAV-AUTO-000887</t>
  </si>
  <si>
    <t>http://localhost:8787/api/admin/requirements/documents/cmm4yupsw02xtcuqw4oquv5fg/view</t>
  </si>
  <si>
    <t>KRAV-AUTO-000888</t>
  </si>
  <si>
    <t>cmm4yupsw02xtcuqw4oquv5fg</t>
  </si>
  <si>
    <t>KRAV-AUTO-000889</t>
  </si>
  <si>
    <t>KRAV-AUTO-000890</t>
  </si>
  <si>
    <t>http://localhost:8787/api/admin/requirements/documents/cmm4yurdh04fqcuqwuxbwp53p/view</t>
  </si>
  <si>
    <t>KRAV-AUTO-000891</t>
  </si>
  <si>
    <t>cmm4yurdh04fqcuqwuxbwp53p</t>
  </si>
  <si>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Analys Resultat Enhet Metod/ref Mäto.</t>
  </si>
  <si>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t>
  </si>
  <si>
    <t>http://localhost:8787/api/admin/requirements/documents/cmm4yurcx04f5cuqw7fmdp6tb/view</t>
  </si>
  <si>
    <t>KRAV-AUTO-000892</t>
  </si>
  <si>
    <t>cmm4yurcx04f5cuqw7fmdp6tb</t>
  </si>
  <si>
    <t>KRAV-AUTO-000893</t>
  </si>
  <si>
    <t>Kemikalier, avfall samt farligt ska vara märkta med uppgifter om innehållet 7.</t>
  </si>
  <si>
    <t>KRAV-AUTO-000894</t>
  </si>
  <si>
    <t>Utrymmen inom verksamheten för förvaring av flytande kemikalier, avfall och farligt avfall ska utformas på så vis att läckage eller spill inte kan ske till omgivningen.</t>
  </si>
  <si>
    <t>http://localhost:8787/api/admin/requirements/documents/cmm4yupte02ybcuqw36ip9r91/view</t>
  </si>
  <si>
    <t>KRAV-AUTO-000895</t>
  </si>
  <si>
    <t>cmm4yupte02ybcuqw36ip9r91</t>
  </si>
  <si>
    <t>KRAV-AUTO-000896</t>
  </si>
  <si>
    <t>KRAV-AUTO-000897</t>
  </si>
  <si>
    <t>http://localhost:8787/api/admin/requirements/documents/cmm4yurcj04eqcuqw75cgegys/view</t>
  </si>
  <si>
    <t>KRAV-AUTO-000898</t>
  </si>
  <si>
    <t>cmm4yurcj04eqcuqw75cgegys</t>
  </si>
  <si>
    <t>KRAV-AUTO-000899</t>
  </si>
  <si>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</si>
  <si>
    <t>KRAV-AUTO-000900</t>
  </si>
  <si>
    <t>Kemikalier, avfall samt farligt ska vara märkta med uppgifter om innehållet 3.</t>
  </si>
  <si>
    <t>http://localhost:8787/api/admin/requirements/documents/cmm4yuqk303nzcuqw82631fsa/view</t>
  </si>
  <si>
    <t>KRAV-AUTO-000901</t>
  </si>
  <si>
    <t>cmm4yuqk303nzcuqw82631fsa</t>
  </si>
  <si>
    <t>KRAV-AUTO-000902</t>
  </si>
  <si>
    <t>KRAV-AUTO-000903</t>
  </si>
  <si>
    <t>http://localhost:8787/api/admin/requirements/documents/cmm4yuqiw03mqcuqwq1mm70kc/view</t>
  </si>
  <si>
    <t>KRAV-AUTO-000904</t>
  </si>
  <si>
    <t>cmm4yuqiw03mqcuqwq1mm70kc</t>
  </si>
  <si>
    <t>KRAV-AUTO-000905</t>
  </si>
  <si>
    <t>KRAV-AUTO-000906</t>
  </si>
  <si>
    <t>http://localhost:8787/api/admin/requirements/documents/cmm4yuqin03mhcuqwnj0f52lx/view</t>
  </si>
  <si>
    <t>KRAV-AUTO-000907</t>
  </si>
  <si>
    <t>cmm4yuqin03mhcuqwnj0f52lx</t>
  </si>
  <si>
    <t>KRAV-AUTO-000908</t>
  </si>
  <si>
    <t>http://localhost:8787/api/admin/requirements/documents/cmm4yuqia03m5cuqwvifm1t39/view</t>
  </si>
  <si>
    <t>KRAV-AUTO-000909</t>
  </si>
  <si>
    <t>cmm4yuqia03m5cuqwvifm1t39</t>
  </si>
  <si>
    <t>KRAV-AUTO-000910</t>
  </si>
  <si>
    <t>KRAV-AUTO-000911</t>
  </si>
  <si>
    <t>http://localhost:8787/api/admin/requirements/documents/cmm4yurc404ebcuqwxumpr7rh/view</t>
  </si>
  <si>
    <t>KRAV-AUTO-000912</t>
  </si>
  <si>
    <t>cmm4yurc404ebcuqwxumpr7rh</t>
  </si>
  <si>
    <t>Råvaran/produktens namn Mängd/år Andvändningsområde N/A Ange hur kemiska produkter kommer att lagras och hanteras.</t>
  </si>
  <si>
    <t>KRAV-AUTO-000913</t>
  </si>
  <si>
    <t>http://localhost:8787/api/admin/requirements/documents/cmm4yuqgb03k5cuqwyube1gs3/view</t>
  </si>
  <si>
    <t>KRAV-AUTO-000914</t>
  </si>
  <si>
    <t>cmm4yuqgb03k5cuqwyube1gs3</t>
  </si>
  <si>
    <t>http://localhost:8787/api/admin/requirements/documents/cmm4yurbt04dzcuqwddjt4z0p/view</t>
  </si>
  <si>
    <t>KRAV-AUTO-000915</t>
  </si>
  <si>
    <t>cmm4yurbt04dzcuqwddjt4z0p</t>
  </si>
  <si>
    <t>KRAV-AUTO-000916</t>
  </si>
  <si>
    <t>KRAV-AUTO-000917</t>
  </si>
  <si>
    <t>4 § För varje verksamhet skall finnas en fastställd och dokumenterad fördelning av det organisatoriska ansvaret för de frågor som gäller för verksamheten enligt 1.</t>
  </si>
  <si>
    <t>http://localhost:8787/api/admin/requirements/documents/cmm4yuqfc03j5cuqw55mjeltp/view</t>
  </si>
  <si>
    <t>KRAV-AUTO-000918</t>
  </si>
  <si>
    <t>ADMIN-INDEX-2026-02-27-00000000125C043F57453246863FE664CAFE6A3F0700950291EA24F0614FB6ACEDB12BF0E31D00000000010C0000950291EA24F0614FB6ACEDB12BF0E31D00002087ADF80000</t>
  </si>
  <si>
    <t>cmm4yuqfc03j5cuqw55mjeltp</t>
  </si>
  <si>
    <t>KRAV-AUTO-000919</t>
  </si>
  <si>
    <t>KRAV-AUTO-000920</t>
  </si>
  <si>
    <t>http://localhost:8787/api/admin/requirements/documents/cmm4yuqie03m8cuqwivzzhrm8/view</t>
  </si>
  <si>
    <t>KRAV-AUTO-000921</t>
  </si>
  <si>
    <t>cmm4yuqie03m8cuqwivzzhrm8</t>
  </si>
  <si>
    <t>KRAV-AUTO-000922</t>
  </si>
  <si>
    <t>http://localhost:8787/api/admin/requirements/documents/cmm4yuqi703m2cuqwbqio66bx/view</t>
  </si>
  <si>
    <t>KRAV-AUTO-000923</t>
  </si>
  <si>
    <t>cmm4yuqi703m2cuqwbqio66bx</t>
  </si>
  <si>
    <t>http://localhost:8787/api/admin/requirements/documents/cmm4yupt802y5cuqwaavsbb8v/view</t>
  </si>
  <si>
    <t>KRAV-AUTO-000924</t>
  </si>
  <si>
    <t>cmm4yupt802y5cuqwaavsbb8v</t>
  </si>
  <si>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</si>
  <si>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</si>
  <si>
    <t>KRAV-AUTO-000925</t>
  </si>
  <si>
    <t>☐ Ja ☐ Nej Från vilka processer förekommer spillvatten (ej WC, kök m.m.) Ange flöden, utsläppspunkter och uppskattade vattenföroreningsmängder (kan bifogas som bilaga.</t>
  </si>
  <si>
    <t>KRAV-AUTO-000926</t>
  </si>
  <si>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</si>
  <si>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</si>
  <si>
    <t>http://localhost:8787/api/admin/requirements/documents/cmm4yuqel03iecuqwn04v258w/view</t>
  </si>
  <si>
    <t>KRAV-AUTO-000927</t>
  </si>
  <si>
    <t>cmm4yuqel03iecuqwn04v258w</t>
  </si>
  <si>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avfall ska anmälas till miljöförvaltningen om du tänker lagra det farliga avfallet som en del av att samla in det, om mängden vid något tillfälle är 1.</t>
  </si>
  <si>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t>
  </si>
  <si>
    <t>KRAV-AUTO-000928</t>
  </si>
  <si>
    <t>-- 1 of 2 -- -- 2 of 2 -- KARLSTADS KOMMUN Anmälan om mellanlagring av avfall och farligt avfall Lämna din anmälan till miljöförvaltningen senast sex veckor före mellanlagringen ska börja.</t>
  </si>
  <si>
    <t>KRAV-AUTO-000929</t>
  </si>
  <si>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 EF1985 Fastighetsbeteckning KARLSTAD SKEPPAREN 6 Fastighetsägare LIDL Sverige AB Beskrivning av lagringsplatsen innerte (narnet goivorunnar inne, dagvattenbrunnar ute, gorvyta betong/asian, tak nederbordsskyaa, inhägnad, närhet vattendrag/sjö etc) Grusad yta, ytan kommer att hängnas in med stängsel vid tillfälle massor ligger där, ca 140 m till sjö.</t>
  </si>
  <si>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t>
  </si>
  <si>
    <t>http://localhost:8787/api/admin/requirements/documents/cmm4yurbq04dwcuqwv7rufkys/view</t>
  </si>
  <si>
    <t>KRAV-AUTO-000930</t>
  </si>
  <si>
    <t>cmm4yurbq04dwcuqwv7rufkys</t>
  </si>
  <si>
    <t>KRAV-AUTO-000931</t>
  </si>
  <si>
    <t>http://localhost:8787/api/admin/requirements/documents/cmm4yurb904decuqwh6xg10ur/view</t>
  </si>
  <si>
    <t>KRAV-AUTO-000932</t>
  </si>
  <si>
    <t>cmm4yurb904decuqwh6xg10ur</t>
  </si>
  <si>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produkter, saknas uppgift anges det) 1.</t>
  </si>
  <si>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t>
  </si>
  <si>
    <t>KRAV-AUTO-000933</t>
  </si>
  <si>
    <t>Egen transport av avfall, avfallslag och mängd/år Beskriv hur ni uppfyller producentansvaret (förpackningar, returpapper, elektroniska produkter, glödlampor och vissa belysningsarmaturer samt däck).</t>
  </si>
  <si>
    <t>KRAV-AUTO-000934</t>
  </si>
  <si>
    <t>Betong som vi ska använda som jordförbättring.</t>
  </si>
  <si>
    <t>http://localhost:8787/api/admin/requirements/documents/cmm4yurb004d5cuqw4su9cv29/view</t>
  </si>
  <si>
    <t>KRAV-AUTO-000935</t>
  </si>
  <si>
    <t>cmm4yurb004d5cuqw4su9cv29</t>
  </si>
  <si>
    <t>KRAV-AUTO-000936</t>
  </si>
  <si>
    <t>KRAV-AUTO-000937</t>
  </si>
  <si>
    <t>Bolaget ska förvissa sig om att de som anlitas för transport och mottagande av avfall har tillstånd.</t>
  </si>
  <si>
    <t>http://localhost:8787/api/admin/requirements/documents/cmm4yurau04czcuqwflga895p/view</t>
  </si>
  <si>
    <t>KRAV-AUTO-000938</t>
  </si>
  <si>
    <t>cmm4yurau04czcuqwflga895p</t>
  </si>
  <si>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</si>
  <si>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</si>
  <si>
    <t>KRAV-AUTO-000939</t>
  </si>
  <si>
    <t>http://localhost:8787/api/admin/requirements/documents/cmm4yuqfr03jkcuqweav0es2m/view</t>
  </si>
  <si>
    <t>KRAV-AUTO-000940</t>
  </si>
  <si>
    <t>cmm4yuqfr03jkcuqweav0es2m</t>
  </si>
  <si>
    <t>KRAV-AUTO-000941</t>
  </si>
  <si>
    <t>KRAV-AUTO-000942</t>
  </si>
  <si>
    <t>http://localhost:8787/api/admin/requirements/documents/cmm4yuqe203htcuqwlv6hrhhn/view</t>
  </si>
  <si>
    <t>KRAV-AUTO-000943</t>
  </si>
  <si>
    <t>ADMIN-INDEX-2026-02-27-00000000125C043F57453246863FE664CAFE6A3F0700950291EA24F0614FB6ACEDB12BF0E31D00000000010C0000950291EA24F0614FB6ACEDB12BF0E31D00002087ADFC0000</t>
  </si>
  <si>
    <t>cmm4yuqe203htcuqwlv6hrhhn</t>
  </si>
  <si>
    <t>Trafikverket anmälan lagring av avfall Skepparen 6 240222.pdf</t>
  </si>
  <si>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 niklas.gunnarsson@trafikverket.se Eventuell referenskod EF1985 Fastighetsbeteckning KARLSTAD SKEPPAREN 6 Fastighetsägare LIDL Sverige AB 1(2) Anvisningar Då måste du anmäla Mellanlagring av farligt avfall ska anmälas till miljöförvaltningen om du tänker lagra det farliga avfallet som en del av att samla in det, om mängden vid något tillfälle är 1.</t>
  </si>
  <si>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t>
  </si>
  <si>
    <t>KRAV-AUTO-000944</t>
  </si>
  <si>
    <t>KRAV-AUTO-000945</t>
  </si>
  <si>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nederbordsskyaa, inhägnad, närhet vattendrag/sjö etc) Grusad yta, ytan kommer att hängnas in med stängsel vid tillfälle massor ligger där, ca 140 m till sjö.</t>
  </si>
  <si>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t>
  </si>
  <si>
    <t>http://localhost:8787/api/admin/requirements/documents/cmm4yuqe003hqcuqw14ovnpga/view</t>
  </si>
  <si>
    <t>KRAV-AUTO-000946</t>
  </si>
  <si>
    <t>cmm4yuqe003hqcuqw14ovnpga</t>
  </si>
  <si>
    <t>http://localhost:8787/api/admin/requirements/documents/cmm4yuqdg03h5cuqws8bd5lf6/view</t>
  </si>
  <si>
    <t>KRAV-AUTO-000947</t>
  </si>
  <si>
    <t>cmm4yuqdg03h5cuqws8bd5lf6</t>
  </si>
  <si>
    <t>Föreskrifterna ställer krav på att allt avfall som tas emot ska vara karaktäriserat.</t>
  </si>
  <si>
    <t>KRAV-AUTO-000948</t>
  </si>
  <si>
    <t>Om det saknas kunskap om avfallet och dess karaktär så är det avfallslämnarens ansvar att inhämta detta.</t>
  </si>
  <si>
    <t>KRAV-AUTO-000949</t>
  </si>
  <si>
    <t>Också ursprunget till avfallet ska klargöras och det ska framgå vilken verksamhet som bedrivits på platsen där avfallet har uppkommit.</t>
  </si>
  <si>
    <t>http://localhost:8787/api/admin/requirements/documents/cmm4yuqd903gzcuqwccnmud68/view</t>
  </si>
  <si>
    <t>KRAV-AUTO-000950</t>
  </si>
  <si>
    <t>cmm4yuqd903gzcuqwccnmud68</t>
  </si>
  <si>
    <t>KRAV-AUTO-000951</t>
  </si>
  <si>
    <t>KRAV-AUTO-000952</t>
  </si>
  <si>
    <t>http://localhost:8787/api/admin/requirements/documents/cmm4yuqcz03gqcuqw3totza5x/view</t>
  </si>
  <si>
    <t>KRAV-AUTO-000953</t>
  </si>
  <si>
    <t>cmm4yuqcz03gqcuqw3totza5x</t>
  </si>
  <si>
    <t>KRAV-AUTO-000954</t>
  </si>
  <si>
    <t>Detta betyder att mängden avfall som får tas emot i anläggningen från och med 2025 uppgår till högst [blank] varav [blank] (avrundat till närmaste helt 100-tal) får utgöras av schakt- massor med invasiva växter.</t>
  </si>
  <si>
    <t>KRAV-AUTO-000955</t>
  </si>
  <si>
    <t>http://localhost:8787/api/admin/requirements/documents/cmm4yuqch03gbcuqwypxxpf85/view</t>
  </si>
  <si>
    <t>KRAV-AUTO-000956</t>
  </si>
  <si>
    <t>ADMIN-INDEX-2026-02-27-00000000125C043F57453246863FE664CAFE6A3F0700950291EA24F0614FB6ACEDB12BF0E31D00000000010C0000950291EA24F0614FB6ACEDB12BF0E31D00002087ADFF0000</t>
  </si>
  <si>
    <t>cmm4yuqch03gbcuqwypxxpf85</t>
  </si>
  <si>
    <t>http://localhost:8787/api/admin/requirements/documents/cmm4yuqcd03g8cuqwcir3irx1/view</t>
  </si>
  <si>
    <t>KRAV-AUTO-000957</t>
  </si>
  <si>
    <t>cmm4yuqcd03g8cuqwcir3irx1</t>
  </si>
  <si>
    <t>KRAV-AUTO-000958</t>
  </si>
  <si>
    <t>KRAV-AUTO-000959</t>
  </si>
  <si>
    <t>http://localhost:8787/api/admin/requirements/documents/cmm4yur8804a8cuqw0sinnlrc/view</t>
  </si>
  <si>
    <t>KRAV-AUTO-000960</t>
  </si>
  <si>
    <t>cmm4yur8804a8cuqw0sinnlrc</t>
  </si>
  <si>
    <t>Vid sortering, demontering eller annan behandling av avfall som utgörs av elektriska och elektroniska produkter, innan vidare behandling sker, får avfallsmängderna inte överstiga 1 000 ton per kalenderår eller 70 ton per tillfälle.</t>
  </si>
  <si>
    <t>KRAV-AUTO-000961</t>
  </si>
  <si>
    <t>Volymer inkluderas i de tillståndsgivna volymerna om maximalt 1500 årston samt 90 ton i samtidig mängd (villkor F).</t>
  </si>
  <si>
    <t>KRAV-AUTO-000962</t>
  </si>
  <si>
    <t>Hanterat avfall som berör den anmälda verksamheten, ska ingå i den årliga miljörapporten.</t>
  </si>
  <si>
    <t>http://localhost:8787/api/admin/requirements/documents/cmm4yuqcu03gncuqwno12pcu6/view</t>
  </si>
  <si>
    <t>KRAV-AUTO-000963</t>
  </si>
  <si>
    <t>cmm4yuqcu03gncuqwno12pcu6</t>
  </si>
  <si>
    <t>KRAV-AUTO-000964</t>
  </si>
  <si>
    <t>KRAV-AUTO-000965</t>
  </si>
  <si>
    <t>http://localhost:8787/api/admin/requirements/documents/cmm4yuqbi03fhcuqwcmhtd9t2/view</t>
  </si>
  <si>
    <t>KRAV-AUTO-000966</t>
  </si>
  <si>
    <t>cmm4yuqbi03fhcuqwcmhtd9t2</t>
  </si>
  <si>
    <t>KRAV-AUTO-000967</t>
  </si>
  <si>
    <t>KRAV-AUTO-000968</t>
  </si>
  <si>
    <t>http://localhost:8787/api/admin/requirements/documents/cmm4yuqav03ezcuqw3ezynqdt/view</t>
  </si>
  <si>
    <t>KRAV-AUTO-000969</t>
  </si>
  <si>
    <t>cmm4yuqav03ezcuqw3ezynqdt</t>
  </si>
  <si>
    <t>KRAV-AUTO-000970</t>
  </si>
  <si>
    <t>KRAV-AUTO-000971</t>
  </si>
  <si>
    <t>http://localhost:8787/api/admin/requirements/documents/cmm4yuqa903ehcuqwh701o6qm/view</t>
  </si>
  <si>
    <t>KRAV-AUTO-000972</t>
  </si>
  <si>
    <t>cmm4yuqa903ehcuqwh701o6qm</t>
  </si>
  <si>
    <t>KRAV-AUTO-000973</t>
  </si>
  <si>
    <t>KRAV-AUTO-000974</t>
  </si>
  <si>
    <t>http://localhost:8787/api/admin/requirements/documents/cmm4yuqa203ebcuqwlfblldrt/view</t>
  </si>
  <si>
    <t>KRAV-AUTO-000975</t>
  </si>
  <si>
    <t>cmm4yuqa203ebcuqwlfblldrt</t>
  </si>
  <si>
    <t>KRAV-AUTO-000976</t>
  </si>
  <si>
    <t>KRAV-AUTO-000977</t>
  </si>
  <si>
    <t>http://localhost:8787/api/admin/requirements/documents/cmm4yuq9s03e2cuqws0cupjwv/view</t>
  </si>
  <si>
    <t>KRAV-AUTO-000978</t>
  </si>
  <si>
    <t>cmm4yuq9s03e2cuqws0cupjwv</t>
  </si>
  <si>
    <t>KRAV-AUTO-000979</t>
  </si>
  <si>
    <t>KRAV-AUTO-000980</t>
  </si>
  <si>
    <t>http://localhost:8787/api/admin/requirements/documents/cmm4yuq9l03dwcuqwqxnsema7/view</t>
  </si>
  <si>
    <t>KRAV-AUTO-000981</t>
  </si>
  <si>
    <t>cmm4yuq9l03dwcuqwqxnsema7</t>
  </si>
  <si>
    <t>KRAV-AUTO-000982</t>
  </si>
  <si>
    <t>KRAV-AUTO-000983</t>
  </si>
  <si>
    <t>http://localhost:8787/api/admin/requirements/documents/cmm4yuq9g03dqcuqw036g23j1/view</t>
  </si>
  <si>
    <t>KRAV-AUTO-000984</t>
  </si>
  <si>
    <t>cmm4yuq9g03dqcuqw036g23j1</t>
  </si>
  <si>
    <t>KRAV-AUTO-000985</t>
  </si>
  <si>
    <t>KRAV-AUTO-000986</t>
  </si>
  <si>
    <t>http://localhost:8787/api/admin/requirements/documents/cmm4yuq9b03dkcuqwlaf5fap0/view</t>
  </si>
  <si>
    <t>KRAV-AUTO-000987</t>
  </si>
  <si>
    <t>cmm4yuq9b03dkcuqwlaf5fap0</t>
  </si>
  <si>
    <t>KRAV-AUTO-000988</t>
  </si>
  <si>
    <t>Massorna som används som utfyllnadsmaterial ska vara fria från brandrester.</t>
  </si>
  <si>
    <t>KRAV-AUTO-000989</t>
  </si>
  <si>
    <t>Om brandrester påträffas ska dessa sorteras ut och lämnas för deponering på godkänd anläggning.</t>
  </si>
  <si>
    <t>http://localhost:8787/api/admin/requirements/documents/cmm4yuq9403decuqw4guwv4pv/view</t>
  </si>
  <si>
    <t>KRAV-AUTO-000990</t>
  </si>
  <si>
    <t>cmm4yuq9403decuqw4guwv4pv</t>
  </si>
  <si>
    <t>KRAV-AUTO-000991</t>
  </si>
  <si>
    <t>KRAV-AUTO-000992</t>
  </si>
  <si>
    <t>http://localhost:8787/api/admin/requirements/documents/cmm4yuq8p03czcuqw4vkvpd00/view</t>
  </si>
  <si>
    <t>KRAV-AUTO-000993</t>
  </si>
  <si>
    <t>cmm4yuq8p03czcuqw4vkvpd00</t>
  </si>
  <si>
    <t>KRAV-AUTO-000994</t>
  </si>
  <si>
    <t>http://localhost:8787/api/admin/requirements/documents/cmm4yuq8m03cwcuqwx1veuezk/view</t>
  </si>
  <si>
    <t>KRAV-AUTO-000995</t>
  </si>
  <si>
    <t>cmm4yuq8m03cwcuqwx1veuezk</t>
  </si>
  <si>
    <t>KRAV-AUTO-000996</t>
  </si>
  <si>
    <t>KRAV-AUTO-000997</t>
  </si>
  <si>
    <t>http://localhost:8787/api/admin/requirements/documents/cmm4yuq8c03ckcuqw9dgn4fop/view</t>
  </si>
  <si>
    <t>KRAV-AUTO-000998</t>
  </si>
  <si>
    <t>cmm4yuq8c03ckcuqw9dgn4fop</t>
  </si>
  <si>
    <t>KRAV-AUTO-000999</t>
  </si>
  <si>
    <t>http://localhost:8787/api/admin/requirements/documents/cmm4yuq8603cecuqw8hjn9p3b/view</t>
  </si>
  <si>
    <t>KRAV-AUTO-001000</t>
  </si>
  <si>
    <t>cmm4yuq8603cecuqw8hjn9p3b</t>
  </si>
  <si>
    <t>KRAV-AUTO-001001</t>
  </si>
  <si>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</si>
  <si>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t>
  </si>
  <si>
    <t>KRAV-AUTO-001002</t>
  </si>
  <si>
    <t>http://localhost:8787/api/admin/requirements/documents/cmm4yuq8203cbcuqwt5vz11gj/view</t>
  </si>
  <si>
    <t>KRAV-AUTO-001003</t>
  </si>
  <si>
    <t>ADMIN-INDEX-2026-02-27-00000000125C043F57453246863FE664CAFE6A3F0700950291EA24F0614FB6ACEDB12BF0E31D00000000010C0000950291EA24F0614FB6ACEDB12BF0E31D00002087AE0B0000</t>
  </si>
  <si>
    <t>cmm4yuq8203cbcuqwt5vz11gj</t>
  </si>
  <si>
    <t>KRAV-AUTO-001004</t>
  </si>
  <si>
    <t>http://localhost:8787/api/admin/requirements/documents/cmm4yuq7003b5cuqwu0h0s83x/view</t>
  </si>
  <si>
    <t>KRAV-AUTO-001005</t>
  </si>
  <si>
    <t>cmm4yuq7003b5cuqwu0h0s83x</t>
  </si>
  <si>
    <t>KRAV-AUTO-001006</t>
  </si>
  <si>
    <t>KRAV-AUTO-001007</t>
  </si>
  <si>
    <t>http://localhost:8787/api/admin/requirements/documents/cmm4yuq6x03b2cuqwo57iihur/view</t>
  </si>
  <si>
    <t>KRAV-AUTO-001008</t>
  </si>
  <si>
    <t>cmm4yuq6x03b2cuqwo57iihur</t>
  </si>
  <si>
    <t>KRAV-AUTO-001009</t>
  </si>
  <si>
    <t>KRAV-AUTO-001010</t>
  </si>
  <si>
    <t>http://localhost:8787/api/admin/requirements/documents/cmm4yuq6g03akcuqwn4qgtvur/view</t>
  </si>
  <si>
    <t>KRAV-AUTO-001011</t>
  </si>
  <si>
    <t>cmm4yuq6g03akcuqwn4qgtvur</t>
  </si>
  <si>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</si>
  <si>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</si>
  <si>
    <t>KRAV-AUTO-001012</t>
  </si>
  <si>
    <t>Mängden skadliga ämnen i material och produkter ska minska, liksom de negativa effekterna av avfall.</t>
  </si>
  <si>
    <t>KRAV-AUTO-001013</t>
  </si>
  <si>
    <t>Viktig information För att anmälan ska kunna behandlas ska den vara korrekt ifylld och obligatoriska bilagor ska medfölja.</t>
  </si>
  <si>
    <t>http://localhost:8787/api/admin/requirements/documents/cmm4yuq6a03aecuqwtzskru1v/view</t>
  </si>
  <si>
    <t>KRAV-AUTO-001014</t>
  </si>
  <si>
    <t>cmm4yuq6a03aecuqwtzskru1v</t>
  </si>
  <si>
    <t>KRAV-AUTO-001015</t>
  </si>
  <si>
    <t>KRAV-AUTO-001016</t>
  </si>
  <si>
    <t>http://localhost:8787/api/admin/requirements/documents/cmm4yuq6503a8cuqw4hvaouwn/view</t>
  </si>
  <si>
    <t>KRAV-AUTO-001017</t>
  </si>
  <si>
    <t>cmm4yuq6503a8cuqw4hvaouwn</t>
  </si>
  <si>
    <t>KRAV-AUTO-001018</t>
  </si>
  <si>
    <t>KRAV-AUTO-001019</t>
  </si>
  <si>
    <t>http://localhost:8787/api/admin/requirements/documents/cmm4yuq6203a5cuqwur3o5za9/view</t>
  </si>
  <si>
    <t>KRAV-AUTO-001020</t>
  </si>
  <si>
    <t>ADMIN-INDEX-2026-02-27-00000000125C043F57453246863FE664CAFE6A3F0700950291EA24F0614FB6ACEDB12BF0E31D00000000010C0000950291EA24F0614FB6ACEDB12BF0E31D00002087AE2D0000</t>
  </si>
  <si>
    <t>cmm4yuq6203a5cuqwur3o5za9</t>
  </si>
  <si>
    <t>http://localhost:8787/api/admin/requirements/documents/cmm4yuq5z03a2cuqwtqkqkqsw/view</t>
  </si>
  <si>
    <t>KRAV-AUTO-001021</t>
  </si>
  <si>
    <t>cmm4yuq5z03a2cuqwtqkqkqsw</t>
  </si>
  <si>
    <t>KRAV-AUTO-001022</t>
  </si>
  <si>
    <t>KRAV-AUTO-001023</t>
  </si>
  <si>
    <t>http://localhost:8787/api/admin/requirements/documents/cmm4yuq4j038qcuqw3wr1f8e5/view</t>
  </si>
  <si>
    <t>KRAV-AUTO-001024</t>
  </si>
  <si>
    <t>cmm4yuq4j038qcuqw3wr1f8e5</t>
  </si>
  <si>
    <t>KRAV-AUTO-001025</t>
  </si>
  <si>
    <t>KRAV-AUTO-001026</t>
  </si>
  <si>
    <t>http://localhost:8787/api/admin/requirements/documents/cmm4yuq3w0385cuqwarfm072q/view</t>
  </si>
  <si>
    <t>KRAV-AUTO-001027</t>
  </si>
  <si>
    <t>cmm4yuq3w0385cuqwarfm072q</t>
  </si>
  <si>
    <t>KRAV-AUTO-001028</t>
  </si>
  <si>
    <t>KRAV-AUTO-001029</t>
  </si>
  <si>
    <t>http://localhost:8787/api/admin/requirements/documents/cmm4yuq3i037qcuqwvwpbxnma/view</t>
  </si>
  <si>
    <t>KRAV-AUTO-001030</t>
  </si>
  <si>
    <t>cmm4yuq3i037qcuqwvwpbxnma</t>
  </si>
  <si>
    <t>http://localhost:8787/api/admin/requirements/documents/cmm4yupsf02xecuqwpwksbz7o/view</t>
  </si>
  <si>
    <t>KRAV-AUTO-001031</t>
  </si>
  <si>
    <t>cmm4yupsf02xecuqwpwksbz7o</t>
  </si>
  <si>
    <t>KRAV-AUTO-001032</t>
  </si>
  <si>
    <t>KRAV-AUTO-001033</t>
  </si>
  <si>
    <t>http://localhost:8787/api/admin/requirements/documents/cmm4yupsc02xbcuqw5wnd1yvg/view</t>
  </si>
  <si>
    <t>KRAV-AUTO-001034</t>
  </si>
  <si>
    <t>cmm4yupsc02xbcuqw5wnd1yvg</t>
  </si>
  <si>
    <t>KRAV-AUTO-001035</t>
  </si>
  <si>
    <t>KRAV-AUTO-001036</t>
  </si>
  <si>
    <t>http://localhost:8787/api/admin/requirements/documents/cmm4yupsa02x8cuqwfc9fh2jh/view</t>
  </si>
  <si>
    <t>KRAV-AUTO-001037</t>
  </si>
  <si>
    <t>cmm4yupsa02x8cuqwfc9fh2jh</t>
  </si>
  <si>
    <t>KRAV-AUTO-001038</t>
  </si>
  <si>
    <t>KRAV-AUTO-001039</t>
  </si>
  <si>
    <t>http://localhost:8787/api/admin/requirements/documents/cmm4yups702x5cuqw0gashkpm/view</t>
  </si>
  <si>
    <t>KRAV-AUTO-001040</t>
  </si>
  <si>
    <t>cmm4yups702x5cuqw0gashkpm</t>
  </si>
  <si>
    <t>KRAV-AUTO-001041</t>
  </si>
  <si>
    <t>KRAV-AUTO-001042</t>
  </si>
  <si>
    <t>http://localhost:8787/api/admin/requirements/documents/cmm4yuprx02wwcuqwzh8r15uu/view</t>
  </si>
  <si>
    <t>KRAV-AUTO-001043</t>
  </si>
  <si>
    <t>cmm4yuprx02wwcuqwzh8r15uu</t>
  </si>
  <si>
    <t>KRAV-AUTO-001044</t>
  </si>
  <si>
    <t>KRAV-AUTO-001045</t>
  </si>
  <si>
    <t>http://localhost:8787/api/admin/requirements/documents/cmm4yuprq02wqcuqwkp0u58pi/view</t>
  </si>
  <si>
    <t>KRAV-AUTO-001046</t>
  </si>
  <si>
    <t>cmm4yuprq02wqcuqwkp0u58pi</t>
  </si>
  <si>
    <t>KRAV-AUTO-001047</t>
  </si>
  <si>
    <t>KRAV-AUTO-001048</t>
  </si>
  <si>
    <t>http://localhost:8787/api/admin/requirements/documents/cmm4yuprn02wncuqwbj4uawum/view</t>
  </si>
  <si>
    <t>KRAV-AUTO-001049</t>
  </si>
  <si>
    <t>cmm4yuprn02wncuqwbj4uawum</t>
  </si>
  <si>
    <t>Skulle misstanke uppstå att någon förorenad jord kommit med kommer provtagning att ske av den jord som skall säljas.</t>
  </si>
  <si>
    <t>http://localhost:8787/api/admin/requirements/documents/cmm4yuprj02wkcuqw0mqtypue/view</t>
  </si>
  <si>
    <t>KRAV-AUTO-001050</t>
  </si>
  <si>
    <t>cmm4yuprj02wkcuqw0mqtypue</t>
  </si>
  <si>
    <t>I normalfallet ska 1 samlingsprov tas per 200 ton massor.</t>
  </si>
  <si>
    <t>http://localhost:8787/api/admin/requirements/documents/cmm4yupre02wecuqw90cyqwpp/view</t>
  </si>
  <si>
    <t>KRAV-AUTO-001051</t>
  </si>
  <si>
    <t>ADMIN-INDEX-2026-02-27-00000000125C043F57453246863FE664CAFE6A3F0700950291EA24F0614FB6ACEDB12BF0E31D00000000010C0000950291EA24F0614FB6ACEDB12BF0E31D00002087AE5A0000</t>
  </si>
  <si>
    <t>cmm4yupre02wecuqw90cyqwpp</t>
  </si>
  <si>
    <t>Egenkontrollprogram.pdf</t>
  </si>
  <si>
    <t>http://localhost:8787/api/admin/requirements/documents/cmm4yuprb02wbcuqw0byo5b0k/view</t>
  </si>
  <si>
    <t>KRAV-AUTO-001052</t>
  </si>
  <si>
    <t>cmm4yuprb02wbcuqw0byo5b0k</t>
  </si>
  <si>
    <t>http://localhost:8787/api/admin/requirements/documents/cmm4yupr902w8cuqw1fb99efd/view</t>
  </si>
  <si>
    <t>KRAV-AUTO-001053</t>
  </si>
  <si>
    <t>cmm4yupr902w8cuqw1fb99efd</t>
  </si>
  <si>
    <t>KRAV-AUTO-001054</t>
  </si>
  <si>
    <t>KRAV-AUTO-001055</t>
  </si>
  <si>
    <t>http://localhost:8787/api/admin/requirements/documents/cmm4yupr602w5cuqw1ydovq3h/view</t>
  </si>
  <si>
    <t>KRAV-AUTO-001056</t>
  </si>
  <si>
    <t>ADMIN-INDEX-2026-02-27-00000000125C043F57453246863FE664CAFE6A3F0700950291EA24F0614FB6ACEDB12BF0E31D00000000010C0000950291EA24F0614FB6ACEDB12BF0E31D00002087AE5B0000</t>
  </si>
  <si>
    <t>cmm4yupr602w5cuqw1ydovq3h</t>
  </si>
  <si>
    <t>Ulricehamns</t>
  </si>
  <si>
    <t>Ulricehamns kommun</t>
  </si>
  <si>
    <t>MSB-2025-1907 Delegationsbeslut § 402 Föreläggande 2025-12-12.pdf</t>
  </si>
  <si>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</si>
  <si>
    <t>KRAV-AUTO-001057</t>
  </si>
  <si>
    <t>Det får inte under någon gång lagras mer än 30 000 ton avfall på fastigheten.</t>
  </si>
  <si>
    <t>KRAV-AUTO-001058</t>
  </si>
  <si>
    <t>Verksamheten ska bedrivas så att hanteringen av avfall inte skadar eller orsakar risk för skada på människors hälsa eller miljön.</t>
  </si>
  <si>
    <t>http://localhost:8787/api/admin/requirements/documents/cmm4yupqy02vwcuqwkpofglow/view</t>
  </si>
  <si>
    <t>KRAV-AUTO-001059</t>
  </si>
  <si>
    <t>ADMIN-INDEX-2026-02-27-00000000125C043F57453246863FE664CAFE6A3F0700950291EA24F0614FB6ACEDB12BF0E31D00000000010C0000950291EA24F0614FB6ACEDB12BF0E31D00002087AE5C0000</t>
  </si>
  <si>
    <t>cmm4yupqy02vwcuqwkpofglow</t>
  </si>
  <si>
    <t>KRAV-AUTO-001060</t>
  </si>
  <si>
    <t>KRAV-AUTO-001061</t>
  </si>
  <si>
    <t>http://localhost:8787/api/admin/requirements/documents/cmm4yupqq02vncuqwip6s7xdy/view</t>
  </si>
  <si>
    <t>KRAV-AUTO-001062</t>
  </si>
  <si>
    <t>ADMIN-INDEX-2026-02-27-00000000125C043F57453246863FE664CAFE6A3F0700950291EA24F0614FB6ACEDB12BF0E31D00000000010C0000950291EA24F0614FB6ACEDB12BF0E31D00002087AE5F0000</t>
  </si>
  <si>
    <t>cmm4yupqq02vncuqwip6s7xdy</t>
  </si>
  <si>
    <t>MB-2025-687 Svar asfalt.pdf</t>
  </si>
  <si>
    <t>• Uppskattad mängd 100 m3.</t>
  </si>
  <si>
    <t>http://localhost:8787/api/admin/requirements/documents/cmm4yupqh02vecuqwffty34q7/view</t>
  </si>
  <si>
    <t>KRAV-AUTO-001063</t>
  </si>
  <si>
    <t>cmm4yupqh02vecuqwffty34q7</t>
  </si>
  <si>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</si>
  <si>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</si>
  <si>
    <t>http://localhost:8787/api/admin/requirements/documents/cmm4yupqe02vbcuqw1k66yewt/view</t>
  </si>
  <si>
    <t>KRAV-AUTO-001064</t>
  </si>
  <si>
    <t>cmm4yupqe02vbcuqw1k66yewt</t>
  </si>
  <si>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</si>
  <si>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</si>
  <si>
    <t>KRAV-AUTO-001065</t>
  </si>
  <si>
    <t>Verksamheten ska utföras på fastigheten Plattan 4, vid omlastningscentralen och industriområdet mellan Storuman och Stensele, f.d.</t>
  </si>
  <si>
    <t>KRAV-AUTO-001066</t>
  </si>
  <si>
    <t>Spill av olja eller andra miljöfarliga ämnen ska samlas upp och omhändertas som farligt avfall.</t>
  </si>
  <si>
    <t>http://localhost:8787/api/admin/requirements/documents/cmm4yupq802v5cuqwuh2enfih/view</t>
  </si>
  <si>
    <t>KRAV-AUTO-001067</t>
  </si>
  <si>
    <t>ADMIN-INDEX-2026-02-27-00000000125C043F57453246863FE664CAFE6A3F0700950291EA24F0614FB6ACEDB12BF0E31D00000000010C0000950291EA24F0614FB6ACEDB12BF0E31D00002087AE600000</t>
  </si>
  <si>
    <t>cmm4yupq802v5cuqwuh2enfih</t>
  </si>
  <si>
    <t>http://localhost:8787/api/admin/requirements/documents/cmm4yupq002uwcuqwozt4p4ws/view</t>
  </si>
  <si>
    <t>KRAV-AUTO-001068</t>
  </si>
  <si>
    <t>cmm4yupq002uwcuqwozt4p4ws</t>
  </si>
  <si>
    <t>http://localhost:8787/api/admin/requirements/documents/cmm4yuppx02utcuqwiul7rpng/view</t>
  </si>
  <si>
    <t>KRAV-AUTO-001069</t>
  </si>
  <si>
    <t>cmm4yuppx02utcuqwiul7rpng</t>
  </si>
  <si>
    <t>KRAV-AUTO-001070</t>
  </si>
  <si>
    <t>KRAV-AUTO-001071</t>
  </si>
  <si>
    <t>http://localhost:8787/api/admin/requirements/documents/cmm4yupps02uncuqw2oocfvsk/view</t>
  </si>
  <si>
    <t>KRAV-AUTO-001072</t>
  </si>
  <si>
    <t>ADMIN-INDEX-2026-02-27-00000000125C043F57453246863FE664CAFE6A3F0700950291EA24F0614FB6ACEDB12BF0E31D00000000010C0000950291EA24F0614FB6ACEDB12BF0E31D00002087AE610000</t>
  </si>
  <si>
    <t>cmm4yupps02uncuqw2oocfvsk</t>
  </si>
  <si>
    <t>2025-3473 8.pdf</t>
  </si>
  <si>
    <t>Vatten: Vad gäller vatten och avlopp bör uppdelning ske på processvatten, sanitärt vatten och dagvatten.</t>
  </si>
  <si>
    <t>KRAV-AUTO-001073</t>
  </si>
  <si>
    <t>• En beskrivning av den verksamhet som ska bedrivas och vilka miljö- och hälsorisker som kan uppstå i eller i anslutning till verksamheten.</t>
  </si>
  <si>
    <t>KRAV-AUTO-001074</t>
  </si>
  <si>
    <t>Redogör för planerad verksamhet och åtgärder i tekniskt hänseende som råvaror, produktionsmetoder, produktionskapacitet/producerad mängd, kemikaliehantering, kapacitet, emissioner, reningsanläggning, driftförhållanden, energiförbrukning m.m.</t>
  </si>
  <si>
    <t>http://localhost:8787/api/admin/requirements/documents/cmm4yuppp02ukcuqw5y10avan/view</t>
  </si>
  <si>
    <t>KRAV-AUTO-001075</t>
  </si>
  <si>
    <t>cmm4yuppp02ukcuqw5y10avan</t>
  </si>
  <si>
    <t>Det har under handläggningen av ärendet framkommit att 300 stubbar motsvarar ca 75 m3 fast mått eller 300 m3 löst mått vilket innebär att de mängder som ska flisas ligger under den anmälningspliktiga nivån.</t>
  </si>
  <si>
    <t>http://localhost:8787/api/admin/requirements/documents/cmm4yuppl02uhcuqw82o3bw2z/view</t>
  </si>
  <si>
    <t>KRAV-AUTO-001076</t>
  </si>
  <si>
    <t>cmm4yuppl02uhcuqw82o3bw2z</t>
  </si>
  <si>
    <t>Provtagning kommer ske genom samlingsprov med ett intervall om 1500m³ Mottagningsdokument för karakterisering av massorna kommer kravställas på de som tippar på platsen.</t>
  </si>
  <si>
    <t>http://localhost:8787/api/admin/requirements/documents/cmm4yupph02uecuqwfrixmsn3/view</t>
  </si>
  <si>
    <t>KRAV-AUTO-001077</t>
  </si>
  <si>
    <t>cmm4yupph02uecuqwfrixmsn3</t>
  </si>
  <si>
    <t>KRAV-AUTO-001078</t>
  </si>
  <si>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</si>
  <si>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</si>
  <si>
    <t>KRAV-AUTO-001079</t>
  </si>
  <si>
    <t>http://localhost:8787/api/admin/requirements/documents/cmm4yuppe02ubcuqwignm3ye9/view</t>
  </si>
  <si>
    <t>KRAV-AUTO-001080</t>
  </si>
  <si>
    <t>cmm4yuppe02ubcuqwignm3ye9</t>
  </si>
  <si>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</si>
  <si>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</si>
  <si>
    <t>KRAV-AUTO-001081</t>
  </si>
  <si>
    <t>Det farliga avfallet kommer att sorteras och förvaras i separata täta och invallade behållare med nederbördsskydd.</t>
  </si>
  <si>
    <t>KRAV-AUTO-001082</t>
  </si>
  <si>
    <t>• För att minska risken för att det avfall som tas in på fastigheten innehåller invasiva arter ska avfallslämnaren i förväg fylla i ett mottagningsformulär med bl.a.</t>
  </si>
  <si>
    <t>http://localhost:8787/api/admin/requirements/documents/cmm4yuppb02u8cuqwns6ssovu/view</t>
  </si>
  <si>
    <t>KRAV-AUTO-001083</t>
  </si>
  <si>
    <t>cmm4yuppb02u8cuqwns6ssovu</t>
  </si>
  <si>
    <t>Bland annat ska typer och mängder av avfall som behandlas och lagras regleras vilket har gjorts i punkt 4, 5, 6 i föreläggandet.</t>
  </si>
  <si>
    <t>KRAV-AUTO-001084</t>
  </si>
  <si>
    <t>Farligt avfall och kemikalier ska förvaras invallat, invallningen ska rymma 100% av den störta behållarens volym plus 10% av övriga behållares totala volym.</t>
  </si>
  <si>
    <t>KRAV-AUTO-001085</t>
  </si>
  <si>
    <t>Av 27 a § Förordningen om miljöfarlig verksamhet och hälsoskydd framgår att när det gäller en verksamhet som behandlar avfall ska ett föreläggande om skyddsåtgärder innehålla vissa uppgifter.</t>
  </si>
  <si>
    <t>http://localhost:8787/api/admin/requirements/documents/cmm4yupp702u5cuqwiepm97td/view</t>
  </si>
  <si>
    <t>KRAV-AUTO-001086</t>
  </si>
  <si>
    <t>cmm4yupp702u5cuqwiepm97td</t>
  </si>
  <si>
    <t>Avsändare: calle@fristadsexpress.se Mottaget: 2025-11-26 07:25:05 Mottagare: John Glamheden [john.glamheden@boras.se] Kopia: Ämne: Falskog Bifogade filer: Hej John, Här kommer de ytterligare EWC koder vi pratade om igår.</t>
  </si>
  <si>
    <t>http://localhost:8787/api/admin/requirements/documents/cmm4yupp502u2cuqwsyd8t5mx/view</t>
  </si>
  <si>
    <t>KRAV-AUTO-001087</t>
  </si>
  <si>
    <t>cmm4yupp502u2cuqwsyd8t5mx</t>
  </si>
  <si>
    <t>ZjQcmQRYFpfptBannerEnd Hej John, Vi önskar lägga till EWC-koden för Ballast utan farliga ämnen 170508 som ok att ta in på verksamheten enligt Borås stad beslut 2025-1582, i övrigt allt annat lika.</t>
  </si>
  <si>
    <t>KRAV-AUTO-001088</t>
  </si>
  <si>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</si>
  <si>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</si>
  <si>
    <t>http://localhost:8787/api/admin/requirements/documents/cmm4yupp202tzcuqwtksamcb4/view</t>
  </si>
  <si>
    <t>KRAV-AUTO-001089</t>
  </si>
  <si>
    <t>cmm4yupp202tzcuqwtksamcb4</t>
  </si>
  <si>
    <t>KRAV-AUTO-001090</t>
  </si>
  <si>
    <t>Vatten behöver tillföras vissa produkter för att rätt fukthalt ska bibehållas så något överskott på dagvatten räknar vi inte med att få inom verksamheten.</t>
  </si>
  <si>
    <t>KRAV-AUTO-001091</t>
  </si>
  <si>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</si>
  <si>
    <t>http://localhost:8787/api/admin/requirements/documents/cmm4yupoz02twcuqw1s4jb2q1/view</t>
  </si>
  <si>
    <t>KRAV-AUTO-001092</t>
  </si>
  <si>
    <t>cmm4yupoz02twcuqw1s4jb2q1</t>
  </si>
  <si>
    <t>Bland annat ska typer och mängder av avfall som behandlas och lagras regleras vilket har gjorts i punkt 2, 3, 4 och 5 i föreläggandet.</t>
  </si>
  <si>
    <t>KRAV-AUTO-001093</t>
  </si>
  <si>
    <t>Avfall som misstänks vara förorenat ska förvaras separat och får inte blandas med annat avfall innan provtagning och analysresultat är klara.</t>
  </si>
  <si>
    <t>KRAV-AUTO-001094</t>
  </si>
  <si>
    <t>Rutinen för mottagningskontroll ska lämnas in till Miljöförvaltningen innan avfall börjar att tas emot vid anläggningen.</t>
  </si>
  <si>
    <t>http://localhost:8787/api/admin/requirements/documents/cmm4yupow02ttcuqwiwo2a9h7/view</t>
  </si>
  <si>
    <t>KRAV-AUTO-001095</t>
  </si>
  <si>
    <t>cmm4yupow02ttcuqwiwo2a9h7</t>
  </si>
  <si>
    <t>KRAV-AUTO-001096</t>
  </si>
  <si>
    <t>KRAV-AUTO-001097</t>
  </si>
  <si>
    <t>http://localhost:8787/api/admin/requirements/documents/cmm4yupot02tqcuqw6efar0yd/view</t>
  </si>
  <si>
    <t>KRAV-AUTO-001098</t>
  </si>
  <si>
    <t>cmm4yupot02tqcuqw6efar0yd</t>
  </si>
  <si>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</si>
  <si>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</si>
  <si>
    <t>KRAV-AUTO-001099</t>
  </si>
  <si>
    <t>Provtagningen ska vara genomförd så att den ger en representativ bild av eventuell föroreningshalt för avfallet 8.</t>
  </si>
  <si>
    <t>KRAV-AUTO-001100</t>
  </si>
  <si>
    <t>För att minimera risken för spridning av föroreningar så ska avfall som hanteras vara karaktäriserat vid mottagningen.</t>
  </si>
  <si>
    <t>http://localhost:8787/api/admin/requirements/documents/cmm4yupoo02tkcuqwj2ttaeuj/view</t>
  </si>
  <si>
    <t>KRAV-AUTO-001101</t>
  </si>
  <si>
    <t>cmm4yupoo02tkcuqwj2ttaeuj</t>
  </si>
  <si>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</si>
  <si>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</si>
  <si>
    <t>KRAV-AUTO-001102</t>
  </si>
  <si>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</si>
  <si>
    <t>KRAV-AUTO-001103</t>
  </si>
  <si>
    <t>Spill av petroleumprodukter ska omhändertas som farligt avfall.</t>
  </si>
  <si>
    <t>http://localhost:8787/api/admin/requirements/documents/cmm4yupoi02tecuqwcxfb7ykc/view</t>
  </si>
  <si>
    <t>KRAV-AUTO-001104</t>
  </si>
  <si>
    <t>ADMIN-INDEX-2026-02-27-00000000125C043F57453246863FE664CAFE6A3F0700950291EA24F0614FB6ACEDB12BF0E31D00000000010C0000950291EA24F0614FB6ACEDB12BF0E31D00002087AE620000</t>
  </si>
  <si>
    <t>cmm4yupoi02tecuqwcxfb7ykc</t>
  </si>
  <si>
    <t>KRAV-AUTO-001105</t>
  </si>
  <si>
    <t>KRAV-AUTO-001106</t>
  </si>
  <si>
    <t>http://localhost:8787/api/admin/requirements/documents/cmm4yupog02tbcuqw2gywtdnq/view</t>
  </si>
  <si>
    <t>KRAV-AUTO-001107</t>
  </si>
  <si>
    <t>cmm4yupog02tbcuqw2gywtdnq</t>
  </si>
  <si>
    <t>http://localhost:8787/api/admin/requirements/documents/cmm4yupod02t8cuqw7z4ge4fe/view</t>
  </si>
  <si>
    <t>KRAV-AUTO-001108</t>
  </si>
  <si>
    <t>cmm4yupod02t8cuqw7z4ge4fe</t>
  </si>
  <si>
    <t>http://localhost:8787/api/admin/requirements/documents/cmm4yupoa02t5cuqwiwkjwbj1/view</t>
  </si>
  <si>
    <t>KRAV-AUTO-001109</t>
  </si>
  <si>
    <t>cmm4yupoa02t5cuqwiwkjwbj1</t>
  </si>
  <si>
    <t>KRAV-AUTO-001110</t>
  </si>
  <si>
    <t>KRAV-AUTO-001111</t>
  </si>
  <si>
    <t>http://localhost:8787/api/admin/requirements/documents/cmm4yupo702t2cuqwxl3b83ul/view</t>
  </si>
  <si>
    <t>KRAV-AUTO-001112</t>
  </si>
  <si>
    <t>cmm4yupo702t2cuqwxl3b83ul</t>
  </si>
  <si>
    <t>KRAV-AUTO-001113</t>
  </si>
  <si>
    <t>KRAV-AUTO-001114</t>
  </si>
  <si>
    <t>http://localhost:8787/api/admin/requirements/documents/cmm4yupo402szcuqwreyj7042/view</t>
  </si>
  <si>
    <t>KRAV-AUTO-001115</t>
  </si>
  <si>
    <t>cmm4yupo402szcuqwreyj7042</t>
  </si>
  <si>
    <t>KRAV-AUTO-001116</t>
  </si>
  <si>
    <t>KRAV-AUTO-001117</t>
  </si>
  <si>
    <t>http://localhost:8787/api/admin/requirements/documents/cmm4yupo102swcuqwycphztq8/view</t>
  </si>
  <si>
    <t>KRAV-AUTO-001118</t>
  </si>
  <si>
    <t>cmm4yupo102swcuqwycphztq8</t>
  </si>
  <si>
    <t>http://localhost:8787/api/admin/requirements/documents/cmm4yupnx02stcuqw5t7crswk/view</t>
  </si>
  <si>
    <t>KRAV-AUTO-001119</t>
  </si>
  <si>
    <t>cmm4yupnx02stcuqw5t7crswk</t>
  </si>
  <si>
    <t>KRAV-AUTO-001120</t>
  </si>
  <si>
    <t>http://localhost:8787/api/admin/requirements/documents/cmm4yupnt02sqcuqw14icrttf/view</t>
  </si>
  <si>
    <t>KRAV-AUTO-001121</t>
  </si>
  <si>
    <t>cmm4yupnt02sqcuqw14icrttf</t>
  </si>
  <si>
    <t>KRAV-AUTO-001122</t>
  </si>
  <si>
    <t>KRAV-AUTO-001123</t>
  </si>
  <si>
    <t>http://localhost:8787/api/admin/requirements/documents/cmm4yupnr02sncuqw6w96jqdy/view</t>
  </si>
  <si>
    <t>KRAV-AUTO-001124</t>
  </si>
  <si>
    <t>cmm4yupnr02sncuqw6w96jqdy</t>
  </si>
  <si>
    <t>KRAV-AUTO-001125</t>
  </si>
  <si>
    <t>KRAV-AUTO-001126</t>
  </si>
  <si>
    <t>http://localhost:8787/api/admin/requirements/documents/cmm4yupno02skcuqw9nieppoi/view</t>
  </si>
  <si>
    <t>KRAV-AUTO-001127</t>
  </si>
  <si>
    <t>cmm4yupno02skcuqw9nieppoi</t>
  </si>
  <si>
    <t>KRAV-AUTO-001128</t>
  </si>
  <si>
    <t>KRAV-AUTO-001129</t>
  </si>
  <si>
    <t>http://localhost:8787/api/admin/requirements/documents/cmm4yupnm02shcuqwns9u4g0f/view</t>
  </si>
  <si>
    <t>KRAV-AUTO-001130</t>
  </si>
  <si>
    <t>cmm4yupnm02shcuqwns9u4g0f</t>
  </si>
  <si>
    <t>KRAV-AUTO-001131</t>
  </si>
  <si>
    <t>KRAV-AUTO-001132</t>
  </si>
  <si>
    <t>http://localhost:8787/api/admin/requirements/documents/cmm4yupng02sbcuqw4umilxsa/view</t>
  </si>
  <si>
    <t>KRAV-AUTO-001133</t>
  </si>
  <si>
    <t>cmm4yupng02sbcuqw4umilxsa</t>
  </si>
  <si>
    <t>KRAV-AUTO-001134</t>
  </si>
  <si>
    <t>KRAV-AUTO-001135</t>
  </si>
  <si>
    <t>http://localhost:8787/api/admin/requirements/documents/cmm4yupmn02rkcuqwjnnwfgym/view</t>
  </si>
  <si>
    <t>KRAV-AUTO-001136</t>
  </si>
  <si>
    <t>ADMIN-INDEX-2026-02-27-00000000125C043F57453246863FE664CAFE6A3F0700950291EA24F0614FB6ACEDB12BF0E31D00000000010C0000950291EA24F0614FB6ACEDB12BF0E31D00002087AE630000</t>
  </si>
  <si>
    <t>cmm4yupmn02rkcuqwjnnwfgym</t>
  </si>
  <si>
    <t>SBF-2025-376_2025-02-28_Bilaga 1 C-anmälan Markmästarna 2018.pdf</t>
  </si>
  <si>
    <t>Det uppsamlade materialet ska sedan grävas upp och placeras i ett väl utmärkt uppsamlingskärl för att sedan borttransporteras av behörig transportör för farligt avfall.</t>
  </si>
  <si>
    <t>KRAV-AUTO-001137</t>
  </si>
  <si>
    <t>Det vatten som genereras är så kallat dagvatten från nederbörd i form av regn och snö.</t>
  </si>
  <si>
    <t>KRAV-AUTO-001138</t>
  </si>
  <si>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</si>
  <si>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</si>
  <si>
    <t>http://localhost:8787/api/admin/requirements/documents/cmm4yupml02rhcuqwnsnr79oi/view</t>
  </si>
  <si>
    <t>KRAV-AUTO-001139</t>
  </si>
  <si>
    <t>cmm4yupml02rhcuqwnsnr79oi</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</si>
  <si>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</si>
  <si>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</si>
  <si>
    <t>KRAV-AUTO-001140</t>
  </si>
  <si>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</si>
  <si>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</si>
  <si>
    <t>http://localhost:8787/api/admin/requirements/documents/cmm4yupmf02rbcuqwlb6zhajv/view</t>
  </si>
  <si>
    <t>KRAV-AUTO-001141</t>
  </si>
  <si>
    <t>cmm4yupmf02rbcuqwlb6zhajv</t>
  </si>
  <si>
    <t>Dokument: SBF-2024-1820_2024-11-11_Beslut användning av avfall för anläggningsändamål_Bortredigerad.pdf.</t>
  </si>
  <si>
    <t>http://localhost:8787/api/admin/requirements/documents/cmm4yupma02r5cuqwyz08rh4i/view</t>
  </si>
  <si>
    <t>KRAV-AUTO-001142</t>
  </si>
  <si>
    <t>cmm4yupma02r5cuqwyz08rh4i</t>
  </si>
  <si>
    <t>2.4 MATERIAL OCH UTRUSTNING SOM SKA ÅTERVINNAS Produkt Avfallskod Placering Mängd Aluminium 17 04 02 Alla hus.</t>
  </si>
  <si>
    <t>KRAV-AUTO-001143</t>
  </si>
  <si>
    <t>-- 2 of 16 -- -- 3 of 16 -- -- 4 of 16 -- Sida Ordernummer Kund LE2401733 Conservator AB : : : 3 av 14 Provbeteckning PPtung2 BTG samlingsprov hus 07 Laboratoriets provnummer LE2401733-002 Provtagningsdatum / tid 2024-01-24 Matris BYGGNADSMATERIAL Resultat MU Enhet LOR Metod Utf.</t>
  </si>
  <si>
    <t>http://localhost:8787/api/admin/requirements/documents/cmm4yupm802r2cuqwvpqcqe3f/view</t>
  </si>
  <si>
    <t>KRAV-AUTO-001144</t>
  </si>
  <si>
    <t>cmm4yupm802r2cuqwvpqcqe3f</t>
  </si>
  <si>
    <t>Sida Ordernummer Kund LE2401733 Conservator AB : : : 3 av 14 Provbeteckning PPtung2 BTG samlingsprov hus 07 Laboratoriets provnummer LE2401733-002 Provtagningsdatum / tid 2024-01-24 Matris BYGGNADSMATERIAL Resultat MU Enhet LOR Metod Utf.</t>
  </si>
  <si>
    <t>http://localhost:8787/api/admin/requirements/documents/cmm4yupm502qzcuqwr5yizw4b/view</t>
  </si>
  <si>
    <t>KRAV-AUTO-001145</t>
  </si>
  <si>
    <t>cmm4yupm502qzcuqwr5yizw4b</t>
  </si>
  <si>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</si>
  <si>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</si>
  <si>
    <t>http://localhost:8787/api/admin/requirements/documents/cmm4yuplh02qbcuqwo52fuzbg/view</t>
  </si>
  <si>
    <t>KRAV-AUTO-001146</t>
  </si>
  <si>
    <t>ADMIN-INDEX-2026-02-27-00000000125C043F57453246863FE664CAFE6A3F0700950291EA24F0614FB6ACEDB12BF0E31D00000000010C0000950291EA24F0614FB6ACEDB12BF0E31D00002087AE640000</t>
  </si>
  <si>
    <t>cmm4yuplh02qbcuqwo52fuzbg</t>
  </si>
  <si>
    <t>KRAV-AUTO-001147</t>
  </si>
  <si>
    <t>KRAV-AUTO-001148</t>
  </si>
  <si>
    <t>http://localhost:8787/api/admin/requirements/documents/cmm4yuple02q8cuqwc9b1xfqu/view</t>
  </si>
  <si>
    <t>KRAV-AUTO-001149</t>
  </si>
  <si>
    <t>cmm4yuple02q8cuqwc9b1xfqu</t>
  </si>
  <si>
    <t>KRAV-AUTO-001150</t>
  </si>
  <si>
    <t>http://localhost:8787/api/admin/requirements/documents/cmm4yupl902q2cuqwe4e3uaol/view</t>
  </si>
  <si>
    <t>KRAV-AUTO-001151</t>
  </si>
  <si>
    <t>cmm4yupl902q2cuqwe4e3uaol</t>
  </si>
  <si>
    <t>http://localhost:8787/api/admin/requirements/documents/cmm4yupl302pwcuqw1ywwzo18/view</t>
  </si>
  <si>
    <t>KRAV-AUTO-001152</t>
  </si>
  <si>
    <t>cmm4yupl302pwcuqw1ywwzo18</t>
  </si>
  <si>
    <t>KRAV-AUTO-001153</t>
  </si>
  <si>
    <t>http://localhost:8787/api/admin/requirements/documents/cmm4yupkz02ptcuqwzdelk75o/view</t>
  </si>
  <si>
    <t>KRAV-AUTO-001154</t>
  </si>
  <si>
    <t>cmm4yupkz02ptcuqwzdelk75o</t>
  </si>
  <si>
    <t>http://localhost:8787/api/admin/requirements/documents/cmm4yupkx02pqcuqw9tff56cg/view</t>
  </si>
  <si>
    <t>KRAV-AUTO-001155</t>
  </si>
  <si>
    <t>cmm4yupkx02pqcuqw9tff56cg</t>
  </si>
  <si>
    <t>http://localhost:8787/api/admin/requirements/documents/cmm4yupkl02pecuqwc9aq8lae/view</t>
  </si>
  <si>
    <t>KRAV-AUTO-001156</t>
  </si>
  <si>
    <t>ADMIN-INDEX-2026-02-27-00000000125C043F57453246863FE664CAFE6A3F0700950291EA24F0614FB6ACEDB12BF0E31D00000000010C0000950291EA24F0614FB6ACEDB12BF0E31D00002087AE650000</t>
  </si>
  <si>
    <t>cmm4yupkl02pecuqwc9aq8lae</t>
  </si>
  <si>
    <t>Anmälan om mellanlagring av icke.pdf</t>
  </si>
  <si>
    <t>Vi räknar med att mängden farligt avfall som mellanlagras inte vid något tillfälle kommer att överstiga 50 ton Området ska städas kontinuerligt eller när behov uppstår.</t>
  </si>
  <si>
    <t>KRAV-AUTO-001157</t>
  </si>
  <si>
    <t>Spolplattan har en spolränna en efterföljande sedimentationsränna med sand, vattnet leds sedan till oljeavskiljare med koalecensfilter och nivålarm Tvättmedel……… Antal tvättar /år uppskatta en siffra.</t>
  </si>
  <si>
    <t>KRAV-AUTO-001158</t>
  </si>
  <si>
    <t>http://localhost:8787/api/admin/requirements/documents/cmm4yupki02pbcuqwmmqxe1ge/view</t>
  </si>
  <si>
    <t>KRAV-AUTO-001159</t>
  </si>
  <si>
    <t>cmm4yupki02pbcuqwmmqxe1ge</t>
  </si>
  <si>
    <t>Lokalisering (översiktskarta) med markerade platser för där mellanlagring sker i kommunen 5.</t>
  </si>
  <si>
    <t>http://localhost:8787/api/admin/requirements/documents/cmm4yupk402owcuqww06jlz5a/view</t>
  </si>
  <si>
    <t>KRAV-AUTO-001160</t>
  </si>
  <si>
    <t>ADMIN-INDEX-2026-02-27-00000000125C043F57453246863FE664CAFE6A3F0700950291EA24F0614FB6ACEDB12BF0E31D00000000010C0000950291EA24F0614FB6ACEDB12BF0E31D00002087AE660000</t>
  </si>
  <si>
    <t>cmm4yupk402owcuqww06jlz5a</t>
  </si>
  <si>
    <t>KRAV-AUTO-001161</t>
  </si>
  <si>
    <t>KRAV-AUTO-001162</t>
  </si>
  <si>
    <t>http://localhost:8787/api/admin/requirements/documents/cmm4yupk102otcuqwal3xz5wn/view</t>
  </si>
  <si>
    <t>KRAV-AUTO-001163</t>
  </si>
  <si>
    <t>cmm4yupk102otcuqwal3xz5wn</t>
  </si>
  <si>
    <t>http://localhost:8787/api/admin/requirements/documents/cmm4yupjv02oncuqwhzi14w7y/view</t>
  </si>
  <si>
    <t>KRAV-AUTO-001164</t>
  </si>
  <si>
    <t>ADMIN-INDEX-2026-02-27-00000000125C043F57453246863FE664CAFE6A3F0700950291EA24F0614FB6ACEDB12BF0E31D00000000010C0000950291EA24F0614FB6ACEDB12BF0E31D00002087AE710000</t>
  </si>
  <si>
    <t>cmm4yupjv02oncuqwhzi14w7y</t>
  </si>
  <si>
    <t>2.pdf</t>
  </si>
  <si>
    <t>Vid förvaring utomhus ska avfallet förvaras på en yta som är ogenomsläpplig, invallad och försedd med nederbördsskydd.</t>
  </si>
  <si>
    <t>KRAV-AUTO-001165</t>
  </si>
  <si>
    <t>Tänk på att cisterner ska vara stadigt uppställda och inte placeras direkt på marken (korrosionsrisk) och bör förses med invallning och droppskydd.</t>
  </si>
  <si>
    <t>KRAV-AUTO-001166</t>
  </si>
  <si>
    <t>Avfall kan läggas på en anläggning för mellanlagring under kortare tid än ett år innan det bortskaffas eller upp till tre år innan det återvinns (se 15 kap.</t>
  </si>
  <si>
    <t>http://localhost:8787/api/admin/requirements/documents/cmm4yupjp02ohcuqwx5giwxd4/view</t>
  </si>
  <si>
    <t>KRAV-AUTO-001167</t>
  </si>
  <si>
    <t>ADMIN-INDEX-2026-02-27-00000000125C043F57453246863FE664CAFE6A3F0700950291EA24F0614FB6ACEDB12BF0E31D00000000010C0000950291EA24F0614FB6ACEDB12BF0E31D00002087AE720000</t>
  </si>
  <si>
    <t>cmm4yupjp02ohcuqwx5giwxd4</t>
  </si>
  <si>
    <t>KRAV-AUTO-001168</t>
  </si>
  <si>
    <t>KRAV-AUTO-001169</t>
  </si>
  <si>
    <t>http://localhost:8787/api/admin/requirements/documents/cmm4yupji02obcuqwtixc21ni/view</t>
  </si>
  <si>
    <t>KRAV-AUTO-001170</t>
  </si>
  <si>
    <t>ADMIN-INDEX-2026-02-27-00000000125C043F57453246863FE664CAFE6A3F0700950291EA24F0614FB6ACEDB12BF0E31D00000000010C0000950291EA24F0614FB6ACEDB12BF0E31D00002087AE730000</t>
  </si>
  <si>
    <t>cmm4yupji02obcuqwtixc21ni</t>
  </si>
  <si>
    <t>4.pdf</t>
  </si>
  <si>
    <t>Ge gärna lite input så skall jag sen börja upprätta en provtagningsplan som du givetvis kommer att delges underhand så vi hittar samsyn om detta.</t>
  </si>
  <si>
    <t>KRAV-AUTO-001171</t>
  </si>
  <si>
    <t>Krossningen kommer inte att ske på plats utan mtrl kommer att flyttas till en hårdgjord platta (enl länk) där vi har ett upplag för mtrl som skall krossas till bl.a utfyllnad och väg-grus.</t>
  </si>
  <si>
    <t>KRAV-AUTO-001172</t>
  </si>
  <si>
    <t>-- 12 of 95 -- Kartbild 1: översiktskarta med aktuellt område i röd ring Förslag på provtagning: De jordmassor som skall jämnas ut inom området skall verifieras att vara så rena att de inte behöver särskild behandling utan kan anses som rena massor.</t>
  </si>
  <si>
    <t>http://localhost:8787/api/admin/requirements/documents/cmm4yupjf02o8cuqw0rqdugbm/view</t>
  </si>
  <si>
    <t>KRAV-AUTO-001173</t>
  </si>
  <si>
    <t>cmm4yupjf02o8cuqw0rqdugbm</t>
  </si>
  <si>
    <t>Invallningarnas uppsamlingsvolym ska minst motsvara den största behållarens volym plus 10% av övriga behållares volym.</t>
  </si>
  <si>
    <t>KRAV-AUTO-001174</t>
  </si>
  <si>
    <t>Förvaringen av flytande kemiska produkter och farligt avfall ska ske på ogenomsläpplig invallad yta alternativt i dubbelmantlade behållare.</t>
  </si>
  <si>
    <t>KRAV-AUTO-001175</t>
  </si>
  <si>
    <t>Av rutinen ska det framgå hur riskbedömningen ska göras, när och hur provtagning ska ske, hur journalföring ska gå till, vem som ansvarar för kontrollerna samt hur ni säkerställer att det finns en spårbarhet i masshanteringen.</t>
  </si>
  <si>
    <t>http://localhost:8787/api/admin/requirements/documents/cmm4yupjc02o5cuqw79mcn0cr/view</t>
  </si>
  <si>
    <t>KRAV-AUTO-001176</t>
  </si>
  <si>
    <t>ADMIN-INDEX-2026-02-27-00000000125C043F57453246863FE664CAFE6A3F0700950291EA24F0614FB6ACEDB12BF0E31D00000000010C0000950291EA24F0614FB6ACEDB12BF0E31D00002087AE740000</t>
  </si>
  <si>
    <t>cmm4yupjc02o5cuqw79mcn0cr</t>
  </si>
  <si>
    <t>KRAV-AUTO-001177</t>
  </si>
  <si>
    <t>KRAV-AUTO-001178</t>
  </si>
  <si>
    <t>http://localhost:8787/api/admin/requirements/documents/cmm4yupj902o2cuqw0uf2g1z6/view</t>
  </si>
  <si>
    <t>KRAV-AUTO-001179</t>
  </si>
  <si>
    <t>cmm4yupj902o2cuqw0uf2g1z6</t>
  </si>
  <si>
    <t>KRAV-AUTO-001180</t>
  </si>
  <si>
    <t>KRAV-AUTO-001181</t>
  </si>
  <si>
    <t>http://localhost:8787/api/admin/requirements/documents/cmm4yupj602nzcuqwz84u4s1y/view</t>
  </si>
  <si>
    <t>KRAV-AUTO-001182</t>
  </si>
  <si>
    <t>ADMIN-INDEX-2026-02-27-00000000125C043F57453246863FE664CAFE6A3F0700950291EA24F0614FB6ACEDB12BF0E31D00000000010C0000950291EA24F0614FB6ACEDB12BF0E31D00002087AE750000</t>
  </si>
  <si>
    <t>cmm4yupj602nzcuqwz84u4s1y</t>
  </si>
  <si>
    <t>Fyll i om sökanden är Tierps</t>
  </si>
  <si>
    <t>Fyll i om sökanden är Tierps kommun</t>
  </si>
  <si>
    <t>TK 2025-1240 Anmälan om miljöfarlig verksamhet.pdf</t>
  </si>
  <si>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</si>
  <si>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</si>
  <si>
    <t>http://localhost:8787/api/admin/requirements/documents/cmm4yupit02nncuqweoqni2b7/view</t>
  </si>
  <si>
    <t>KRAV-AUTO-001183</t>
  </si>
  <si>
    <t>cmm4yupit02nncuqweoqni2b7</t>
  </si>
  <si>
    <t>Farligt avfall skall förses med korrekt märkning i väntan på borttransport för slutligt omhändertagande.</t>
  </si>
  <si>
    <t>KRAV-AUTO-001184</t>
  </si>
  <si>
    <t>Lagring och hantering av kemikalier och farligt avfall, skall ske på sådant sätt att det inte uppstår risk för människors hälsa och miljön.</t>
  </si>
  <si>
    <t>KRAV-AUTO-001185</t>
  </si>
  <si>
    <t>Flytande kemikalier och flytande farligt avfall ska förvaras i spillsäker invallning som rymmer hela volymen av den största behållaren plus 10 procent av resterande behållares volym.</t>
  </si>
  <si>
    <t>http://localhost:8787/api/admin/requirements/documents/cmm4yupip02nkcuqwvl8gkfaz/view</t>
  </si>
  <si>
    <t>KRAV-AUTO-001186</t>
  </si>
  <si>
    <t>ADMIN-INDEX-2026-02-27-00000000125C043F57453246863FE664CAFE6A3F0700950291EA24F0614FB6ACEDB12BF0E31D00000000010C0000950291EA24F0614FB6ACEDB12BF0E31D00002087AE760000</t>
  </si>
  <si>
    <t>cmm4yupip02nkcuqwvl8gkfaz</t>
  </si>
  <si>
    <t>http://localhost:8787/api/admin/requirements/documents/cmm4yupi902n8cuqwulibqoz9/view</t>
  </si>
  <si>
    <t>KRAV-AUTO-001187</t>
  </si>
  <si>
    <t>cmm4yupi902n8cuqwulibqoz9</t>
  </si>
  <si>
    <t>KRAV-AUTO-001188</t>
  </si>
  <si>
    <t>KRAV-AUTO-001189</t>
  </si>
  <si>
    <t>http://localhost:8787/api/admin/requirements/documents/cmm4yuphs02mtcuqwxbrtxsxi/view</t>
  </si>
  <si>
    <t>KRAV-AUTO-001190</t>
  </si>
  <si>
    <t>ADMIN-INDEX-2026-02-27-00000000125C043F57453246863FE664CAFE6A3F0700950291EA24F0614FB6ACEDB12BF0E31D00000000010C0000950291EA24F0614FB6ACEDB12BF0E31D00002087AE790000</t>
  </si>
  <si>
    <t>cmm4yuphs02mtcuqwxbrtxsxi</t>
  </si>
  <si>
    <t>Vreta Kloster Postadress Lessebo</t>
  </si>
  <si>
    <t>Vreta Kloster Postadress Lessebo kommun</t>
  </si>
  <si>
    <t>MN-2025-119_Delegationsbeslut_2025-05-07.pdf</t>
  </si>
  <si>
    <t>Lakvatten som avrinner från upplagsplatsen ska samlas upp och behandlas i Lessebo avloppsreningsverk.</t>
  </si>
  <si>
    <t>KRAV-AUTO-001191</t>
  </si>
  <si>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</si>
  <si>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</si>
  <si>
    <t>KRAV-AUTO-001192</t>
  </si>
  <si>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</si>
  <si>
    <t>http://localhost:8787/api/admin/requirements/documents/cmm4yuphk02mkcuqw6kd78i98/view</t>
  </si>
  <si>
    <t>KRAV-AUTO-001193</t>
  </si>
  <si>
    <t>cmm4yuphk02mkcuqw6kd78i98</t>
  </si>
  <si>
    <t>KRAV-AUTO-001194</t>
  </si>
  <si>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</si>
  <si>
    <t>KRAV-AUTO-001195</t>
  </si>
  <si>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</si>
  <si>
    <t>http://localhost:8787/api/admin/requirements/documents/cmm4yuphf02mecuqwxj96c2mu/view</t>
  </si>
  <si>
    <t>KRAV-AUTO-001196</t>
  </si>
  <si>
    <t>cmm4yuphf02mecuqwxj96c2mu</t>
  </si>
  <si>
    <t>Då bedömer jag att ni faller under Avfall 29 kap i Miljöprövningsförordningen antingen § 40 eller § 41 beroende på mängden som ska behandlas.</t>
  </si>
  <si>
    <t>http://localhost:8787/api/admin/requirements/documents/cmm4yuphb02mbcuqw2ym0mlff/view</t>
  </si>
  <si>
    <t>KRAV-AUTO-001197</t>
  </si>
  <si>
    <t>cmm4yuphb02mbcuqw2ym0mlff</t>
  </si>
  <si>
    <t>http://localhost:8787/api/admin/requirements/documents/cmm4yupgm02lkcuqwtilqg9xf/view</t>
  </si>
  <si>
    <t>KRAV-AUTO-001198</t>
  </si>
  <si>
    <t>ADMIN-INDEX-2026-02-27-00000000125C043F57453246863FE664CAFE6A3F0700950291EA24F0614FB6ACEDB12BF0E31D00000000010C0000950291EA24F0614FB6ACEDB12BF0E31D00002087AE7A0000</t>
  </si>
  <si>
    <t>cmm4yupgm02lkcuqwtilqg9xf</t>
  </si>
  <si>
    <t>KRAV-AUTO-001199</t>
  </si>
  <si>
    <t>KRAV-AUTO-001200</t>
  </si>
  <si>
    <t>http://localhost:8787/api/admin/requirements/documents/cmm4yupge02lbcuqwya4f3wox/view</t>
  </si>
  <si>
    <t>KRAV-AUTO-001201</t>
  </si>
  <si>
    <t>cmm4yupge02lbcuqwya4f3wox</t>
  </si>
  <si>
    <t>KRAV-AUTO-001202</t>
  </si>
  <si>
    <t>KRAV-AUTO-001203</t>
  </si>
  <si>
    <t>http://localhost:8787/api/admin/requirements/documents/cmm4yupg802l5cuqwascfd0db/view</t>
  </si>
  <si>
    <t>KRAV-AUTO-001204</t>
  </si>
  <si>
    <t>cmm4yupg802l5cuqwascfd0db</t>
  </si>
  <si>
    <t>http://localhost:8787/api/admin/requirements/documents/cmm4yupg602l2cuqwycxhhu89/view</t>
  </si>
  <si>
    <t>KRAV-AUTO-001205</t>
  </si>
  <si>
    <t>cmm4yupg602l2cuqwycxhhu89</t>
  </si>
  <si>
    <t>http://localhost:8787/api/admin/requirements/documents/cmm4yupfm02khcuqwabq732ou/view</t>
  </si>
  <si>
    <t>KRAV-AUTO-001206</t>
  </si>
  <si>
    <t>ADMIN-INDEX-2026-02-27-00000000125C043F57453246863FE664CAFE6A3F0700950291EA24F0614FB6ACEDB12BF0E31D00000000010C0000950291EA24F0614FB6ACEDB12BF0E31D00002087AE8B0000</t>
  </si>
  <si>
    <t>cmm4yupfm02khcuqwabq732ou</t>
  </si>
  <si>
    <t>MMIL.2025.618_Sjögårdens entreprenad.pdf</t>
  </si>
  <si>
    <t>Buller Buller är en betydande störningskälla vid all avfallshantering.</t>
  </si>
  <si>
    <t>KRAV-AUTO-001207</t>
  </si>
  <si>
    <t>Provtagning av massor kommer att ske om risk för föroreningar finns och uppskattad volym är 2000 ton per år.</t>
  </si>
  <si>
    <t>KRAV-AUTO-001208</t>
  </si>
  <si>
    <t>Mängden inkommande aska och askans ursprung ska journalföras.</t>
  </si>
  <si>
    <t>http://localhost:8787/api/admin/requirements/documents/cmm4yupfk02kecuqwlf7agq1f/view</t>
  </si>
  <si>
    <t>KRAV-AUTO-001209</t>
  </si>
  <si>
    <t>cmm4yupfk02kecuqwlf7agq1f</t>
  </si>
  <si>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</si>
  <si>
    <t>KRAV-AUTO-001210</t>
  </si>
  <si>
    <t>Flytande kemiska produkter och flytande farligt avfall ska alltid förvaras inom invallat område som är beständigt mot det som förvaras där.</t>
  </si>
  <si>
    <t>KRAV-AUTO-001211</t>
  </si>
  <si>
    <t>Namn Sammansättning Användningsområde Mängd/år Beskriv var råvaror och kemiska produkter hanteras och förvaras (invallning m.m.) Enligt produktvalsprincipen i 2 kap.</t>
  </si>
  <si>
    <t>http://localhost:8787/api/admin/requirements/documents/cmm4yupfh02kbcuqwe2vxlwsg/view</t>
  </si>
  <si>
    <t>KRAV-AUTO-001212</t>
  </si>
  <si>
    <t>cmm4yupfh02kbcuqwe2vxlwsg</t>
  </si>
  <si>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</si>
  <si>
    <t>KRAV-AUTO-001213</t>
  </si>
  <si>
    <t>KRAV-AUTO-001214</t>
  </si>
  <si>
    <t>http://localhost:8787/api/admin/requirements/documents/cmm4yupfe02k8cuqw8vllvz05/view</t>
  </si>
  <si>
    <t>KRAV-AUTO-001215</t>
  </si>
  <si>
    <t>ADMIN-INDEX-2026-02-27-00000000125C043F57453246863FE664CAFE6A3F0700950291EA24F0614FB6ACEDB12BF0E31D00000000010C0000950291EA24F0614FB6ACEDB12BF0E31D00002087AE8C0000</t>
  </si>
  <si>
    <t>cmm4yupfe02k8cuqw8vllvz05</t>
  </si>
  <si>
    <t>KRAV-AUTO-001216</t>
  </si>
  <si>
    <t>KRAV-AUTO-001217</t>
  </si>
  <si>
    <t>http://localhost:8787/api/admin/requirements/documents/cmm4yupfc02k5cuqwbwnfgd47/view</t>
  </si>
  <si>
    <t>KRAV-AUTO-001218</t>
  </si>
  <si>
    <t>cmm4yupfc02k5cuqwbwnfgd47</t>
  </si>
  <si>
    <t>KRAV-AUTO-001219</t>
  </si>
  <si>
    <t>KRAV-AUTO-001220</t>
  </si>
  <si>
    <t>http://localhost:8787/api/admin/requirements/documents/cmm4yupfa02k2cuqwrchpe2vq/view</t>
  </si>
  <si>
    <t>KRAV-AUTO-001221</t>
  </si>
  <si>
    <t>cmm4yupfa02k2cuqwrchpe2vq</t>
  </si>
  <si>
    <t>KRAV-AUTO-001222</t>
  </si>
  <si>
    <t>KRAV-AUTO-001223</t>
  </si>
  <si>
    <t>http://localhost:8787/api/admin/requirements/documents/cmm4yupf702jzcuqwdksoalck/view</t>
  </si>
  <si>
    <t>KRAV-AUTO-001224</t>
  </si>
  <si>
    <t>ADMIN-INDEX-2026-02-27-00000000125C043F57453246863FE664CAFE6A3F0700950291EA24F0614FB6ACEDB12BF0E31D00000000010C0000950291EA24F0614FB6ACEDB12BF0E31D00002087AE8D0000</t>
  </si>
  <si>
    <t>cmm4yupf702jzcuqwdksoalck</t>
  </si>
  <si>
    <t>Samhällsbyggnadsnämnden i Söderköpings</t>
  </si>
  <si>
    <t>Samhällsbyggnadsnämnden i Söderköpings kommun</t>
  </si>
  <si>
    <t>SBF-2024-1814_2025-12-10_Beslut Miljöfarlig verksamhet.pdf</t>
  </si>
  <si>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</si>
  <si>
    <t>KRAV-AUTO-001225</t>
  </si>
  <si>
    <t>På Hjälmsborg placeras materialet bestående av sand, humusämnen och vatten i en grävd grop där sanden sedimenterar och en mindre mängd vattnet förs genom dike till befintlig lakvattendamm på Hjälmsborg.</t>
  </si>
  <si>
    <t>KRAV-AUTO-001226</t>
  </si>
  <si>
    <t>I yttrandet lyfter de att sedimentet ska klassas som avfall och rimligen ha avfallskod som börjar med 19 09.</t>
  </si>
  <si>
    <t>http://localhost:8787/api/admin/requirements/documents/cmm4yupf502jwcuqwqh47enkj/view</t>
  </si>
  <si>
    <t>KRAV-AUTO-001227</t>
  </si>
  <si>
    <t>cmm4yupf502jwcuqwqh47enkj</t>
  </si>
  <si>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</si>
  <si>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</si>
  <si>
    <t>http://localhost:8787/api/admin/requirements/documents/cmm4yupf202jtcuqw9e46am6p/view</t>
  </si>
  <si>
    <t>KRAV-AUTO-001228</t>
  </si>
  <si>
    <t>cmm4yupf202jtcuqw9e46am6p</t>
  </si>
  <si>
    <t>Länsstyrelsen konstaterar att det är olämpligt att lakvatten från andra verksamheter släpps till lakvattendammen som ska hantera lakvatten från Hjälmsborgs avfallsupplag.</t>
  </si>
  <si>
    <t>KRAV-AUTO-001229</t>
  </si>
  <si>
    <t>Länsstyrelsen finner utifrån dessa konstateranden att det är olämpligt att avfall tillförs till område kring Hjälmsborgs avfallsupplag.</t>
  </si>
  <si>
    <t>KRAV-AUTO-001230</t>
  </si>
  <si>
    <t>Det borde vara ett avfall som klassificeras med någon av avfallkoderna som börjar med 19 09, Avfall från framställning av dricksvatten eller vatten för industriändamål, i avfallsförordningen (2020:614).</t>
  </si>
  <si>
    <t>http://localhost:8787/api/admin/requirements/documents/cmm4yupeq02jhcuqw5d79d7bz/view</t>
  </si>
  <si>
    <t>KRAV-AUTO-001231</t>
  </si>
  <si>
    <t>cmm4yupeq02jhcuqw5d79d7bz</t>
  </si>
  <si>
    <t>Sedimentet planeras att läggas på Hjälmsborgs avfallsanläggning.</t>
  </si>
  <si>
    <t>http://localhost:8787/api/admin/requirements/documents/cmm4yuped02j2cuqwqeihzv48/view</t>
  </si>
  <si>
    <t>KRAV-AUTO-001232</t>
  </si>
  <si>
    <t>cmm4yuped02j2cuqwqeihzv48</t>
  </si>
  <si>
    <t>Dokument: SBF-2024-772_2024-04-11_Uppläggning av avfall_användning av avfall för anläggningsändamål - anmälan Braberg_Bortredigerad.pdf.</t>
  </si>
  <si>
    <t>http://localhost:8787/api/admin/requirements/documents/cmm4yupea02izcuqwdrmdlxqb/view</t>
  </si>
  <si>
    <t>KRAV-AUTO-001233</t>
  </si>
  <si>
    <t>ADMIN-INDEX-2026-02-27-00000000125C043F57453246863FE664CAFE6A3F0700950291EA24F0614FB6ACEDB12BF0E31D00000000010C0000950291EA24F0614FB6ACEDB12BF0E31D00002087AE8E0000</t>
  </si>
  <si>
    <t>cmm4yupea02izcuqwdrmdlxqb</t>
  </si>
  <si>
    <t>KRAV-AUTO-001234</t>
  </si>
  <si>
    <t>KRAV-AUTO-001235</t>
  </si>
  <si>
    <t>http://localhost:8787/api/admin/requirements/documents/cmm4yupe702iwcuqwdrx3d959/view</t>
  </si>
  <si>
    <t>KRAV-AUTO-001236</t>
  </si>
  <si>
    <t>cmm4yupe702iwcuqwdrx3d959</t>
  </si>
  <si>
    <t>http://localhost:8787/api/admin/requirements/documents/cmm4yupe402itcuqwq5rz911s/view</t>
  </si>
  <si>
    <t>KRAV-AUTO-001237</t>
  </si>
  <si>
    <t>cmm4yupe402itcuqwq5rz911s</t>
  </si>
  <si>
    <t>KRAV-AUTO-001238</t>
  </si>
  <si>
    <t>KRAV-AUTO-001239</t>
  </si>
  <si>
    <t>http://localhost:8787/api/admin/requirements/documents/cmm4yupdt02ihcuqw3df01afi/view</t>
  </si>
  <si>
    <t>KRAV-AUTO-001240</t>
  </si>
  <si>
    <t>cmm4yupdt02ihcuqw3df01afi</t>
  </si>
  <si>
    <t>http://localhost:8787/api/admin/requirements/documents/cmm4yupdf02i2cuqwt27kgzwo/view</t>
  </si>
  <si>
    <t>KRAV-AUTO-001241</t>
  </si>
  <si>
    <t>cmm4yupdf02i2cuqwt27kgzwo</t>
  </si>
  <si>
    <t>http://localhost:8787/api/admin/requirements/documents/cmm4yupcb02gzcuqwshitaoru/view</t>
  </si>
  <si>
    <t>KRAV-AUTO-001242</t>
  </si>
  <si>
    <t>ADMIN-INDEX-2026-02-27-00000000125C043F57453246863FE664CAFE6A3F0700950291EA24F0614FB6ACEDB12BF0E31D00000000010C0000950291EA24F0614FB6ACEDB12BF0E31D00002087AE910000</t>
  </si>
  <si>
    <t>cmm4yupcb02gzcuqwshitaoru</t>
  </si>
  <si>
    <t>Arvika</t>
  </si>
  <si>
    <t>Arvika kommun</t>
  </si>
  <si>
    <t>Mejl från Carl Zide.pdf</t>
  </si>
  <si>
    <t>Hur bör miljörisker för asfalt bedömas?</t>
  </si>
  <si>
    <t>KRAV-AUTO-001243</t>
  </si>
  <si>
    <t>Om jag får föreslå något så tycker jag att ni kan förelägga Glava Grävtjänst att ta kompletterande prover vid ankomst i enlighet med deras kontrollprogram.</t>
  </si>
  <si>
    <t>KRAV-AUTO-001244</t>
  </si>
  <si>
    <t>Man skulle också kunna förelägga Glava Grävtjänst att installera grundvattenrör inom 12 månader för att ytterligare förstärka miljökontrollen utöver provtagning i den kommande sedimentationsdammen.</t>
  </si>
  <si>
    <t>http://localhost:8787/api/admin/requirements/documents/cmm4yupc002gncuqwakbngv3p/view</t>
  </si>
  <si>
    <t>KRAV-AUTO-001245</t>
  </si>
  <si>
    <t>ADMIN-INDEX-2026-02-27-00000000125C043F57453246863FE664CAFE6A3F0700950291EA24F0614FB6ACEDB12BF0E31D00000000010C0000950291EA24F0614FB6ACEDB12BF0E31D00002087AE920000</t>
  </si>
  <si>
    <t>cmm4yupc002gncuqwakbngv3p</t>
  </si>
  <si>
    <t>KRAV-AUTO-001246</t>
  </si>
  <si>
    <t>KRAV-AUTO-001247</t>
  </si>
  <si>
    <t>http://localhost:8787/api/admin/requirements/documents/cmm4yupbv02ghcuqwpw1dt4la/view</t>
  </si>
  <si>
    <t>KRAV-AUTO-001248</t>
  </si>
  <si>
    <t>ADMIN-INDEX-2026-02-27-00000000125C043F57453246863FE664CAFE6A3F0700950291EA24F0614FB6ACEDB12BF0E31D00000000010C0000950291EA24F0614FB6ACEDB12BF0E31D00002087AE930000</t>
  </si>
  <si>
    <t>cmm4yupbv02ghcuqwpw1dt4la</t>
  </si>
  <si>
    <t>M_föreläggande om åtgärd (1).pdf</t>
  </si>
  <si>
    <t>Material som inte är klassat som fyllnadsmaterial eller annat godtagbart byggmaterial, samt oönskat eller miljömässigt olämpligt avfall, ska sorteras bort och lämnas till godkänd avfallsmottagare.</t>
  </si>
  <si>
    <t>KRAV-AUTO-001249</t>
  </si>
  <si>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</si>
  <si>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</si>
  <si>
    <t>KRAV-AUTO-001250</t>
  </si>
  <si>
    <t>Om hörbara toner förekommer ska de angivna värdena sänkas med 5 dB (A)-enheter 3.</t>
  </si>
  <si>
    <t>http://localhost:8787/api/admin/requirements/documents/cmm4yupbs02gecuqwfm8bzlev/view</t>
  </si>
  <si>
    <t>KRAV-AUTO-001251</t>
  </si>
  <si>
    <t>cmm4yupbs02gecuqwfm8bzlev</t>
  </si>
  <si>
    <t>• Förtydligande kring kontrollprogram Kontrollprogrammet behöver redogöra för: – hur spridning av föroreningar från det mellanlagrade materialet förebyggs i väntan på borttransport, – mängder av avfall som omhändertas, – transportör och mottagare.</t>
  </si>
  <si>
    <t>KRAV-AUTO-001252</t>
  </si>
  <si>
    <t>Minskar risken yƩerligare kopplat Ɵll dessa ämnen.</t>
  </si>
  <si>
    <t>KRAV-AUTO-001253</t>
  </si>
  <si>
    <t>När asfalt däremot ska tillföras en ny plats görs även bedömningar utifrån andra relevanta parametrar för att säkerställa att avfallet inte höjer föroreningsnivåerna i området.</t>
  </si>
  <si>
    <t>http://localhost:8787/api/admin/requirements/documents/cmm4yupbm02g8cuqwrkgykr8q/view</t>
  </si>
  <si>
    <t>KRAV-AUTO-001254</t>
  </si>
  <si>
    <t>cmm4yupbm02g8cuqwrkgykr8q</t>
  </si>
  <si>
    <t>Trafikverket skall inkomma med på kontrollprogram för borttransport av avfallet.</t>
  </si>
  <si>
    <t>KRAV-AUTO-001255</t>
  </si>
  <si>
    <t>Kontrollprogrammet skall redovisas för miljöenheten så snart som möjligt.</t>
  </si>
  <si>
    <t>KRAV-AUTO-001256</t>
  </si>
  <si>
    <t>Kontrollprogrammet ska redogöra hur skydd för människors hälsa ska säkerställas under borttransport.</t>
  </si>
  <si>
    <t>http://localhost:8787/api/admin/requirements/documents/cmm4yupbj02g5cuqw1olgu0d3/view</t>
  </si>
  <si>
    <t>KRAV-AUTO-001257</t>
  </si>
  <si>
    <t>cmm4yupbj02g5cuqw1olgu0d3</t>
  </si>
  <si>
    <t>Provtagning av avfallet ska utföras av ett ackrediterat laboratorium.</t>
  </si>
  <si>
    <t>KRAV-AUTO-001258</t>
  </si>
  <si>
    <t>Innan massorna används för anlaggningsandamal ska en undersökning/provtagning genomföras för att bedöma om avfallet är lämpligt för ändamålet.</t>
  </si>
  <si>
    <t>KRAV-AUTO-001259</t>
  </si>
  <si>
    <t>Den totala volymen angestill uppskattas mängd av dikes massor 2400 m?.</t>
  </si>
  <si>
    <t>http://localhost:8787/api/admin/requirements/documents/cmm4yupb102fncuqwxbftsmvu/view</t>
  </si>
  <si>
    <t>KRAV-AUTO-001260</t>
  </si>
  <si>
    <t>cmm4yupb102fncuqwxbftsmvu</t>
  </si>
  <si>
    <t>Vatten och avlopp bör delas in i processvatten, kylvatten, sanitärt vatten och dagvatten.</t>
  </si>
  <si>
    <t>KRAV-AUTO-001261</t>
  </si>
  <si>
    <t>överfyllnadsskydd, invallning, nederbördsskydd, påkörningsskydd, tätning av brunnar) och påfyllning (t.ex.</t>
  </si>
  <si>
    <t>KRAV-AUTO-001262</t>
  </si>
  <si>
    <t>överfyllnadsskydd, invallning, nederbördsskydd, påkörningsskydd, tätning av brunnar) och påfyllning, tankning (t.ex.</t>
  </si>
  <si>
    <t>http://localhost:8787/api/admin/requirements/documents/cmm4yupay02fkcuqwmo0pbztr/view</t>
  </si>
  <si>
    <t>KRAV-AUTO-001263</t>
  </si>
  <si>
    <t>cmm4yupay02fkcuqwmo0pbztr</t>
  </si>
  <si>
    <t>Men uppskattningsvis uppgår den totala mängden till ca 6 000 - 9 000 ton längsmed hela sträckan med nivåer under 70 mg/kg.</t>
  </si>
  <si>
    <t>http://localhost:8787/api/admin/requirements/documents/cmm4yupav02fhcuqwovwgv4qn/view</t>
  </si>
  <si>
    <t>KRAV-AUTO-001264</t>
  </si>
  <si>
    <t>cmm4yupav02fhcuqwovwgv4qn</t>
  </si>
  <si>
    <t>Genom att dessutom undvika områden som riskerar att översvämmas vid större nederbörd minskas risken för att materialet kommer i kontakt med vatten vid extrema händelser.</t>
  </si>
  <si>
    <t>KRAV-AUTO-001265</t>
  </si>
  <si>
    <t>Uppskattningsvis kommer det uppstå ca 1 000 ton asfalt med asfalt innehållandes PAH (70-300 mg/kg).</t>
  </si>
  <si>
    <t>http://localhost:8787/api/admin/requirements/documents/cmm4yupas02fecuqwvht0309b/view</t>
  </si>
  <si>
    <t>KRAV-AUTO-001266</t>
  </si>
  <si>
    <t>ADMIN-INDEX-2026-02-27-00000000125C043F57453246863FE664CAFE6A3F0700950291EA24F0614FB6ACEDB12BF0E31D00000000010C0000950291EA24F0614FB6ACEDB12BF0E31D00002087AE940000</t>
  </si>
  <si>
    <t>cmm4yupas02fecuqwvht0309b</t>
  </si>
  <si>
    <t>KRAV-AUTO-001267</t>
  </si>
  <si>
    <t>KRAV-AUTO-001268</t>
  </si>
  <si>
    <t>http://localhost:8787/api/admin/requirements/documents/cmm4yupap02fbcuqwxkz3waw5/view</t>
  </si>
  <si>
    <t>KRAV-AUTO-001269</t>
  </si>
  <si>
    <t>cmm4yupap02fbcuqwxkz3waw5</t>
  </si>
  <si>
    <t>KRAV-AUTO-001270</t>
  </si>
  <si>
    <t>KRAV-AUTO-001271</t>
  </si>
  <si>
    <t>http://localhost:8787/api/admin/requirements/documents/cmm4yupaj02f5cuqwpcaiatbu/view</t>
  </si>
  <si>
    <t>KRAV-AUTO-001272</t>
  </si>
  <si>
    <t>cmm4yupaj02f5cuqwpcaiatbu</t>
  </si>
  <si>
    <t>KRAV-AUTO-001273</t>
  </si>
  <si>
    <t>KRAV-AUTO-001274</t>
  </si>
  <si>
    <t>http://localhost:8787/api/admin/requirements/documents/cmm4yupag02f2cuqwwal5yomp/view</t>
  </si>
  <si>
    <t>KRAV-AUTO-001275</t>
  </si>
  <si>
    <t>cmm4yupag02f2cuqwwal5yomp</t>
  </si>
  <si>
    <t>KRAV-AUTO-001276</t>
  </si>
  <si>
    <t>KRAV-AUTO-001277</t>
  </si>
  <si>
    <t>http://localhost:8787/api/admin/requirements/documents/cmm4yup9x02ekcuqwg6b1mlba/view</t>
  </si>
  <si>
    <t>KRAV-AUTO-001278</t>
  </si>
  <si>
    <t>cmm4yup9x02ekcuqwg6b1mlba</t>
  </si>
  <si>
    <t>KRAV-AUTO-001279</t>
  </si>
  <si>
    <t>KRAV-AUTO-001280</t>
  </si>
  <si>
    <t>http://localhost:8787/api/admin/requirements/documents/cmm4yup9v02ehcuqweb1zfsae/view</t>
  </si>
  <si>
    <t>KRAV-AUTO-001281</t>
  </si>
  <si>
    <t>cmm4yup9v02ehcuqweb1zfsae</t>
  </si>
  <si>
    <t>http://localhost:8787/api/admin/requirements/documents/cmm4yup9s02eecuqw2n1gyw4i/view</t>
  </si>
  <si>
    <t>KRAV-AUTO-001282</t>
  </si>
  <si>
    <t>cmm4yup9s02eecuqw2n1gyw4i</t>
  </si>
  <si>
    <t>KRAV-AUTO-001283</t>
  </si>
  <si>
    <t>http://localhost:8787/api/admin/requirements/documents/cmm4yup9e02dzcuqwruoclys2/view</t>
  </si>
  <si>
    <t>KRAV-AUTO-001284</t>
  </si>
  <si>
    <t>ADMIN-INDEX-2026-02-27-00000000125C043F57453246863FE664CAFE6A3F0700950291EA24F0614FB6ACEDB12BF0E31D00000000010C0000950291EA24F0614FB6ACEDB12BF0E31D00002087AE970000</t>
  </si>
  <si>
    <t>cmm4yup9e02dzcuqwruoclys2</t>
  </si>
  <si>
    <t>Herrljunga</t>
  </si>
  <si>
    <t>Herrljunga kommun</t>
  </si>
  <si>
    <t>M-2025-408_1_Re_anm.pdf</t>
  </si>
  <si>
    <t>Och att det inte är tänkt att ni ska mellanlagra något avfall eller genomföra någon krossning eller annan verksamhet på den nya ytan, utan enbart lagring av obehandlat virke.</t>
  </si>
  <si>
    <t>http://localhost:8787/api/admin/requirements/documents/cmm4yup8u02dhcuqwwwmhavgp/view</t>
  </si>
  <si>
    <t>KRAV-AUTO-001285</t>
  </si>
  <si>
    <t>ADMIN-INDEX-2026-02-27-00000000125C043F57453246863FE664CAFE6A3F0700950291EA24F0614FB6ACEDB12BF0E31D00000000010C0000950291EA24F0614FB6ACEDB12BF0E31D00002087AE980000</t>
  </si>
  <si>
    <t>cmm4yup8u02dhcuqwwwmhavgp</t>
  </si>
  <si>
    <t>http://localhost:8787/api/admin/requirements/documents/cmm4yup8m02d8cuqw8v4usph0/view</t>
  </si>
  <si>
    <t>KRAV-AUTO-001286</t>
  </si>
  <si>
    <t>ADMIN-INDEX-2026-02-27-00000000125C043F57453246863FE664CAFE6A3F0700950291EA24F0614FB6ACEDB12BF0E31D00000000010C0000950291EA24F0614FB6ACEDB12BF0E31D00002087AE990000</t>
  </si>
  <si>
    <t>cmm4yup8m02d8cuqw8v4usph0</t>
  </si>
  <si>
    <t>org nr Söderköpings</t>
  </si>
  <si>
    <t>org nr Söderköpings kommun</t>
  </si>
  <si>
    <t>SBF-2024-273_2024-03-25_Beslut Miljöfarlig verksamhet.pdf</t>
  </si>
  <si>
    <t>Flytande kemikalier och flytande farligt avfall ska förvaras skyddat från nederbörd och inom invallning.</t>
  </si>
  <si>
    <t>KRAV-AUTO-001287</t>
  </si>
  <si>
    <t>Invallningens konstruktionsmaterial ska vara ogenomsläppligt för den aktuella produkten.</t>
  </si>
  <si>
    <t>KRAV-AUTO-001288</t>
  </si>
  <si>
    <t>Dagvattenbrunnarna ska skötas enligt tillverkarens instruktioner och utrustning för att kunna täta brunnar ska finnas på plats.</t>
  </si>
  <si>
    <t>http://localhost:8787/api/admin/requirements/documents/cmm4yup8502cqcuqwiwmbixv7/view</t>
  </si>
  <si>
    <t>KRAV-AUTO-001289</t>
  </si>
  <si>
    <t>cmm4yup8502cqcuqwiwmbixv7</t>
  </si>
  <si>
    <t>I egenkontrollprogrammet ska rutiner för regelbunden kontroll av dagvattenhanteringens syfte och funktion finnas.</t>
  </si>
  <si>
    <t>KRAV-AUTO-001290</t>
  </si>
  <si>
    <t>Hanteringen av matavfall skall ske i fack med skyddande sidor och tak som förhindrar skadedjur.</t>
  </si>
  <si>
    <t>KRAV-AUTO-001291</t>
  </si>
  <si>
    <t>Avfall som omlastats ska klassificeras journalföras.</t>
  </si>
  <si>
    <t>http://localhost:8787/api/admin/requirements/documents/cmm4yup7y02ckcuqwwg4ekuuf/view</t>
  </si>
  <si>
    <t>KRAV-AUTO-001292</t>
  </si>
  <si>
    <t>cmm4yup7y02ckcuqwwg4ekuuf</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</si>
  <si>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</si>
  <si>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</si>
  <si>
    <t>http://localhost:8787/api/admin/requirements/documents/cmm4yup7h02c2cuqwyq79ps8k/view</t>
  </si>
  <si>
    <t>KRAV-AUTO-001293</t>
  </si>
  <si>
    <t>ADMIN-INDEX-2026-02-27-00000000125C043F57453246863FE664CAFE6A3F0700950291EA24F0614FB6ACEDB12BF0E31D00000000010C0000950291EA24F0614FB6ACEDB12BF0E31D00002087AE9A0000</t>
  </si>
  <si>
    <t>cmm4yup7h02c2cuqwyq79ps8k</t>
  </si>
  <si>
    <t>KRAV-AUTO-001294</t>
  </si>
  <si>
    <t>KRAV-AUTO-001295</t>
  </si>
  <si>
    <t>http://localhost:8787/api/admin/requirements/documents/cmm4yup6z02bkcuqwgs2ahase/view</t>
  </si>
  <si>
    <t>KRAV-AUTO-001296</t>
  </si>
  <si>
    <t>cmm4yup6z02bkcuqwgs2ahase</t>
  </si>
  <si>
    <t>KRAV-AUTO-001297</t>
  </si>
  <si>
    <t>KRAV-AUTO-001298</t>
  </si>
  <si>
    <t>http://localhost:8787/api/admin/requirements/documents/cmm4yup6u02becuqwjn5oxx2d/view</t>
  </si>
  <si>
    <t>KRAV-AUTO-001299</t>
  </si>
  <si>
    <t>cmm4yup6u02becuqwjn5oxx2d</t>
  </si>
  <si>
    <t>http://localhost:8787/api/admin/requirements/documents/cmm4yup6002ahcuqwiwhrtr3f/view</t>
  </si>
  <si>
    <t>KRAV-AUTO-001300</t>
  </si>
  <si>
    <t>ADMIN-INDEX-2026-02-27-00000000125C043F57453246863FE664CAFE6A3F0700950291EA24F0614FB6ACEDB12BF0E31D00000000010C0000950291EA24F0614FB6ACEDB12BF0E31D00002087AE9D0000</t>
  </si>
  <si>
    <t>cmm4yup6002ahcuqwiwhrtr3f</t>
  </si>
  <si>
    <t>pdf Hedemora</t>
  </si>
  <si>
    <t>pdf Hedemora kommun</t>
  </si>
  <si>
    <t>MB-2024-448-427-INFOR-Brev-2024-06-24-.pdf</t>
  </si>
  <si>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</si>
  <si>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</si>
  <si>
    <t>http://localhost:8787/api/admin/requirements/documents/cmm4yup5x02aecuqwxb56oqab/view</t>
  </si>
  <si>
    <t>KRAV-AUTO-001301</t>
  </si>
  <si>
    <t>cmm4yup5x02aecuqwxb56oqab</t>
  </si>
  <si>
    <t>-- 2 of 4 -- Hedemora kommun Datum 2024-08-28 Diarienummer MB-2024-448-427 Sida 3(4) En plats där avfall lagras klassificeras dock inte som en deponi om lagringstiden är kortare än tre år innan avfallet återvinns, eller kortare än ett år innan avfallet bortskaffas.</t>
  </si>
  <si>
    <t>KRAV-AUTO-001302</t>
  </si>
  <si>
    <t>Där anges att anmälningsplikt C gäller vid lagring av avfall, som ska användas till annat än i byggnads- eller anläggningsändamål, om mängden vid något tillfälle är mer än 10 ton men högst 10 000 ton.</t>
  </si>
  <si>
    <t>KRAV-AUTO-001303</t>
  </si>
  <si>
    <t>Det ska finnas rutiner som säkerställer att verksamhetsutövaren utför regelbunden tillsyn av lagret under hela lagringstiden för att kunna upptäcka och åtgärda eventuell spridning av lukt eller läckage som riskerar innebära olägenhet för närboende eller miljön.</t>
  </si>
  <si>
    <t>http://localhost:8787/api/admin/requirements/documents/cmm4yup5r02a8cuqwphvfys2q/view</t>
  </si>
  <si>
    <t>KRAV-AUTO-001304</t>
  </si>
  <si>
    <t>cmm4yup5r02a8cuqwphvfys2q</t>
  </si>
  <si>
    <t>Det fiber- och bioslammet kommer endast från kartongbruket och ska provtas under mellanlagringen.</t>
  </si>
  <si>
    <t>KRAV-AUTO-001305</t>
  </si>
  <si>
    <t>Enligt verksamhetsutövaren ska de inte göra någon aktiv behandling av massorna förutom provtagningen.</t>
  </si>
  <si>
    <t>KRAV-AUTO-001306</t>
  </si>
  <si>
    <t>Från: Zoltan Csaba Fazekas Skickat: den 8 juli 2024 09:54 Till: kundtjanst@naturvardsverket.se Ämne: vägledning om avfall (fiberslam) Hej, Jag skulle uppskatta om ni kunde ge oss er syn på vår bedömning i detta aktuella ärende.</t>
  </si>
  <si>
    <t>http://localhost:8787/api/admin/requirements/documents/cmm4yup5o02a5cuqw1kze60is/view</t>
  </si>
  <si>
    <t>KRAV-AUTO-001307</t>
  </si>
  <si>
    <t>cmm4yup5o02a5cuqw1kze60is</t>
  </si>
  <si>
    <t>Hur en sådan bedömning avfall/biprodukt ska göras kan du läsa mer om här: Avfall eller biprodukt (naturvardsverket.se) I vårt svar nedan utgår vi ifrån att det är klarlagt att restprodukten klassas som avfall redan när den uppkommer hos VU (kartongbruket i detta fall).</t>
  </si>
  <si>
    <t>KRAV-AUTO-001308</t>
  </si>
  <si>
    <t>Det finns olika förfaranden för att återvinna avfall som ska spridas på jordbruksmark.</t>
  </si>
  <si>
    <t>KRAV-AUTO-001309</t>
  </si>
  <si>
    <t>Bedömningen av om en restprodukt är avfall eller biprodukt ska alltid göras där den uppkommer.</t>
  </si>
  <si>
    <t>http://localhost:8787/api/admin/requirements/documents/cmm4yup5l02a2cuqw1g5z2d32/view</t>
  </si>
  <si>
    <t>KRAV-AUTO-001310</t>
  </si>
  <si>
    <t>cmm4yup5l02a2cuqw1g5z2d32</t>
  </si>
  <si>
    <t>Om ni minskar mängden avfall som ni planerar att återanvända till högst 500 ton per år, kan ni i stället inkomma med en anmälan om miljöfarlig verksamhet till kommunen i enlighet med MPF.</t>
  </si>
  <si>
    <t>KRAV-AUTO-001311</t>
  </si>
  <si>
    <t>Om fabriken klassar materialet som avfall, måste ni lämna in en ansökan om tillstånd (på grund av mängden) till Länsstyrelsen enligt ovanstående punkter innan spridningen kan ske.</t>
  </si>
  <si>
    <t>KRAV-AUTO-001312</t>
  </si>
  <si>
    <t>Om materialet klassas som avfall måste det genomgå en återvinningsprocess innan det kan upphöra att vara avfall.</t>
  </si>
  <si>
    <t>http://localhost:8787/api/admin/requirements/documents/cmm4yup5i029zcuqwfyamahvj/view</t>
  </si>
  <si>
    <t>KRAV-AUTO-001313</t>
  </si>
  <si>
    <t>cmm4yup5i029zcuqwfyamahvj</t>
  </si>
  <si>
    <t>KRAV-AUTO-001314</t>
  </si>
  <si>
    <t>-- 1 of 4 -- Datum 2024-10-24 Diarienummer MB-2024-448-427 Sida 2(4) Naturvårdsverket meddelade sin vägledning i ärendet den 2 oktober 2024 och angav i sitt utlåtande att det först måste avgöras om materialet (bioslammet) är att betrakta som avfall eller inte.</t>
  </si>
  <si>
    <t>http://localhost:8787/api/admin/requirements/documents/cmm4yup4g028wcuqwvkyh7z8q/view</t>
  </si>
  <si>
    <t>KRAV-AUTO-001315</t>
  </si>
  <si>
    <t>cmm4yup4g028wcuqwvkyh7z8q</t>
  </si>
  <si>
    <t> Om mellanlagring sker uppfylls förutsättningarna för att vi ska utföra årlig tillsyn och debitera tillsynsavgift enligt gällande bestämmelser.</t>
  </si>
  <si>
    <t>http://localhost:8787/api/admin/requirements/documents/cmm4yup4d028tcuqw148165jj/view</t>
  </si>
  <si>
    <t>KRAV-AUTO-001316</t>
  </si>
  <si>
    <t>cmm4yup4d028tcuqw148165jj</t>
  </si>
  <si>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</si>
  <si>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</si>
  <si>
    <t>http://localhost:8787/api/admin/requirements/documents/cmm4yup3u0288cuqw1esiotxe/view</t>
  </si>
  <si>
    <t>KRAV-AUTO-001317</t>
  </si>
  <si>
    <t>ADMIN-INDEX-2026-02-27-00000000125C043F57453246863FE664CAFE6A3F0700950291EA24F0614FB6ACEDB12BF0E31D00000000010C0000950291EA24F0614FB6ACEDB12BF0E31D00002087AE9E0000</t>
  </si>
  <si>
    <t>cmm4yup3u0288cuqw1esiotxe</t>
  </si>
  <si>
    <t>http://localhost:8787/api/admin/requirements/documents/cmm4yup3r0285cuqwmilc3d3i/view</t>
  </si>
  <si>
    <t>KRAV-AUTO-001318</t>
  </si>
  <si>
    <t>cmm4yup3r0285cuqwmilc3d3i</t>
  </si>
  <si>
    <t>KRAV-AUTO-001319</t>
  </si>
  <si>
    <t>KRAV-AUTO-001320</t>
  </si>
  <si>
    <t>http://localhost:8787/api/admin/requirements/documents/cmm4yup3m027zcuqwmc6drse4/view</t>
  </si>
  <si>
    <t>KRAV-AUTO-001321</t>
  </si>
  <si>
    <t>cmm4yup3m027zcuqwmc6drse4</t>
  </si>
  <si>
    <t>KRAV-AUTO-001322</t>
  </si>
  <si>
    <t>KRAV-AUTO-001323</t>
  </si>
  <si>
    <t>http://localhost:8787/api/admin/requirements/documents/cmm4yup3j027wcuqwzjrqsf6l/view</t>
  </si>
  <si>
    <t>KRAV-AUTO-001324</t>
  </si>
  <si>
    <t>cmm4yup3j027wcuqwzjrqsf6l</t>
  </si>
  <si>
    <t>KRAV-AUTO-001325</t>
  </si>
  <si>
    <t>KRAV-AUTO-001326</t>
  </si>
  <si>
    <t>http://localhost:8787/api/admin/requirements/documents/cmm4yup3g027tcuqwgr4m64mr/view</t>
  </si>
  <si>
    <t>KRAV-AUTO-001327</t>
  </si>
  <si>
    <t>cmm4yup3g027tcuqwgr4m64mr</t>
  </si>
  <si>
    <t>KRAV-AUTO-001328</t>
  </si>
  <si>
    <t>KRAV-AUTO-001329</t>
  </si>
  <si>
    <t>http://localhost:8787/api/admin/requirements/documents/cmm4yup3d027qcuqwc2wjq7cw/view</t>
  </si>
  <si>
    <t>KRAV-AUTO-001330</t>
  </si>
  <si>
    <t>cmm4yup3d027qcuqwc2wjq7cw</t>
  </si>
  <si>
    <t>KRAV-AUTO-001331</t>
  </si>
  <si>
    <t>http://localhost:8787/api/admin/requirements/documents/cmm4yup2b026ncuqwob4unnxv/view</t>
  </si>
  <si>
    <t>KRAV-AUTO-001332</t>
  </si>
  <si>
    <t>cmm4yup2b026ncuqwob4unnxv</t>
  </si>
  <si>
    <t>http://localhost:8787/api/admin/requirements/documents/cmm4yup28026kcuqw4bd1zte7/view</t>
  </si>
  <si>
    <t>KRAV-AUTO-001333</t>
  </si>
  <si>
    <t>cmm4yup28026kcuqw4bd1zte7</t>
  </si>
  <si>
    <t>http://localhost:8787/api/admin/requirements/documents/cmm4yup18025hcuqw7tz859cf/view</t>
  </si>
  <si>
    <t>KRAV-AUTO-001334</t>
  </si>
  <si>
    <t>ADMIN-INDEX-2026-02-27-00000000125C043F57453246863FE664CAFE6A3F0700950291EA24F0614FB6ACEDB12BF0E31D00000000010C0000950291EA24F0614FB6ACEDB12BF0E31D00002087AE9F0000</t>
  </si>
  <si>
    <t>cmm4yup18025hcuqw7tz859cf</t>
  </si>
  <si>
    <t>SBF-2024-170_2024-01-23_Anmälan_Bortredigerad.pdf</t>
  </si>
  <si>
    <t>För att kunna återfylla marken krävs motsvarande mängd material som är uttaget i from av berg och grus.</t>
  </si>
  <si>
    <t>KRAV-AUTO-001335</t>
  </si>
  <si>
    <t>AvvecklingEfterbehandling</t>
  </si>
  <si>
    <t>Atgardsplan</t>
  </si>
  <si>
    <t>Hur ska avfallet användas?* Syftet är att återskapa jordbruksmarken (åker) efter uttag av tidigare grustäkt 1986-96 samt efterbehandling i avslutad del i bergtäkt.</t>
  </si>
  <si>
    <t>http://localhost:8787/api/admin/requirements/documents/cmm4yuozq023zcuqwbms4qd54/view</t>
  </si>
  <si>
    <t>KRAV-AUTO-001336</t>
  </si>
  <si>
    <t>ADMIN-INDEX-2026-02-27-00000000125C043F57453246863FE664CAFE6A3F0700950291EA24F0614FB6ACEDB12BF0E31D00000000010C0000950291EA24F0614FB6ACEDB12BF0E31D00002087AEA00000</t>
  </si>
  <si>
    <t>cmm4yuozq023zcuqwbms4qd54</t>
  </si>
  <si>
    <t>Söderköping Miljökontoret Söderköpings</t>
  </si>
  <si>
    <t>Söderköping Miljökontoret Söderköpings kommun</t>
  </si>
  <si>
    <t>KRAV-AUTO-001337</t>
  </si>
  <si>
    <t>http://localhost:8787/api/admin/requirements/documents/cmm4yuoza023hcuqwb3u72dej/view</t>
  </si>
  <si>
    <t>KRAV-AUTO-001338</t>
  </si>
  <si>
    <t>ADMIN-INDEX-2026-02-27-00000000125C043F57453246863FE664CAFE6A3F0700950291EA24F0614FB6ACEDB12BF0E31D00000000010C0000950291EA24F0614FB6ACEDB12BF0E31D00002087AEA50000</t>
  </si>
  <si>
    <t>cmm4yuoza023hcuqwb3u72dej</t>
  </si>
  <si>
    <t>Sjöbo</t>
  </si>
  <si>
    <t>Sjöbo kommun</t>
  </si>
  <si>
    <t>MILSK202515_2026-02-03.pdf</t>
  </si>
  <si>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</si>
  <si>
    <t>KRAV-AUTO-001339</t>
  </si>
  <si>
    <t>Avgörande för bedömningen blir då den ursprungskontroll från avfallslämnaren som ska finnas för massorna samt den rutin för mottagningskontroll och provtagning som upprättas inom ramen för egenkontrollen.</t>
  </si>
  <si>
    <t>KRAV-AUTO-001340</t>
  </si>
  <si>
    <t>http://localhost:8787/api/admin/requirements/documents/cmm4yuoz7023ecuqwts8ahjo8/view</t>
  </si>
  <si>
    <t>KRAV-AUTO-001341</t>
  </si>
  <si>
    <t>cmm4yuoz7023ecuqwts8ahjo8</t>
  </si>
  <si>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</si>
  <si>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</si>
  <si>
    <t>KRAV-AUTO-001342</t>
  </si>
  <si>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</si>
  <si>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</si>
  <si>
    <t>KRAV-AUTO-001343</t>
  </si>
  <si>
    <t>I tillägg till detta ska betong alltid vara provtaget med avseende på krom VI.</t>
  </si>
  <si>
    <t>http://localhost:8787/api/admin/requirements/documents/cmm4yuoz5023bcuqwrwyuuhmu/view</t>
  </si>
  <si>
    <t>KRAV-AUTO-001344</t>
  </si>
  <si>
    <t>cmm4yuoz5023bcuqwrwyuuhmu</t>
  </si>
  <si>
    <t>- Risken att vattenbrunnar och vattendrag skall påverkas är ringa då lagringsytan är utrustad med hårdgjord och tät yta, samt lakvattenhantering.</t>
  </si>
  <si>
    <t>KRAV-AUTO-001345</t>
  </si>
  <si>
    <t>Slammet ska lagras på hårdgjorda, täta ytor med uppsamling av lakvatten vilket minskar risken för förorening av grundvatten och vattendrag.</t>
  </si>
  <si>
    <t>KRAV-AUTO-001346</t>
  </si>
  <si>
    <t>Lagringsytan består av en plansilo på ca 750 m2, en gödselplatta på ca 400 m2 och en betongbrunn med lagringskapacitet på ca 1680 m3.</t>
  </si>
  <si>
    <t>http://localhost:8787/api/admin/requirements/documents/cmm4yuoz20238cuqwjhvj6yt3/view</t>
  </si>
  <si>
    <t>KRAV-AUTO-001347</t>
  </si>
  <si>
    <t>cmm4yuoz20238cuqwjhvj6yt3</t>
  </si>
  <si>
    <t>På asfaltskanterna längst med plattan läggs jordvallar för att förhindra att slam placeras utanför plattan vid tippning.</t>
  </si>
  <si>
    <t>KRAV-AUTO-001348</t>
  </si>
  <si>
    <t>I föreläggandet anges att föroreningshalter i de massor som tillförs fastigheten Assmåsa 5:68 ska vara under riktvärden för mindre än ringa risk (MRR) enligt Naturvårdsverkets handbok 2010:1.</t>
  </si>
  <si>
    <t>KRAV-AUTO-001349</t>
  </si>
  <si>
    <t>Vidare anges det i anmälan att provtagning ska utföras före mottagandet av massorna.</t>
  </si>
  <si>
    <t>http://localhost:8787/api/admin/requirements/documents/cmm4yuoz00235cuqwtom7ivky/view</t>
  </si>
  <si>
    <t>KRAV-AUTO-001350</t>
  </si>
  <si>
    <t>cmm4yuoz00235cuqwtom7ivky</t>
  </si>
  <si>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</si>
  <si>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</si>
  <si>
    <t>KRAV-AUTO-001351</t>
  </si>
  <si>
    <t>KRAV-AUTO-001352</t>
  </si>
  <si>
    <t>http://localhost:8787/api/admin/requirements/documents/cmm4yuoyx0232cuqwbrf7i0qf/view</t>
  </si>
  <si>
    <t>KRAV-AUTO-001353</t>
  </si>
  <si>
    <t>ADMIN-INDEX-2026-02-27-00000000125C043F57453246863FE664CAFE6A3F0700950291EA24F0614FB6ACEDB12BF0E31D00000000010C0000950291EA24F0614FB6ACEDB12BF0E31D00002087AEA60000</t>
  </si>
  <si>
    <t>cmm4yuoyx0232cuqwbrf7i0qf</t>
  </si>
  <si>
    <t>KRAV-AUTO-001354</t>
  </si>
  <si>
    <t>KRAV-AUTO-001355</t>
  </si>
  <si>
    <t>http://localhost:8787/api/admin/requirements/documents/cmm4yuoyt022zcuqwqomedd43/view</t>
  </si>
  <si>
    <t>KRAV-AUTO-001356</t>
  </si>
  <si>
    <t>cmm4yuoyt022zcuqwqomedd43</t>
  </si>
  <si>
    <t>KRAV-AUTO-001357</t>
  </si>
  <si>
    <t>KRAV-AUTO-001358</t>
  </si>
  <si>
    <t>http://localhost:8787/api/admin/requirements/documents/cmm4yuoyq022wcuqwzoddog8c/view</t>
  </si>
  <si>
    <t>KRAV-AUTO-001359</t>
  </si>
  <si>
    <t>cmm4yuoyq022wcuqwzoddog8c</t>
  </si>
  <si>
    <t>KRAV-AUTO-001360</t>
  </si>
  <si>
    <t>KRAV-AUTO-001361</t>
  </si>
  <si>
    <t>http://localhost:8787/api/admin/requirements/documents/cmm4yuoyn022tcuqw3p56hhv3/view</t>
  </si>
  <si>
    <t>KRAV-AUTO-001362</t>
  </si>
  <si>
    <t>cmm4yuoyn022tcuqw3p56hhv3</t>
  </si>
  <si>
    <t>KRAV-AUTO-001363</t>
  </si>
  <si>
    <t>KRAV-AUTO-001364</t>
  </si>
  <si>
    <t>http://localhost:8787/api/admin/requirements/documents/cmm4yuoyk022qcuqwgzazw7b3/view</t>
  </si>
  <si>
    <t>KRAV-AUTO-001365</t>
  </si>
  <si>
    <t>cmm4yuoyk022qcuqwgzazw7b3</t>
  </si>
  <si>
    <t>KRAV-AUTO-001366</t>
  </si>
  <si>
    <t>KRAV-AUTO-001367</t>
  </si>
  <si>
    <t>http://localhost:8787/api/admin/requirements/documents/cmm4yuoyg022ncuqwyg9r5cay/view</t>
  </si>
  <si>
    <t>KRAV-AUTO-001368</t>
  </si>
  <si>
    <t>ADMIN-INDEX-2026-02-27-00000000125C043F57453246863FE664CAFE6A3F0700950291EA24F0614FB6ACEDB12BF0E31D00000000010C0000950291EA24F0614FB6ACEDB12BF0E31D00002087AEB10000</t>
  </si>
  <si>
    <t>cmm4yuoyg022ncuqwyg9r5cay</t>
  </si>
  <si>
    <t>Postadress Enköpings</t>
  </si>
  <si>
    <t>Postadress Enköpings kommun</t>
  </si>
  <si>
    <t>MIL20252277pdf_976576.pdf</t>
  </si>
  <si>
    <t>Lagring av bränsle, oljor, kemiska produkter ska ske på tät, invallad yta som är beständig mot den kemiska produkt som lagras, samt skyddas mot nederbörd.</t>
  </si>
  <si>
    <t>KRAV-AUTO-001369</t>
  </si>
  <si>
    <t>Verksamheten ska bedrivas så att risken för störande damning, lukt och nedskräpning minimeras.</t>
  </si>
  <si>
    <t>http://localhost:8787/api/admin/requirements/documents/cmm4yuoyd022kcuqwijfyy8sn/view</t>
  </si>
  <si>
    <t>KRAV-AUTO-001370</t>
  </si>
  <si>
    <t>cmm4yuoyd022kcuqwijfyy8sn</t>
  </si>
  <si>
    <t>KRAV-AUTO-001371</t>
  </si>
  <si>
    <t>Flytande kemiska produkter och farligt avfall ska förvaras inom invallat område.</t>
  </si>
  <si>
    <t>KRAV-AUTO-001372</t>
  </si>
  <si>
    <t>Invallningar ska dimensioneras så att de rymmer största behållarens volym och minst 10 % av övrig lagrad volym.</t>
  </si>
  <si>
    <t>http://localhost:8787/api/admin/requirements/documents/cmm4yuoyb022hcuqwjk4jods4/view</t>
  </si>
  <si>
    <t>KRAV-AUTO-001373</t>
  </si>
  <si>
    <t>ADMIN-INDEX-2026-02-27-00000000125C043F57453246863FE664CAFE6A3F0700950291EA24F0614FB6ACEDB12BF0E31D00000000010C0000950291EA24F0614FB6ACEDB12BF0E31D00002087AEB20000</t>
  </si>
  <si>
    <t>cmm4yuoyb022hcuqwjk4jods4</t>
  </si>
  <si>
    <t>KRAV-AUTO-001374</t>
  </si>
  <si>
    <t>http://localhost:8787/api/admin/requirements/documents/cmm4yuoy8022ecuqwprnljkk2/view</t>
  </si>
  <si>
    <t>KRAV-AUTO-001375</t>
  </si>
  <si>
    <t>cmm4yuoy8022ecuqwprnljkk2</t>
  </si>
  <si>
    <t>KRAV-AUTO-001376</t>
  </si>
  <si>
    <t>KRAV-AUTO-001377</t>
  </si>
  <si>
    <t>http://localhost:8787/api/admin/requirements/documents/cmm4yuoy5022bcuqw0e9yl7q6/view</t>
  </si>
  <si>
    <t>KRAV-AUTO-001378</t>
  </si>
  <si>
    <t>ADMIN-INDEX-2026-02-27-00000000125C043F57453246863FE664CAFE6A3F0700950291EA24F0614FB6ACEDB12BF0E31D00000000010C0000950291EA24F0614FB6ACEDB12BF0E31D00002087AEB30000</t>
  </si>
  <si>
    <t>cmm4yuoy5022bcuqw0e9yl7q6</t>
  </si>
  <si>
    <t>Besöksadress Telefon E-post Webb Tranås</t>
  </si>
  <si>
    <t>Besöksadress Telefon E-post Webb Tranås kommun</t>
  </si>
  <si>
    <t>M-2024-659-Föreläggande enligt miljöbalken(1).pdf</t>
  </si>
  <si>
    <t>Flytande kemiska produkter och flytande farligt avfall ska förvaras invallat.</t>
  </si>
  <si>
    <t>KRAV-AUTO-001379</t>
  </si>
  <si>
    <t>Hela volymen ska rymmas inom invallningen för att, vid ett ev.</t>
  </si>
  <si>
    <t>KRAV-AUTO-001380</t>
  </si>
  <si>
    <t>Lagring av farligt avfall samt lagring av kemiska produkter ska ske under tak på tät hårdgjord yta.</t>
  </si>
  <si>
    <t>http://localhost:8787/api/admin/requirements/documents/cmm4yuoy00225cuqwos2bokkk/view</t>
  </si>
  <si>
    <t>KRAV-AUTO-001381</t>
  </si>
  <si>
    <t>cmm4yuoy00225cuqwos2bokkk</t>
  </si>
  <si>
    <t>Flytande kemiska produkter och farligt avfall ska förvaras på tät invallad yta.</t>
  </si>
  <si>
    <t>KRAV-AUTO-001382</t>
  </si>
  <si>
    <t>Redan risken för olägenhet räcker för att åtgärder skall vidtas.</t>
  </si>
  <si>
    <t>KRAV-AUTO-001383</t>
  </si>
  <si>
    <t>http://localhost:8787/api/admin/requirements/documents/cmm4yuoxr021wcuqwznxdk5x2/view</t>
  </si>
  <si>
    <t>KRAV-AUTO-001384</t>
  </si>
  <si>
    <t>cmm4yuoxr021wcuqwznxdk5x2</t>
  </si>
  <si>
    <t>KRAV-AUTO-001385</t>
  </si>
  <si>
    <t>Ni kommer att mellanlagra askan inför spridning på skogsmark.</t>
  </si>
  <si>
    <t>KRAV-AUTO-001386</t>
  </si>
  <si>
    <t>Anmälan gäller lagring av aska, maximalt 6 000 ton per år och maximalt 4 000 ton vid något enskilt tillfälle.</t>
  </si>
  <si>
    <t>http://localhost:8787/api/admin/requirements/documents/cmm4yuoxe021kcuqwbnlynfah/view</t>
  </si>
  <si>
    <t>KRAV-AUTO-001387</t>
  </si>
  <si>
    <t>cmm4yuoxe021kcuqwbnlynfah</t>
  </si>
  <si>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</si>
  <si>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</si>
  <si>
    <t>KRAV-AUTO-001388</t>
  </si>
  <si>
    <t>Hushållnings- och kretsloppsprincipen 5 § Minska mängden avfall, det är hela poängen med företaget, att återvinna fungerande material, biprodukter för att det inte är avfall.</t>
  </si>
  <si>
    <t>KRAV-AUTO-001389</t>
  </si>
  <si>
    <t>Verktyg vid minsta eventuella risk för skada på människor finns inlåst på området.</t>
  </si>
  <si>
    <t>http://localhost:8787/api/admin/requirements/documents/cmm4yuox9021ecuqwgith6y72/view</t>
  </si>
  <si>
    <t>KRAV-AUTO-001390</t>
  </si>
  <si>
    <t>cmm4yuox9021ecuqwgith6y72</t>
  </si>
  <si>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 skadeansvaret).</t>
  </si>
  <si>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t>
  </si>
  <si>
    <t>http://localhost:8787/api/admin/requirements/documents/cmm4yuowx0212cuqwgyrim3ri/view</t>
  </si>
  <si>
    <t>KRAV-AUTO-001391</t>
  </si>
  <si>
    <t>ADMIN-INDEX-2026-02-27-00000000125C043F57453246863FE664CAFE6A3F0700950291EA24F0614FB6ACEDB12BF0E31D00000000010C0000950291EA24F0614FB6ACEDB12BF0E31D00002087AEB40000</t>
  </si>
  <si>
    <t>cmm4yuowx0212cuqwgyrim3ri</t>
  </si>
  <si>
    <t>KRAV-AUTO-001392</t>
  </si>
  <si>
    <t>KRAV-AUTO-001393</t>
  </si>
  <si>
    <t>http://localhost:8787/api/admin/requirements/documents/cmm4yuowr020wcuqw31dwvy0f/view</t>
  </si>
  <si>
    <t>KRAV-AUTO-001394</t>
  </si>
  <si>
    <t>cmm4yuowr020wcuqw31dwvy0f</t>
  </si>
  <si>
    <t>KRAV-AUTO-001395</t>
  </si>
  <si>
    <t>KRAV-AUTO-001396</t>
  </si>
  <si>
    <t>http://localhost:8787/api/admin/requirements/documents/cmm4yuowi020ncuqw6wxm7z4t/view</t>
  </si>
  <si>
    <t>KRAV-AUTO-001397</t>
  </si>
  <si>
    <t>cmm4yuowi020ncuqw6wxm7z4t</t>
  </si>
  <si>
    <t>KRAV-AUTO-001398</t>
  </si>
  <si>
    <t>KRAV-AUTO-001399</t>
  </si>
  <si>
    <t>http://localhost:8787/api/admin/requirements/documents/cmm4yuow4020bcuqwnl9l1taq/view</t>
  </si>
  <si>
    <t>KRAV-AUTO-001400</t>
  </si>
  <si>
    <t>cmm4yuow4020bcuqwnl9l1taq</t>
  </si>
  <si>
    <t>KRAV-AUTO-001401</t>
  </si>
  <si>
    <t>KRAV-AUTO-001402</t>
  </si>
  <si>
    <t>http://localhost:8787/api/admin/requirements/documents/cmm4yuovo01ztcuqwjisy9tt7/view</t>
  </si>
  <si>
    <t>KRAV-AUTO-001403</t>
  </si>
  <si>
    <t>ADMIN-INDEX-2026-02-27-00000000125C043F57453246863FE664CAFE6A3F0700950291EA24F0614FB6ACEDB12BF0E31D00000000010C0000950291EA24F0614FB6ACEDB12BF0E31D00002087AEB50000</t>
  </si>
  <si>
    <t>cmm4yuovo01ztcuqwjisy9tt7</t>
  </si>
  <si>
    <t>Beslut 2026-60 - Försiktighetsmått miljöfarlig verksamhet.pdf</t>
  </si>
  <si>
    <t>I skyddsföreskrifterna för området står bland annat ”Hantering av avfall, inklusive lakvattenhantering, får inte ske om det kan medföra risk för vattenförorening” samt ”Lagring av hälso- och miljöfarliga ämnen får endast ske på tät, invallad yta försedd med tak.</t>
  </si>
  <si>
    <t>KRAV-AUTO-001404</t>
  </si>
  <si>
    <t>Förvaringsutrymmet för farligt avfall utomhus ska ha neder- bördsskydd, påkörningsskydd och förvaras utan risk för spill till dagvatten.</t>
  </si>
  <si>
    <t>KRAV-AUTO-001405</t>
  </si>
  <si>
    <t>Rutinerna ska även inkludera hur uppsamling och omhänder- -- 1 of 8 -- JÄRFÄLLA KOMMUN 2 (8) tagande av släckvatten i händelse av brand ska ske, för att minimera risk för förorening av dagvatten och vattenskyddsområdet.</t>
  </si>
  <si>
    <t>http://localhost:8787/api/admin/requirements/documents/cmm4yuovl01zqcuqwz5yg68oc/view</t>
  </si>
  <si>
    <t>KRAV-AUTO-001406</t>
  </si>
  <si>
    <t>ADMIN-INDEX-2026-02-27-00000000125C043F57453246863FE664CAFE6A3F0700950291EA24F0614FB6ACEDB12BF0E31D00000000010C0000950291EA24F0614FB6ACEDB12BF0E31D00002087AEB60000</t>
  </si>
  <si>
    <t>cmm4yuovl01zqcuqwz5yg68oc</t>
  </si>
  <si>
    <t>KRAV-AUTO-001407</t>
  </si>
  <si>
    <t>KRAV-AUTO-001408</t>
  </si>
  <si>
    <t>http://localhost:8787/api/admin/requirements/documents/cmm4yuovi01zncuqwwqye503j/view</t>
  </si>
  <si>
    <t>KRAV-AUTO-001409</t>
  </si>
  <si>
    <t>ADMIN-INDEX-2026-02-27-00000000125C043F57453246863FE664CAFE6A3F0700950291EA24F0614FB6ACEDB12BF0E31D00000000010C0000950291EA24F0614FB6ACEDB12BF0E31D00002087AEB70000</t>
  </si>
  <si>
    <t>cmm4yuovi01zncuqwwqye503j</t>
  </si>
  <si>
    <t>ndamål Postadress Besöksadress Strängnäs</t>
  </si>
  <si>
    <t>ndamål Postadress Besöksadress Strängnäs kommun</t>
  </si>
  <si>
    <t>MIL20251443_2026-02-03.pdf</t>
  </si>
  <si>
    <t>I Sverige deponeras den mesta betongkross trots att det ofta är förbjudet enligt EUs direktiv och infört i svenska föreskrifter: “8 § Följande avfall får inte deponeras: punkt 8.</t>
  </si>
  <si>
    <t>KRAV-AUTO-001410</t>
  </si>
  <si>
    <t>Radonet kan även komma in i byggnaden med diffusion från marken om byggnaden saknar betongplatta mot marken.60 ○ Idag har de flesta hus som innehåller radon sanerats och närhet till blåbetong betyder inte att det automatiskt leder till strålningsskador.</t>
  </si>
  <si>
    <t>KRAV-AUTO-001411</t>
  </si>
  <si>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</si>
  <si>
    <t>http://localhost:8787/api/admin/requirements/documents/cmm4yuovf01zkcuqw4fgpfgjm/view</t>
  </si>
  <si>
    <t>KRAV-AUTO-001412</t>
  </si>
  <si>
    <t>cmm4yuovf01zkcuqw4fgpfgjm</t>
  </si>
  <si>
    <t>Om en anläggning utformas så att onödigt mycket avfall används kan det vara fråga om bortskaffning av avfall eller deponering av avfall.</t>
  </si>
  <si>
    <t>KRAV-AUTO-001413</t>
  </si>
  <si>
    <t>Person med erfarenhet av miljötekniska undersökningar ska ha utfört provtagningen och analyser ska vara utförda av ackrediterat miljölaboratorium.</t>
  </si>
  <si>
    <t>KRAV-AUTO-001414</t>
  </si>
  <si>
    <t>Alternativt registreras klassad transportvikt, vilket innebär en viss risk att mängden överskattas eftersom alla flak kanske inte kommer att vara maxlastade.</t>
  </si>
  <si>
    <t>http://localhost:8787/api/admin/requirements/documents/cmm4yuovc01zhcuqwj6gevkb4/view</t>
  </si>
  <si>
    <t>KRAV-AUTO-001415</t>
  </si>
  <si>
    <t>cmm4yuovc01zhcuqwj6gevkb4</t>
  </si>
  <si>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</si>
  <si>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</si>
  <si>
    <t>KRAV-AUTO-001416</t>
  </si>
  <si>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</si>
  <si>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</si>
  <si>
    <t>KRAV-AUTO-001417</t>
  </si>
  <si>
    <t>Med tillförda massor ska mjuka vallar förstärkas i två skarpa kurvor för att minska riskerna vid potentiella avkörningar.</t>
  </si>
  <si>
    <t>http://localhost:8787/api/admin/requirements/documents/cmm4yuov901zecuqww78ts20e/view</t>
  </si>
  <si>
    <t>KRAV-AUTO-001418</t>
  </si>
  <si>
    <t>ADMIN-INDEX-2026-02-27-00000000125C043F57453246863FE664CAFE6A3F0700950291EA24F0614FB6ACEDB12BF0E31D00000000010C0000950291EA24F0614FB6ACEDB12BF0E31D00002087AEB80000</t>
  </si>
  <si>
    <t>cmm4yuov901zecuqww78ts20e</t>
  </si>
  <si>
    <t>KRAV-AUTO-001419</t>
  </si>
  <si>
    <t>KRAV-AUTO-001420</t>
  </si>
  <si>
    <t>http://localhost:8787/api/admin/requirements/documents/cmm4yuov601zbcuqwjm4rmhfk/view</t>
  </si>
  <si>
    <t>KRAV-AUTO-001421</t>
  </si>
  <si>
    <t>cmm4yuov601zbcuqwjm4rmhfk</t>
  </si>
  <si>
    <t>KRAV-AUTO-001422</t>
  </si>
  <si>
    <t>KRAV-AUTO-001423</t>
  </si>
  <si>
    <t>http://localhost:8787/api/admin/requirements/documents/cmm4yuov301z8cuqwabdpvvzl/view</t>
  </si>
  <si>
    <t>KRAV-AUTO-001424</t>
  </si>
  <si>
    <t>cmm4yuov301z8cuqwabdpvvzl</t>
  </si>
  <si>
    <t>KRAV-AUTO-001425</t>
  </si>
  <si>
    <t>KRAV-AUTO-001426</t>
  </si>
  <si>
    <t>http://localhost:8787/api/admin/requirements/documents/cmm4yuov001z5cuqwzv54vbz4/view</t>
  </si>
  <si>
    <t>KRAV-AUTO-001427</t>
  </si>
  <si>
    <t>ADMIN-INDEX-2026-02-27-00000000125C043F57453246863FE664CAFE6A3F0700950291EA24F0614FB6ACEDB12BF0E31D00000000010C0000950291EA24F0614FB6ACEDB12BF0E31D00002087AEBB0000</t>
  </si>
  <si>
    <t>cmm4yuov001z5cuqwzv54vbz4</t>
  </si>
  <si>
    <t>MIL2024357pdf_976573.pdf</t>
  </si>
  <si>
    <t>Enligt ansökan har följande skäl angivts: - Det rör sig om lite avfall och att det kan uppstå risker med det stora antalet förpackningar och material vid hantering för personalen.</t>
  </si>
  <si>
    <t>KRAV-AUTO-001428</t>
  </si>
  <si>
    <t>KRAV-AUTO-001429</t>
  </si>
  <si>
    <t>Nämnden bedömer att av uppräknade skäl är ingen tillämpningsbar på undantagsreglerna i avfallsförordningen och därmed är inte dispens skäligt att ge.</t>
  </si>
  <si>
    <t>http://localhost:8787/api/admin/requirements/documents/cmm4yuouy01z2cuqw1fpo8sbe/view</t>
  </si>
  <si>
    <t>KRAV-AUTO-001430</t>
  </si>
  <si>
    <t>cmm4yuouy01z2cuqw1fpo8sbe</t>
  </si>
  <si>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</si>
  <si>
    <t>http://localhost:8787/api/admin/requirements/documents/cmm4yuouv01yzcuqwfbsvjgvd/view</t>
  </si>
  <si>
    <t>KRAV-AUTO-001431</t>
  </si>
  <si>
    <t>cmm4yuouv01yzcuqwfbsvjgvd</t>
  </si>
  <si>
    <t>I sina rutiner bör verksamhetsutövaren kuna fördela/lägga upp arbetsupgifter på så sätt att bioavfall inte utgör en risk för olägenhet.</t>
  </si>
  <si>
    <t>KRAV-AUTO-001432</t>
  </si>
  <si>
    <t>Vi ansöker om dispens i två år då vi inte har några kylda soprum att kunna förvara det separerade matavfallet i och löper då stor risk för skadedjur.</t>
  </si>
  <si>
    <t>KRAV-AUTO-001433</t>
  </si>
  <si>
    <t>Nämndens bedömning av ovanstående uppgifter är: Då det rör sig om mindre mängder avfall per vecka och att det inte rör sig om kyl- eller frysvaror så bör inte avfallshanteringen skilja sig så markant från dagens hantering.</t>
  </si>
  <si>
    <t>http://localhost:8787/api/admin/requirements/documents/cmm4yuout01ywcuqw2mhjr8ym/view</t>
  </si>
  <si>
    <t>KRAV-AUTO-001434</t>
  </si>
  <si>
    <t>cmm4yuout01ywcuqw2mhjr8ym</t>
  </si>
  <si>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</si>
  <si>
    <t>KRAV-AUTO-001435</t>
  </si>
  <si>
    <t>2 MOTIVERING FÖR ATT DISPENS SKA BEVILJAS MSLAB, bedriver grossistverksamhet med lager inom den ovan angivna fastigheten och hanterar därför stor mängd biologiskt nedbrytbart livsmedel- och köksavfall i sin verksamhet.</t>
  </si>
  <si>
    <t>KRAV-AUTO-001436</t>
  </si>
  <si>
    <t>En sådan hantering skulle innebära för stora risker dels utifrån ett arbetsmiljöperspektiv, dels utifrån ett livsmedelssäkerhetsperspektiv med bland annat ökad risk för skadedjur och medföljande ohygienisk hantering.</t>
  </si>
  <si>
    <t>http://localhost:8787/api/admin/requirements/documents/cmm4yuouk01yncuqwqg6ujm2o/view</t>
  </si>
  <si>
    <t>KRAV-AUTO-001437</t>
  </si>
  <si>
    <t>ADMIN-INDEX-2026-02-27-00000000125C043F57453246863FE664CAFE6A3F0700950291EA24F0614FB6ACEDB12BF0E31D00000000010C0000950291EA24F0614FB6ACEDB12BF0E31D00002087AEBC0000</t>
  </si>
  <si>
    <t>cmm4yuouk01yncuqwqg6ujm2o</t>
  </si>
  <si>
    <t>KRAV-AUTO-001438</t>
  </si>
  <si>
    <t>KRAV-AUTO-001439</t>
  </si>
  <si>
    <t>http://localhost:8787/api/admin/requirements/documents/cmm4yuoui01ykcuqw07yvone2/view</t>
  </si>
  <si>
    <t>KRAV-AUTO-001440</t>
  </si>
  <si>
    <t>cmm4yuoui01ykcuqw07yvone2</t>
  </si>
  <si>
    <t>http://localhost:8787/api/admin/requirements/documents/cmm4yuouf01yhcuqwip3wpb26/view</t>
  </si>
  <si>
    <t>KRAV-AUTO-001441</t>
  </si>
  <si>
    <t>cmm4yuouf01yhcuqwip3wpb26</t>
  </si>
  <si>
    <t>KRAV-AUTO-001442</t>
  </si>
  <si>
    <t>KRAV-AUTO-001443</t>
  </si>
  <si>
    <t>http://localhost:8787/api/admin/requirements/documents/cmm4yuouc01yecuqwm9w3vobl/view</t>
  </si>
  <si>
    <t>KRAV-AUTO-001444</t>
  </si>
  <si>
    <t>cmm4yuouc01yecuqwm9w3vobl</t>
  </si>
  <si>
    <t>KRAV-AUTO-001445</t>
  </si>
  <si>
    <t>KRAV-AUTO-001446</t>
  </si>
  <si>
    <t>http://localhost:8787/api/admin/requirements/documents/cmm4yuoty01xzcuqwfs0b9l35/view</t>
  </si>
  <si>
    <t>KRAV-AUTO-001447</t>
  </si>
  <si>
    <t>ADMIN-INDEX-2026-02-27-00000000125C043F57453246863FE664CAFE6A3F0700950291EA24F0614FB6ACEDB12BF0E31D00000000010C0000950291EA24F0614FB6ACEDB12BF0E31D00002087AEC50000</t>
  </si>
  <si>
    <t>cmm4yuoty01xzcuqwfs0b9l35</t>
  </si>
  <si>
    <t>Kontrollrapport tillsyn nov 2024.pdf</t>
  </si>
  <si>
    <t>Provtagningspunkten vid dagvattendammen ska märkas ut så att den syns tydligt.</t>
  </si>
  <si>
    <t>KRAV-AUTO-001448</t>
  </si>
  <si>
    <t>Övrigt Det hade i början på åtet använts 2000 ton jordmaterial till en bullervall vid Röingeskolan.</t>
  </si>
  <si>
    <t>KRAV-AUTO-001449</t>
  </si>
  <si>
    <t>Det hade inte varit några problem med höga vattennivåer i dammen eller bäcken, i samband med de stora vattenmängderna i närområdet i början på året.</t>
  </si>
  <si>
    <t>http://localhost:8787/api/admin/requirements/documents/cmm4yuotq01xtcuqwk0jtkgxu/view</t>
  </si>
  <si>
    <t>KRAV-AUTO-001450</t>
  </si>
  <si>
    <t>cmm4yuotq01xtcuqwk0jtkgxu</t>
  </si>
  <si>
    <t>DATUM ANSVARIC 2018-09-25 A.OLSSON TORMESTORP 5:16, HÄSSLEHOLMS KOMMUN OMBYGGNAD AV SKJUTBANA DAGVATTENDAMM SKALA RITMINGSNUMMER 1:200/A1 RITNING 1</t>
  </si>
  <si>
    <t>http://localhost:8787/api/admin/requirements/documents/cmm4yuotn01xqcuqw8ihmg815/view</t>
  </si>
  <si>
    <t>KRAV-AUTO-001451</t>
  </si>
  <si>
    <t>cmm4yuotn01xqcuqw8ihmg815</t>
  </si>
  <si>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</si>
  <si>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</si>
  <si>
    <t>http://localhost:8787/api/admin/requirements/documents/cmm4yuotk01xncuqwlsvuxdtt/view</t>
  </si>
  <si>
    <t>KRAV-AUTO-001452</t>
  </si>
  <si>
    <t>cmm4yuotk01xncuqwlsvuxdtt</t>
  </si>
  <si>
    <t>Tekniska förvaltingen Hässleholms kommun 200601 Årlig dokumentaton av drift och skötsel av dagvattendamm Tormestorp 5:16 Sparas i 5 år Typ av kontroll Ja /Nej Anmärkning Är alla tekniska konstruktioner i god kondition (sektioner i mark, ledningar, ramper etc.)?</t>
  </si>
  <si>
    <t>http://localhost:8787/api/admin/requirements/documents/cmm4yuotb01xhcuqwswxsx8sy/view</t>
  </si>
  <si>
    <t>KRAV-AUTO-001453</t>
  </si>
  <si>
    <t>ADMIN-INDEX-2026-02-27-00000000125C043F57453246863FE664CAFE6A3F0700950291EA24F0614FB6ACEDB12BF0E31D00000000010C0000950291EA24F0614FB6ACEDB12BF0E31D00002087AEC60000</t>
  </si>
  <si>
    <t>cmm4yuotb01xhcuqwswxsx8sy</t>
  </si>
  <si>
    <t>KRAV-AUTO-001454</t>
  </si>
  <si>
    <t>KRAV-AUTO-001455</t>
  </si>
  <si>
    <t>http://localhost:8787/api/admin/requirements/documents/cmm4yuot601xbcuqw8avy6jsp/view</t>
  </si>
  <si>
    <t>KRAV-AUTO-001456</t>
  </si>
  <si>
    <t>cmm4yuot601xbcuqw8avy6jsp</t>
  </si>
  <si>
    <t>http://localhost:8787/api/admin/requirements/documents/cmm4yuot301x8cuqw6kknsnhn/view</t>
  </si>
  <si>
    <t>KRAV-AUTO-001457</t>
  </si>
  <si>
    <t>cmm4yuot301x8cuqw6kknsnhn</t>
  </si>
  <si>
    <t>http://localhost:8787/api/admin/requirements/documents/cmm4yuot001x5cuqw5z2o96ks/view</t>
  </si>
  <si>
    <t>KRAV-AUTO-001458</t>
  </si>
  <si>
    <t>cmm4yuot001x5cuqw5z2o96ks</t>
  </si>
  <si>
    <t>http://localhost:8787/api/admin/requirements/documents/cmm4yuooy01t8cuqw3m1ag4wq/view</t>
  </si>
  <si>
    <t>KRAV-AUTO-001459</t>
  </si>
  <si>
    <t>ADMIN-INDEX-2026-02-27-00000000125C043F57453246863FE664CAFE6A3F0700950291EA24F0614FB6ACEDB12BF0E31D00000000010C0000950291EA24F0614FB6ACEDB12BF0E31D00002087AECD0000</t>
  </si>
  <si>
    <t>cmm4yuooy01t8cuqw3m1ag4wq</t>
  </si>
  <si>
    <t>Anmälningsbeslut.pdf</t>
  </si>
  <si>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</si>
  <si>
    <t>KRAV-AUTO-001460</t>
  </si>
  <si>
    <t>Vid risk för damning ska vattenbegjutning ske, alternativt omedelbar täckning av massorna med en tät duk.</t>
  </si>
  <si>
    <t>KRAV-AUTO-001461</t>
  </si>
  <si>
    <t>Information Tänk på att det avfall som används för uppbyggnaden ska ha den kvalitet som behövs för att få bra bärighet i den konstruktion som ska byggas upp.</t>
  </si>
  <si>
    <t>http://localhost:8787/api/admin/requirements/documents/cmm4yuoov01t5cuqwijmj37wr/view</t>
  </si>
  <si>
    <t>KRAV-AUTO-001462</t>
  </si>
  <si>
    <t>cmm4yuoov01t5cuqwijmj37wr</t>
  </si>
  <si>
    <t>Beskriv syftet med den nya anläggningen som avfallet ska användas till Syftet med att tippa dem inom fastigheten är att fylla upp för en att anlägga en ridbana på en del av fastigheten Hallanda 1:2.</t>
  </si>
  <si>
    <t>KRAV-AUTO-001463</t>
  </si>
  <si>
    <t>KRAV-AUTO-001464</t>
  </si>
  <si>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</si>
  <si>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</si>
  <si>
    <t>http://localhost:8787/api/admin/requirements/documents/cmm4yuooq01szcuqwo9e3tjcp/view</t>
  </si>
  <si>
    <t>KRAV-AUTO-001465</t>
  </si>
  <si>
    <t>ADMIN-INDEX-2026-02-27-00000000125C043F57453246863FE664CAFE6A3F0700950291EA24F0614FB6ACEDB12BF0E31D00000000010C0000950291EA24F0614FB6ACEDB12BF0E31D00002087AECE0000</t>
  </si>
  <si>
    <t>cmm4yuooq01szcuqwo9e3tjcp</t>
  </si>
  <si>
    <t>KRAV-AUTO-001466</t>
  </si>
  <si>
    <t>KRAV-AUTO-001467</t>
  </si>
  <si>
    <t>http://localhost:8787/api/admin/requirements/documents/cmm4yuoon01swcuqww56b84dt/view</t>
  </si>
  <si>
    <t>KRAV-AUTO-001468</t>
  </si>
  <si>
    <t>cmm4yuoon01swcuqww56b84dt</t>
  </si>
  <si>
    <t>KRAV-AUTO-001469</t>
  </si>
  <si>
    <t>KRAV-AUTO-001470</t>
  </si>
  <si>
    <t>http://localhost:8787/api/admin/requirements/documents/cmm4yuooh01sqcuqwljg8bolr/view</t>
  </si>
  <si>
    <t>KRAV-AUTO-001471</t>
  </si>
  <si>
    <t>ADMIN-INDEX-2026-02-27-00000000125C043F57453246863FE664CAFE6A3F0700950291EA24F0614FB6ACEDB12BF0E31D00000000010C0000950291EA24F0614FB6ACEDB12BF0E31D00002087AECF0000</t>
  </si>
  <si>
    <t>cmm4yuooh01sqcuqwljg8bolr</t>
  </si>
  <si>
    <t>Sundsvalls</t>
  </si>
  <si>
    <t>Sundsvalls kommun</t>
  </si>
  <si>
    <t>Generellt beslut.pdf</t>
  </si>
  <si>
    <t>Mängden massor uppskattas årligen till ca 10–50 ton och innehåller halter över mindre känslig markanvändning, känslig markanvändning samt mindre ringa risk.</t>
  </si>
  <si>
    <t>KRAV-AUTO-001472</t>
  </si>
  <si>
    <t>Det krävs beslut om återvinning av avfall eller ämnen som har liknade egenskaper som grönlutslam, aska och lera, se sid 3 under bemyndigande för tillsynsmyndigheten (tillstånd M 1338–07).</t>
  </si>
  <si>
    <t>KRAV-AUTO-001473</t>
  </si>
  <si>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</si>
  <si>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</si>
  <si>
    <t>http://localhost:8787/api/admin/requirements/documents/cmm4yuoob01skcuqwvficzbzo/view</t>
  </si>
  <si>
    <t>KRAV-AUTO-001474</t>
  </si>
  <si>
    <t>cmm4yuoob01skcuqwvficzbzo</t>
  </si>
  <si>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</si>
  <si>
    <t>KRAV-AUTO-001475</t>
  </si>
  <si>
    <t>C) Grävning och lastning ska ske på ett sådant sätt att risken för materialflykt och föroreningsspridning till omgivningen förebyggs.</t>
  </si>
  <si>
    <t>KRAV-AUTO-001476</t>
  </si>
  <si>
    <t>Om verksamheten ändras Ni ska anmäla till miljönämnden om ni planerar att göra avsteg från det ni redovisat i denna anmälan, om ändringen innebär att det finns risk för att människors hälsa och miljön kan påverkas negativt.</t>
  </si>
  <si>
    <t>http://localhost:8787/api/admin/requirements/documents/cmm4yuoo401secuqwmf5enxas/view</t>
  </si>
  <si>
    <t>KRAV-AUTO-001477</t>
  </si>
  <si>
    <t>ADMIN-INDEX-2026-02-27-00000000125C043F57453246863FE664CAFE6A3F0700950291EA24F0614FB6ACEDB12BF0E31D00000000010C0000950291EA24F0614FB6ACEDB12BF0E31D00002087AED00000</t>
  </si>
  <si>
    <t>cmm4yuoo401secuqwmf5enxas</t>
  </si>
  <si>
    <t>KRAV-AUTO-001478</t>
  </si>
  <si>
    <t>KRAV-AUTO-001479</t>
  </si>
  <si>
    <t>http://localhost:8787/api/admin/requirements/documents/cmm4yuonz01s8cuqwxfatftf8/view</t>
  </si>
  <si>
    <t>KRAV-AUTO-001480</t>
  </si>
  <si>
    <t>cmm4yuonz01s8cuqwxfatftf8</t>
  </si>
  <si>
    <t>KRAV-AUTO-001481</t>
  </si>
  <si>
    <t>KRAV-AUTO-001482</t>
  </si>
  <si>
    <t>http://localhost:8787/api/admin/requirements/documents/cmm4yuomw01r2cuqwaq7rvqlg/view</t>
  </si>
  <si>
    <t>KRAV-AUTO-001483</t>
  </si>
  <si>
    <t>ADMIN-INDEX-2026-02-27-00000000125C043F57453246863FE664CAFE6A3F0700950291EA24F0614FB6ACEDB12BF0E31D00000000010C0000950291EA24F0614FB6ACEDB12BF0E31D00002087AED10000</t>
  </si>
  <si>
    <t>cmm4yuomw01r2cuqwaq7rvqlg</t>
  </si>
  <si>
    <t>MN-2023-10545-MN-2023-10545.pdf</t>
  </si>
  <si>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</si>
  <si>
    <t>KRAV-AUTO-001484</t>
  </si>
  <si>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</si>
  <si>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</si>
  <si>
    <t>http://localhost:8787/api/admin/requirements/documents/cmm4yuom501qbcuqw39t9253i/view</t>
  </si>
  <si>
    <t>KRAV-AUTO-001485</t>
  </si>
  <si>
    <t>cmm4yuom501qbcuqw39t9253i</t>
  </si>
  <si>
    <t>Att möjliggöra återvinning av avfallsmassor med likartade tekniska och miljömässiga egenskaper som jungfruliga massor från täkt bidrar till att minimera mängden uppkomna avfallsmassor och bidrar till en cirkulär omställning av samhället.</t>
  </si>
  <si>
    <t>KRAV-AUTO-001486</t>
  </si>
  <si>
    <t>Sammantaget bedöms verksamheten medföra ett positivt bidrag till miljönyttan, främst vad gäller minimera mängden avfall och öka återvinning av massor till förmån för utnyttjande av jungfruliga resurser från täkt, energibesparing samt minskade transporter.</t>
  </si>
  <si>
    <t>KRAV-AUTO-001487</t>
  </si>
  <si>
    <t>Totalt ska högst 4200 ton massor användas för utfyllnad.</t>
  </si>
  <si>
    <t>http://localhost:8787/api/admin/requirements/documents/cmm4yuolz01q5cuqwadwvl05j/view</t>
  </si>
  <si>
    <t>KRAV-AUTO-001488</t>
  </si>
  <si>
    <t>cmm4yuolz01q5cuqwadwvl05j</t>
  </si>
  <si>
    <t>KRAV-AUTO-001489</t>
  </si>
  <si>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</si>
  <si>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</si>
  <si>
    <t>http://localhost:8787/api/admin/requirements/documents/cmm4yuolo01ptcuqwoji0bp1f/view</t>
  </si>
  <si>
    <t>KRAV-AUTO-001490</t>
  </si>
  <si>
    <t>cmm4yuolo01ptcuqwoji0bp1f</t>
  </si>
  <si>
    <t>KRAV-AUTO-001491</t>
  </si>
  <si>
    <t>Jag har fått analysprotokoll på jord och jag antar att det är provtagning på jorden som ska bilda vallen på fastigheten.</t>
  </si>
  <si>
    <t>KRAV-AUTO-001492</t>
  </si>
  <si>
    <t>Vi skulle även behöva ha rapporten på den miljötekniska markundersökningen som är utförd enligt anmälan för att se provpunkternas placering och provtagningsstrategi.</t>
  </si>
  <si>
    <t>http://localhost:8787/api/admin/requirements/documents/cmm4yuoki01okcuqws3skclf1/view</t>
  </si>
  <si>
    <t>KRAV-AUTO-001493</t>
  </si>
  <si>
    <t>ADMIN-INDEX-2026-02-27-00000000125C043F57453246863FE664CAFE6A3F0700950291EA24F0614FB6ACEDB12BF0E31D00000000010C0000950291EA24F0614FB6ACEDB12BF0E31D00002087AED20000</t>
  </si>
  <si>
    <t>cmm4yuoki01okcuqws3skclf1</t>
  </si>
  <si>
    <t>KRAV-AUTO-001494</t>
  </si>
  <si>
    <t>http://localhost:8787/api/admin/requirements/documents/cmm4yuojn01ntcuqwwephyh0h/view</t>
  </si>
  <si>
    <t>KRAV-AUTO-001495</t>
  </si>
  <si>
    <t>cmm4yuojn01ntcuqwwephyh0h</t>
  </si>
  <si>
    <t>KRAV-AUTO-001496</t>
  </si>
  <si>
    <t>KRAV-AUTO-001497</t>
  </si>
  <si>
    <t>http://localhost:8787/api/admin/requirements/documents/cmm4yuojh01nncuqwu4vi7wro/view</t>
  </si>
  <si>
    <t>KRAV-AUTO-001498</t>
  </si>
  <si>
    <t>cmm4yuojh01nncuqwu4vi7wro</t>
  </si>
  <si>
    <t>KRAV-AUTO-001499</t>
  </si>
  <si>
    <t>http://localhost:8787/api/admin/requirements/documents/cmm4yuoj501nbcuqwjtrffzcc/view</t>
  </si>
  <si>
    <t>KRAV-AUTO-001500</t>
  </si>
  <si>
    <t>cmm4yuoj501nbcuqwjtrffzcc</t>
  </si>
  <si>
    <t>KRAV-AUTO-001501</t>
  </si>
  <si>
    <t>KRAV-AUTO-001502</t>
  </si>
  <si>
    <t>http://localhost:8787/api/admin/requirements/documents/cmm4yuoiz01n5cuqwvliq6c2p/view</t>
  </si>
  <si>
    <t>KRAV-AUTO-001503</t>
  </si>
  <si>
    <t>ADMIN-INDEX-2026-02-27-00000000125C043F57453246863FE664CAFE6A3F0700950291EA24F0614FB6ACEDB12BF0E31D00000000010C0000950291EA24F0614FB6ACEDB12BF0E31D00002087AED30000</t>
  </si>
  <si>
    <t>cmm4yuoiz01n5cuqwvliq6c2p</t>
  </si>
  <si>
    <t>2024-11-15 BOM-2024-846-- Beslut om försiktighetsåtgärder.pdf</t>
  </si>
  <si>
    <t>212000-0258 Föreläggande om försiktighetsmått i samband med mellanlagring av icke farligt avfall Verksamhetskod 90.40 enligt 29 kap.</t>
  </si>
  <si>
    <t>KRAV-AUTO-001504</t>
  </si>
  <si>
    <t>Företaget ska på tillsynsmyndighetens anmodan kunna uppvisa att lagringsmängden inte överstiger 10 000 ton vid ett och samma lagringstillfälle.</t>
  </si>
  <si>
    <t>http://localhost:8787/api/admin/requirements/documents/cmm4yuoiu01mzcuqwgy1q4qtg/view</t>
  </si>
  <si>
    <t>KRAV-AUTO-001505</t>
  </si>
  <si>
    <t>ADMIN-INDEX-2026-02-27-00000000125C043F57453246863FE664CAFE6A3F0700950291EA24F0614FB6ACEDB12BF0E31D00000000010C0000950291EA24F0614FB6ACEDB12BF0E31D00002087AED40000</t>
  </si>
  <si>
    <t>cmm4yuoiu01mzcuqwgy1q4qtg</t>
  </si>
  <si>
    <t>KRAV-AUTO-001506</t>
  </si>
  <si>
    <t>http://localhost:8787/api/admin/requirements/documents/cmm4yuoil01mqcuqwng2j726b/view</t>
  </si>
  <si>
    <t>KRAV-AUTO-001507</t>
  </si>
  <si>
    <t>ADMIN-INDEX-2026-02-27-00000000125C043F57453246863FE664CAFE6A3F0700950291EA24F0614FB6ACEDB12BF0E31D00000000010C0000950291EA24F0614FB6ACEDB12BF0E31D00002087AED50000</t>
  </si>
  <si>
    <t>cmm4yuoil01mqcuqwng2j726b</t>
  </si>
  <si>
    <t>Bilaga1placeringbetongkross_470350.pdf</t>
  </si>
  <si>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</si>
  <si>
    <t>http://localhost:8787/api/admin/requirements/documents/cmm4yuoii01mncuqw7vio8967/view</t>
  </si>
  <si>
    <t>KRAV-AUTO-001508</t>
  </si>
  <si>
    <t>cmm4yuoii01mncuqw7vio8967</t>
  </si>
  <si>
    <t>Betongkrossen ska placeras under betongplatta samt slänts ut åt sidorna.</t>
  </si>
  <si>
    <t>KRAV-AUTO-001509</t>
  </si>
  <si>
    <t>Exakta mängder betongkross ska enligt uppgift meddelas vid arbetets slut.</t>
  </si>
  <si>
    <t>KRAV-AUTO-001510</t>
  </si>
  <si>
    <t>På platsen Skvadronen 9 ska den krossade betongen användas som fyllnadsmassor.</t>
  </si>
  <si>
    <t>http://localhost:8787/api/admin/requirements/documents/cmm4yuoig01mkcuqws4zlea8f/view</t>
  </si>
  <si>
    <t>KRAV-AUTO-001511</t>
  </si>
  <si>
    <t>cmm4yuoig01mkcuqws4zlea8f</t>
  </si>
  <si>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</si>
  <si>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</si>
  <si>
    <t>KRAV-AUTO-001512</t>
  </si>
  <si>
    <t>Radonet kan även komma in i byggnaden med diffusion från marken om byggnaden saknar betongplatta mot marken.22 ○ Idag har de flesta hus som innehåller radon sanerats och närhet till blåbetong betyder inte att det automatiskt leder till strålningsskador.</t>
  </si>
  <si>
    <t>KRAV-AUTO-001513</t>
  </si>
  <si>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</si>
  <si>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</si>
  <si>
    <t>http://localhost:8787/api/admin/requirements/documents/cmm4yuoid01mhcuqwnaglejdt/view</t>
  </si>
  <si>
    <t>KRAV-AUTO-001514</t>
  </si>
  <si>
    <t>cmm4yuoid01mhcuqwnaglejdt</t>
  </si>
  <si>
    <t>Proverna togs med geoteknisk borrbandvagn och jordskruv (liten provtagningskala och stickprov av olika jordarter).</t>
  </si>
  <si>
    <t>KRAV-AUTO-001515</t>
  </si>
  <si>
    <t>Ytor större än 400 m² med högre halter än KM bör bedömas inom bostadsmark och schaktas ur om riskerna bedöms stora (bör göras mot platsspecifikt KM-riktvärde och en skattning av medelhalten av föroreningar inom ytan).</t>
  </si>
  <si>
    <t>KRAV-AUTO-001516</t>
  </si>
  <si>
    <t>Provtagningen gjordes med stor provtagningsskala (provets representativa volym) som ett inkrementellt samlingsprov för ca 20 m³ fyllningsjord från provgrop.</t>
  </si>
  <si>
    <t>http://localhost:8787/api/admin/requirements/documents/cmm4yuoi501mbcuqwp6ixqw8o/view</t>
  </si>
  <si>
    <t>KRAV-AUTO-001517</t>
  </si>
  <si>
    <t>ADMIN-INDEX-2026-02-27-00000000125C043F57453246863FE664CAFE6A3F0700950291EA24F0614FB6ACEDB12BF0E31D00000000010C0000950291EA24F0614FB6ACEDB12BF0E31D00002087AED60000</t>
  </si>
  <si>
    <t>cmm4yuoi501mbcuqwp6ixqw8o</t>
  </si>
  <si>
    <t>http://localhost:8787/api/admin/requirements/documents/cmm4yuoi201m8cuqwhbw7vce4/view</t>
  </si>
  <si>
    <t>KRAV-AUTO-001518</t>
  </si>
  <si>
    <t>cmm4yuoi201m8cuqwhbw7vce4</t>
  </si>
  <si>
    <t>KRAV-AUTO-001519</t>
  </si>
  <si>
    <t>KRAV-AUTO-001520</t>
  </si>
  <si>
    <t>http://localhost:8787/api/admin/requirements/documents/cmm4yuohz01m5cuqwsibff6wi/view</t>
  </si>
  <si>
    <t>KRAV-AUTO-001521</t>
  </si>
  <si>
    <t>cmm4yuohz01m5cuqwsibff6wi</t>
  </si>
  <si>
    <t>KRAV-AUTO-001522</t>
  </si>
  <si>
    <t>KRAV-AUTO-001523</t>
  </si>
  <si>
    <t>http://localhost:8787/api/admin/requirements/documents/cmm4yuohx01m2cuqwmcdt8xb4/view</t>
  </si>
  <si>
    <t>KRAV-AUTO-001524</t>
  </si>
  <si>
    <t>cmm4yuohx01m2cuqwmcdt8xb4</t>
  </si>
  <si>
    <t>KRAV-AUTO-001525</t>
  </si>
  <si>
    <t>KRAV-AUTO-001526</t>
  </si>
  <si>
    <t>http://localhost:8787/api/admin/requirements/documents/cmm4yuohd01lncuqw4dqbae5z/view</t>
  </si>
  <si>
    <t>KRAV-AUTO-001527</t>
  </si>
  <si>
    <t>ADMIN-INDEX-2026-02-27-00000000125C043F57453246863FE664CAFE6A3F0700950291EA24F0614FB6ACEDB12BF0E31D00000000010C0000950291EA24F0614FB6ACEDB12BF0E31D00002087AED70000</t>
  </si>
  <si>
    <t>cmm4yuohd01lncuqw4dqbae5z</t>
  </si>
  <si>
    <t>Post Skara</t>
  </si>
  <si>
    <t>Post Skara kommun</t>
  </si>
  <si>
    <t>SKSBN-2024-254__2024-04-03_M - Beslut om försiktighetsmått.pdf</t>
  </si>
  <si>
    <t>Asksläckvatten och lakvatten från aska ska inte släppas orenat som dagvatten eller till spillvattennätet.</t>
  </si>
  <si>
    <t>KRAV-AUTO-001528</t>
  </si>
  <si>
    <t>Vid förvaring utomhus ska invallningen vara skyddad mot nederbörd.</t>
  </si>
  <si>
    <t>KRAV-AUTO-001529</t>
  </si>
  <si>
    <t>Krossning av träavfall ska också ske så att rester undviks i dagvattensystemet.</t>
  </si>
  <si>
    <t>http://localhost:8787/api/admin/requirements/documents/cmm4yuoha01lkcuqw29wms37e/view</t>
  </si>
  <si>
    <t>KRAV-AUTO-001530</t>
  </si>
  <si>
    <t>cmm4yuoha01lkcuqw29wms37e</t>
  </si>
  <si>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</si>
  <si>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</si>
  <si>
    <t>KRAV-AUTO-001531</t>
  </si>
  <si>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</si>
  <si>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</si>
  <si>
    <t>http://localhost:8787/api/admin/requirements/documents/cmm4yuoh601lhcuqwxq21xyj9/view</t>
  </si>
  <si>
    <t>KRAV-AUTO-001532</t>
  </si>
  <si>
    <t>cmm4yuoh601lhcuqwxq21xyj9</t>
  </si>
  <si>
    <t>Invasiva växtarter får inte ingå i park- och trädgårdsavfall som ska komposteras.</t>
  </si>
  <si>
    <t>KRAV-AUTO-001533</t>
  </si>
  <si>
    <t>Mängden avloppsslam, flis och bark respektive park- och trädgårdsavfall som används i komposteringen ska finnas dokumenterad.</t>
  </si>
  <si>
    <t>KRAV-AUTO-001534</t>
  </si>
  <si>
    <t>Merparten av det avloppsslam som tagits in i verksamheten hittills har varit Revaq-certifierat vilket bedöms minska riskerna då slammet är hygieniserat och provtaget leverantören.</t>
  </si>
  <si>
    <t>http://localhost:8787/api/admin/requirements/documents/cmm4yuoh201lecuqwwsn0o7r6/view</t>
  </si>
  <si>
    <t>KRAV-AUTO-001535</t>
  </si>
  <si>
    <t>cmm4yuoh201lecuqwwsn0o7r6</t>
  </si>
  <si>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</si>
  <si>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</si>
  <si>
    <t>KRAV-AUTO-001536</t>
  </si>
  <si>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</si>
  <si>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</si>
  <si>
    <t>http://localhost:8787/api/admin/requirements/documents/cmm4yuogy01lbcuqw0ad9zz2p/view</t>
  </si>
  <si>
    <t>KRAV-AUTO-001537</t>
  </si>
  <si>
    <t>cmm4yuogy01lbcuqw0ad9zz2p</t>
  </si>
  <si>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</si>
  <si>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</si>
  <si>
    <t>http://localhost:8787/api/admin/requirements/documents/cmm4yuogt01l8cuqw2m2r910t/view</t>
  </si>
  <si>
    <t>KRAV-AUTO-001538</t>
  </si>
  <si>
    <t>cmm4yuogt01l8cuqw2m2r910t</t>
  </si>
  <si>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Ο Situationsplan bifogas Planritning bifogas (obligatorisk vid ny etablering) VA-ritning (obligatorisk om verksamheten har spill-, process och dagvattenutsläpp) Råvaror och kemiska produkter Ange råvaror, kemiska produkter, biotekniska organismer.</t>
  </si>
  <si>
    <t>KRAV-AUTO-001539</t>
  </si>
  <si>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 och förvarar du det farliga avfallet?</t>
  </si>
  <si>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t>
  </si>
  <si>
    <t>http://localhost:8787/api/admin/requirements/documents/cmm4yuog701ktcuqwpqy40zq6/view</t>
  </si>
  <si>
    <t>KRAV-AUTO-001540</t>
  </si>
  <si>
    <t>ADMIN-INDEX-2026-02-27-00000000125C043F57453246863FE664CAFE6A3F0700950291EA24F0614FB6ACEDB12BF0E31D00000000010C0000950291EA24F0614FB6ACEDB12BF0E31D00002087AED80000</t>
  </si>
  <si>
    <t>cmm4yuog701ktcuqwpqy40zq6</t>
  </si>
  <si>
    <t>KRAV-AUTO-001541</t>
  </si>
  <si>
    <t>KRAV-AUTO-001542</t>
  </si>
  <si>
    <t>http://localhost:8787/api/admin/requirements/documents/cmm4yuog301kqcuqwve60uw0a/view</t>
  </si>
  <si>
    <t>KRAV-AUTO-001543</t>
  </si>
  <si>
    <t>cmm4yuog301kqcuqwve60uw0a</t>
  </si>
  <si>
    <t>KRAV-AUTO-001544</t>
  </si>
  <si>
    <t>http://localhost:8787/api/admin/requirements/documents/cmm4yuofx01kncuqwocdbeupr/view</t>
  </si>
  <si>
    <t>KRAV-AUTO-001545</t>
  </si>
  <si>
    <t>cmm4yuofx01kncuqwocdbeupr</t>
  </si>
  <si>
    <t>KRAV-AUTO-001546</t>
  </si>
  <si>
    <t>KRAV-AUTO-001547</t>
  </si>
  <si>
    <t>http://localhost:8787/api/admin/requirements/documents/cmm4yuofs01kkcuqwjvt54l84/view</t>
  </si>
  <si>
    <t>KRAV-AUTO-001548</t>
  </si>
  <si>
    <t>cmm4yuofs01kkcuqwjvt54l84</t>
  </si>
  <si>
    <t>KRAV-AUTO-001549</t>
  </si>
  <si>
    <t>http://localhost:8787/api/admin/requirements/documents/cmm4yuofp01khcuqw8qnla7nk/view</t>
  </si>
  <si>
    <t>KRAV-AUTO-001550</t>
  </si>
  <si>
    <t>cmm4yuofp01khcuqw8qnla7nk</t>
  </si>
  <si>
    <t>http://localhost:8787/api/admin/requirements/documents/cmm4yuofl01kecuqwcyf64nqq/view</t>
  </si>
  <si>
    <t>KRAV-AUTO-001551</t>
  </si>
  <si>
    <t>cmm4yuofl01kecuqwcyf64nqq</t>
  </si>
  <si>
    <t>KRAV-AUTO-001552</t>
  </si>
  <si>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</si>
  <si>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</si>
  <si>
    <t>http://localhost:8787/api/admin/requirements/documents/cmm4yuofh01kbcuqw6gymbrbx/view</t>
  </si>
  <si>
    <t>KRAV-AUTO-001553</t>
  </si>
  <si>
    <t>ADMIN-INDEX-2026-02-27-00000000125C043F57453246863FE664CAFE6A3F0700950291EA24F0614FB6ACEDB12BF0E31D00000000010C0000950291EA24F0614FB6ACEDB12BF0E31D00002087AED90000</t>
  </si>
  <si>
    <t>cmm4yuofh01kbcuqw6gymbrbx</t>
  </si>
  <si>
    <t>Karta situationsplan..pdf</t>
  </si>
  <si>
    <t>Skamsberget Mellanlagring av Sopsand N Teknisk serni lunison 1:6000</t>
  </si>
  <si>
    <t>http://localhost:8787/api/admin/requirements/documents/cmm4yuofd01k8cuqwu494b2fs/view</t>
  </si>
  <si>
    <t>KRAV-AUTO-001554</t>
  </si>
  <si>
    <t>cmm4yuofd01k8cuqwu494b2fs</t>
  </si>
  <si>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</si>
  <si>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</si>
  <si>
    <t>KRAV-AUTO-001555</t>
  </si>
  <si>
    <t>Sanden kommer att mellanlagras vid upplaasplatsen på Skamsberget.</t>
  </si>
  <si>
    <t>KRAV-AUTO-001556</t>
  </si>
  <si>
    <t>Handlar det däremot om ett tillstånd för en värmepumpsanläggning eller en verksamhet, då måste vi spara uppgifterna åtminstone så länge som anläggningen finns kvar.</t>
  </si>
  <si>
    <t>http://localhost:8787/api/admin/requirements/documents/cmm4yuof901k5cuqwyxqsxj4c/view</t>
  </si>
  <si>
    <t>KRAV-AUTO-001557</t>
  </si>
  <si>
    <t>ADMIN-INDEX-2026-02-27-00000000125C043F57453246863FE664CAFE6A3F0700950291EA24F0614FB6ACEDB12BF0E31D00000000010C0000950291EA24F0614FB6ACEDB12BF0E31D00002087AEDA0000</t>
  </si>
  <si>
    <t>cmm4yuof901k5cuqwyxqsxj4c</t>
  </si>
  <si>
    <t>http://localhost:8787/api/admin/requirements/documents/cmm4yuof501k2cuqw6sda273l/view</t>
  </si>
  <si>
    <t>KRAV-AUTO-001558</t>
  </si>
  <si>
    <t>cmm4yuof501k2cuqw6sda273l</t>
  </si>
  <si>
    <t>KRAV-AUTO-001559</t>
  </si>
  <si>
    <t>KRAV-AUTO-001560</t>
  </si>
  <si>
    <t>http://localhost:8787/api/admin/requirements/documents/cmm4yuoez01jzcuqw7lf2nntc/view</t>
  </si>
  <si>
    <t>KRAV-AUTO-001561</t>
  </si>
  <si>
    <t>ADMIN-INDEX-2026-02-27-00000000125C043F57453246863FE664CAFE6A3F0700950291EA24F0614FB6ACEDB12BF0E31D00000000010C0000950291EA24F0614FB6ACEDB12BF0E31D00002087AEDF0000</t>
  </si>
  <si>
    <t>cmm4yuoez01jzcuqw7lf2nntc</t>
  </si>
  <si>
    <t>Beslut på anmälan Peab Bergmotet.pdf</t>
  </si>
  <si>
    <t>Jordmassorna som används ska vara provtagna och halterna får inte ha en högre föroreningshalt än Naturvårdsverkets riktvärden för mindre känslig markanvändning (MKM).</t>
  </si>
  <si>
    <t>KRAV-AUTO-001562</t>
  </si>
  <si>
    <t>Peab har förtydligat syftet samt redovisat provtagningsmetodik och beskrivit inventering av och hur de jobbar för att minska risken för spridning av invasiva främmande arter.</t>
  </si>
  <si>
    <t>KRAV-AUTO-001563</t>
  </si>
  <si>
    <t>Arbetet ska genomföras på ett sätt som inte medför ökad risk för spridning av invasiva främmande arter.</t>
  </si>
  <si>
    <t>http://localhost:8787/api/admin/requirements/documents/cmm4yuoeu01jwcuqw3asqrn8t/view</t>
  </si>
  <si>
    <t>KRAV-AUTO-001564</t>
  </si>
  <si>
    <t>cmm4yuoeu01jwcuqw3asqrn8t</t>
  </si>
  <si>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</si>
  <si>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</si>
  <si>
    <t>KRAV-AUTO-001565</t>
  </si>
  <si>
    <t>Beskrivning av avfallet/massor som ska användas Typ av avfall (ange EWC-kod) 17 05 04 Avfallets ursprung (tex.</t>
  </si>
  <si>
    <t>KRAV-AUTO-001566</t>
  </si>
  <si>
    <t>För att minska risk vid avåkningar formas även flacka slänter mot vägen så att fordon hindras från att komma ut i motsatt körriktning.</t>
  </si>
  <si>
    <t>http://localhost:8787/api/admin/requirements/documents/cmm4yuoeq01jtcuqwvlf8cqjg/view</t>
  </si>
  <si>
    <t>KRAV-AUTO-001567</t>
  </si>
  <si>
    <t>ADMIN-INDEX-2026-02-27-00000000125C043F57453246863FE664CAFE6A3F0700950291EA24F0614FB6ACEDB12BF0E31D00000000010C0000950291EA24F0614FB6ACEDB12BF0E31D00002087AEE00000</t>
  </si>
  <si>
    <t>cmm4yuoeq01jtcuqwvlf8cqjg</t>
  </si>
  <si>
    <t>KRAV-AUTO-001568</t>
  </si>
  <si>
    <t>KRAV-AUTO-001569</t>
  </si>
  <si>
    <t>http://localhost:8787/api/admin/requirements/documents/cmm4yuoel01jqcuqwqbcyfhs6/view</t>
  </si>
  <si>
    <t>KRAV-AUTO-001570</t>
  </si>
  <si>
    <t>cmm4yuoel01jqcuqwqbcyfhs6</t>
  </si>
  <si>
    <t>KRAV-AUTO-001571</t>
  </si>
  <si>
    <t>KRAV-AUTO-001572</t>
  </si>
  <si>
    <t>http://localhost:8787/api/admin/requirements/documents/cmm4yuoed01jkcuqwf4yc627n/view</t>
  </si>
  <si>
    <t>KRAV-AUTO-001573</t>
  </si>
  <si>
    <t>ADMIN-INDEX-2026-02-27-00000000125C043F57453246863FE664CAFE6A3F0700950291EA24F0614FB6ACEDB12BF0E31D00000000010C0000950291EA24F0614FB6ACEDB12BF0E31D00002087AEE10000</t>
  </si>
  <si>
    <t>cmm4yuoed01jkcuqwf4yc627n</t>
  </si>
  <si>
    <t>BeslutRapportPMbetongprovOrSkolan250110_446250.pdf</t>
  </si>
  <si>
    <t>Uppdat änser för uppfyllda krite Order Prov Riktlinjer/gränsvärden Alifatiska föreningar Aromatiska föreningar Utvärdering av uttagna borrkärnor betongbjälklag ÖR Skolan mot KM och MKM enligt Naturvårdsverkets rapport 5976, 2009 rev.</t>
  </si>
  <si>
    <t>KRAV-AUTO-001574</t>
  </si>
  <si>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</si>
  <si>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</si>
  <si>
    <t>KRAV-AUTO-001575</t>
  </si>
  <si>
    <t>Prover bör därför skickas direkt till laboratoriet efter provtagning.</t>
  </si>
  <si>
    <t>http://localhost:8787/api/admin/requirements/documents/cmm4yuoe901jhcuqwe3fw9ccq/view</t>
  </si>
  <si>
    <t>KRAV-AUTO-001576</t>
  </si>
  <si>
    <t>cmm4yuoe901jhcuqwe3fw9ccq</t>
  </si>
  <si>
    <t>Den krossade betongen ska användas som fyllnadsmassor inom fastigheten på plats redovisad i Bilaga 2 -Område fyllning.</t>
  </si>
  <si>
    <t>KRAV-AUTO-001577</t>
  </si>
  <si>
    <t>Miljöenheten bedömer det nödvändigt med ett föreläggande om skyddsåtgärder och försiktighetsmått och en tydlig anvisning från verksamheten var återvunnen betongkross placeras.</t>
  </si>
  <si>
    <t>http://localhost:8787/api/admin/requirements/documents/cmm4yuoe401jecuqwc8omznr3/view</t>
  </si>
  <si>
    <t>KRAV-AUTO-001578</t>
  </si>
  <si>
    <t>cmm4yuoe401jecuqwc8omznr3</t>
  </si>
  <si>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</si>
  <si>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</si>
  <si>
    <t>KRAV-AUTO-001579</t>
  </si>
  <si>
    <t>Anmälare (den som ska återvinna avfallet) Namn Utdelningsadress Faktureringsadress Referens Org.nr/personnr Kontaktperson E-postadress Telefon 3.</t>
  </si>
  <si>
    <t>KRAV-AUTO-001580</t>
  </si>
  <si>
    <t>Fastighet där avfallet ska återvinnas Fastighetsbeteckning Fastighetens adress (Visa på karta var fastigheten ligger) Fastighetsägare Org.nr/personnr Kontaktperson Telefon Ägare av ev.</t>
  </si>
  <si>
    <t>http://localhost:8787/api/admin/requirements/documents/cmm4yuodt01j5cuqwh07bezpo/view</t>
  </si>
  <si>
    <t>KRAV-AUTO-001581</t>
  </si>
  <si>
    <t>ADMIN-INDEX-2026-02-27-00000000125C043F57453246863FE664CAFE6A3F0700950291EA24F0614FB6ACEDB12BF0E31D00000000010C0000950291EA24F0614FB6ACEDB12BF0E31D00002087AEE20000</t>
  </si>
  <si>
    <t>cmm4yuodt01j5cuqwh07bezpo</t>
  </si>
  <si>
    <t>KRAV-AUTO-001582</t>
  </si>
  <si>
    <t>KRAV-AUTO-001583</t>
  </si>
  <si>
    <t>http://localhost:8787/api/admin/requirements/documents/cmm4yuodp01j2cuqwxkc4e23w/view</t>
  </si>
  <si>
    <t>KRAV-AUTO-001584</t>
  </si>
  <si>
    <t>cmm4yuodp01j2cuqwxkc4e23w</t>
  </si>
  <si>
    <t>KRAV-AUTO-001585</t>
  </si>
  <si>
    <t>http://localhost:8787/api/admin/requirements/documents/cmm4yuodk01izcuqwc0nvkion/view</t>
  </si>
  <si>
    <t>KRAV-AUTO-001586</t>
  </si>
  <si>
    <t>cmm4yuodk01izcuqwc0nvkion</t>
  </si>
  <si>
    <t>KRAV-AUTO-001587</t>
  </si>
  <si>
    <t>KRAV-AUTO-001588</t>
  </si>
  <si>
    <t>http://localhost:8787/api/admin/requirements/documents/cmm4yuodd01itcuqwsu3925ep/view</t>
  </si>
  <si>
    <t>KRAV-AUTO-001589</t>
  </si>
  <si>
    <t>ADMIN-INDEX-2026-02-27-00000000125C043F57453246863FE664CAFE6A3F0700950291EA24F0614FB6ACEDB12BF0E31D00000000010C0000950291EA24F0614FB6ACEDB12BF0E31D00002087AEE30000</t>
  </si>
  <si>
    <t>cmm4yuodd01itcuqwsu3925ep</t>
  </si>
  <si>
    <t>Beslut om användning av avfall för anläggningsändamål.pdf</t>
  </si>
  <si>
    <t>Anmälan gäller användning av 3000 m3 skärsandsavfall från verksamhetens egen verksamhet som utfyllnad i mark vid anläggande av grusplan på fastigheten Grönalid 1:22.</t>
  </si>
  <si>
    <t>http://localhost:8787/api/admin/requirements/documents/cmm4yuocy01ihcuqwaaopchez/view</t>
  </si>
  <si>
    <t>KRAV-AUTO-001590</t>
  </si>
  <si>
    <t>cmm4yuocy01ihcuqwaaopchez</t>
  </si>
  <si>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</si>
  <si>
    <t>http://localhost:8787/api/admin/requirements/documents/cmm4yuocv01iecuqw7lrwa1ec/view</t>
  </si>
  <si>
    <t>KRAV-AUTO-001591</t>
  </si>
  <si>
    <t>cmm4yuocv01iecuqw7lrwa1ec</t>
  </si>
  <si>
    <t>säkerhetsåtgärder som måste vidtas vid deponering av avfallet Ingen åtgärd krävs 12.</t>
  </si>
  <si>
    <t>KRAV-AUTO-001592</t>
  </si>
  <si>
    <t>Avfallets ursprung (bransch) Abrasiv Vattenskärning 4.</t>
  </si>
  <si>
    <t>KRAV-AUTO-001593</t>
  </si>
  <si>
    <t>Variation i avfallets sammansättning samt de karakteristiska egenskapernas variation Metallhalten varierar mellan 1-5% 14.</t>
  </si>
  <si>
    <t>http://localhost:8787/api/admin/requirements/documents/cmm4yuocn01i8cuqww9qa6x9t/view</t>
  </si>
  <si>
    <t>KRAV-AUTO-001594</t>
  </si>
  <si>
    <t>cmm4yuocn01i8cuqww9qa6x9t</t>
  </si>
  <si>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</si>
  <si>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t>
  </si>
  <si>
    <t>http://localhost:8787/api/admin/requirements/documents/cmm4yuock01i5cuqwjn9rp4vs/view</t>
  </si>
  <si>
    <t>KRAV-AUTO-001595</t>
  </si>
  <si>
    <t>ADMIN-INDEX-2026-02-27-00000000125C043F57453246863FE664CAFE6A3F0700950291EA24F0614FB6ACEDB12BF0E31D00000000010C0000950291EA24F0614FB6ACEDB12BF0E31D00002087AEE40000</t>
  </si>
  <si>
    <t>cmm4yuock01i5cuqwjn9rp4vs</t>
  </si>
  <si>
    <t>http://localhost:8787/api/admin/requirements/documents/cmm4yuoc801htcuqwejdp0pk8/view</t>
  </si>
  <si>
    <t>KRAV-AUTO-001596</t>
  </si>
  <si>
    <t>cmm4yuoc801htcuqwejdp0pk8</t>
  </si>
  <si>
    <t>http://localhost:8787/api/admin/requirements/documents/cmm4yuoc401hqcuqwqsfjcius/view</t>
  </si>
  <si>
    <t>KRAV-AUTO-001597</t>
  </si>
  <si>
    <t>cmm4yuoc401hqcuqwqsfjcius</t>
  </si>
  <si>
    <t>KRAV-AUTO-001598</t>
  </si>
  <si>
    <t>KRAV-AUTO-001599</t>
  </si>
  <si>
    <t>http://localhost:8787/api/admin/requirements/documents/cmm4yuobw01hkcuqwmy92j787/view</t>
  </si>
  <si>
    <t>KRAV-AUTO-001600</t>
  </si>
  <si>
    <t>cmm4yuobw01hkcuqwmy92j787</t>
  </si>
  <si>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</si>
  <si>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t>
  </si>
  <si>
    <t>http://localhost:8787/api/admin/requirements/documents/cmm4yuobl01hbcuqwnu8ceke4/view</t>
  </si>
  <si>
    <t>KRAV-AUTO-001601</t>
  </si>
  <si>
    <t>ADMIN-INDEX-2026-02-27-00000000125C043F57453246863FE664CAFE6A3F0700950291EA24F0614FB6ACEDB12BF0E31D00000000010C0000950291EA24F0614FB6ACEDB12BF0E31D00002087AEE70000</t>
  </si>
  <si>
    <t>cmm4yuobl01hbcuqwnu8ceke4</t>
  </si>
  <si>
    <t>Miljöfarlig verksamhet - anmälan - 5762.pdf</t>
  </si>
  <si>
    <t>Ange flöden, utsläppspunkter och uppskattade föroreningsmängder.</t>
  </si>
  <si>
    <t>KRAV-AUTO-001602</t>
  </si>
  <si>
    <t>Ange luftflöden, utsläppspunkter och uppskattade föroreningsmängder.</t>
  </si>
  <si>
    <t>KRAV-AUTO-001603</t>
  </si>
  <si>
    <t>Ingår i egenkontrollprogrammet Beskriv hur kunskapskravet uppfylls enligt 19 §, 26 kap.</t>
  </si>
  <si>
    <t>http://localhost:8787/api/admin/requirements/documents/cmm4yuobf01h5cuqwlv57827w/view</t>
  </si>
  <si>
    <t>KRAV-AUTO-001604</t>
  </si>
  <si>
    <t>cmm4yuobf01h5cuqwlv57827w</t>
  </si>
  <si>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</si>
  <si>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</si>
  <si>
    <t>KRAV-AUTO-001605</t>
  </si>
  <si>
    <t>KRAV-AUTO-001606</t>
  </si>
  <si>
    <t>http://localhost:8787/api/admin/requirements/documents/cmm4yuobc01h2cuqwfb2borl6/view</t>
  </si>
  <si>
    <t>KRAV-AUTO-001607</t>
  </si>
  <si>
    <t>ADMIN-INDEX-2026-02-27-00000000125C043F57453246863FE664CAFE6A3F0700950291EA24F0614FB6ACEDB12BF0E31D00000000010C0000950291EA24F0614FB6ACEDB12BF0E31D00002087AEE80000</t>
  </si>
  <si>
    <t>cmm4yuobc01h2cuqwfb2borl6</t>
  </si>
  <si>
    <t>KRAV-AUTO-001608</t>
  </si>
  <si>
    <t>KRAV-AUTO-001609</t>
  </si>
  <si>
    <t>http://localhost:8787/api/admin/requirements/documents/cmm4yuob401gwcuqwo8m1ffbi/view</t>
  </si>
  <si>
    <t>KRAV-AUTO-001610</t>
  </si>
  <si>
    <t>cmm4yuob401gwcuqwo8m1ffbi</t>
  </si>
  <si>
    <t>KRAV-AUTO-001611</t>
  </si>
  <si>
    <t>KRAV-AUTO-001612</t>
  </si>
  <si>
    <t>http://localhost:8787/api/admin/requirements/documents/cmm4yuoa601g2cuqw3hskdi0g/view</t>
  </si>
  <si>
    <t>KRAV-AUTO-001613</t>
  </si>
  <si>
    <t>ADMIN-INDEX-2026-02-27-00000000125C043F57453246863FE664CAFE6A3F0700950291EA24F0614FB6ACEDB12BF0E31D00000000010C0000950291EA24F0614FB6ACEDB12BF0E31D00002087AEEB0000</t>
  </si>
  <si>
    <t>cmm4yuoa601g2cuqw3hskdi0g</t>
  </si>
  <si>
    <t>VAMBN-2024-557_3_2024-05-29_analys betong.pdf</t>
  </si>
  <si>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</si>
  <si>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</si>
  <si>
    <t>KRAV-AUTO-001614</t>
  </si>
  <si>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</si>
  <si>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</si>
  <si>
    <t>http://localhost:8787/api/admin/requirements/documents/cmm4yuo8k01ewcuqw3o4xzf0h/view</t>
  </si>
  <si>
    <t>KRAV-AUTO-001615</t>
  </si>
  <si>
    <t>ADMIN-INDEX-2026-02-27-00000000125C043F57453246863FE664CAFE6A3F0700950291EA24F0614FB6ACEDB12BF0E31D00000000010C0000950291EA24F0614FB6ACEDB12BF0E31D00002087AEEC0000</t>
  </si>
  <si>
    <t>cmm4yuo8k01ewcuqw3o4xzf0h</t>
  </si>
  <si>
    <t>KRAV-AUTO-001616</t>
  </si>
  <si>
    <t>http://localhost:8787/api/admin/requirements/documents/cmm4yuo7z01ehcuqwtcvxztnd/view</t>
  </si>
  <si>
    <t>KRAV-AUTO-001617</t>
  </si>
  <si>
    <t>ADMIN-INDEX-2026-02-27-00000000125C043F57453246863FE664CAFE6A3F0700950291EA24F0614FB6ACEDB12BF0E31D00000000010C0000950291EA24F0614FB6ACEDB12BF0E31D00002087AEED0000</t>
  </si>
  <si>
    <t>cmm4yuo7z01ehcuqwtcvxztnd</t>
  </si>
  <si>
    <t>BeslutMiljohandlaggareDB440FB_456087.pdf</t>
  </si>
  <si>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</si>
  <si>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</si>
  <si>
    <t>KRAV-AUTO-001618</t>
  </si>
  <si>
    <t>Rutinen ska inkludera både torra samt blöta avfallsmassor.</t>
  </si>
  <si>
    <t>KRAV-AUTO-001619</t>
  </si>
  <si>
    <t>Förbud att påbörja lagring av icke-farligt avfall enligt anmälan inkommen den 22 maj 2025.</t>
  </si>
  <si>
    <t>http://localhost:8787/api/admin/requirements/documents/cmm4yuo7v01eecuqw7f4ej7ko/view</t>
  </si>
  <si>
    <t>KRAV-AUTO-001620</t>
  </si>
  <si>
    <t>cmm4yuo7v01eecuqw7f4ej7ko</t>
  </si>
  <si>
    <t>Du behöver hålla dig informerade om och även se till att personal som hanterar avfallet har de nödvändiga kunskaper om vilka risker, skyddsåtgärder och regler som gäller för transporten.</t>
  </si>
  <si>
    <t>KRAV-AUTO-001621</t>
  </si>
  <si>
    <t>Om avfall innehåller ämnen som är bland annat explosiva, oxiderande, brandfarliga, irriterande, hälsoskadliga, giftiga, cancerframkallande, frätande, smittfarliga, reproduktionstoxiska, mutagent, allergiframkallande eller ekotoxiska räknas det som farligt avfall.</t>
  </si>
  <si>
    <t>KRAV-AUTO-001622</t>
  </si>
  <si>
    <t>Villkor för transport av farligt avfall 8.</t>
  </si>
  <si>
    <t>http://localhost:8787/api/admin/requirements/documents/cmm4yuo7r01ebcuqwcnld1tk2/view</t>
  </si>
  <si>
    <t>KRAV-AUTO-001623</t>
  </si>
  <si>
    <t>cmm4yuo7r01ebcuqwcnld1tk2</t>
  </si>
  <si>
    <t>Ni ska hålla er informerade om och se till att personal som hanterar avfall, har nödvändiga kunskaper om vilka risker, skyddsåtgärder och regler som gäller för transporten.</t>
  </si>
  <si>
    <t>KRAV-AUTO-001624</t>
  </si>
  <si>
    <t>Ni ska se till att alla fordon som avses användas till transport av avfall är trafikförsäkrade.</t>
  </si>
  <si>
    <t>KRAV-AUTO-001625</t>
  </si>
  <si>
    <t>Kopia av detta tillstånd ska kunna nås från varje fordon som transporterar avfall enligt detta tillstånd.</t>
  </si>
  <si>
    <t>http://localhost:8787/api/admin/requirements/documents/cmm4yuo7n01e8cuqwucwu5ijm/view</t>
  </si>
  <si>
    <t>KRAV-AUTO-001626</t>
  </si>
  <si>
    <t>cmm4yuo7n01e8cuqwucwu5ijm</t>
  </si>
  <si>
    <t>Ni behöver hålla er informerade om och även se till att personal som hanterar avfallet har de nödvändiga kunskaper om vilka risker, skyddsåtgärder och regler som gäller för transporten.</t>
  </si>
  <si>
    <t>KRAV-AUTO-001627</t>
  </si>
  <si>
    <t>KRAV-AUTO-001628</t>
  </si>
  <si>
    <t>http://localhost:8787/api/admin/requirements/documents/cmm4yuo7j01e5cuqwxkv66cu8/view</t>
  </si>
  <si>
    <t>KRAV-AUTO-001629</t>
  </si>
  <si>
    <t>cmm4yuo7j01e5cuqwxkv66cu8</t>
  </si>
  <si>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</si>
  <si>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</si>
  <si>
    <t>KRAV-AUTO-001630</t>
  </si>
  <si>
    <t>Är lakvattendammen torrlagd ska orsak identifieras och läckage åtgärdas innan upplagsplats får användas.</t>
  </si>
  <si>
    <t>KRAV-AUTO-001631</t>
  </si>
  <si>
    <t>Är vattennivån på röd nivå i lakvattendammen, enligt markeringspinne, ska dammen tömmas: 1) till spillvattensystem efter godkänd kvalitet på upplagsmassor 2) till deponi/destruering, beroende på vilket ämne som påträffats i jordmassorna.</t>
  </si>
  <si>
    <t>http://localhost:8787/api/admin/requirements/documents/cmm4yuo7c01dzcuqw91z7xcdk/view</t>
  </si>
  <si>
    <t>KRAV-AUTO-001632</t>
  </si>
  <si>
    <t>cmm4yuo7c01dzcuqw91z7xcdk</t>
  </si>
  <si>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</si>
  <si>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</si>
  <si>
    <t>KRAV-AUTO-001633</t>
  </si>
  <si>
    <t>Vid behovs sugs uppsamlat lakvatten och sediment upp till sugbil och transporteras bort av Savabs upphandlade entreprenör Foria.</t>
  </si>
  <si>
    <t>KRAV-AUTO-001634</t>
  </si>
  <si>
    <t>(Om farligt avfall krävs att transportör innehar transporttillstånd från länsstyrelsen förtransport av farligt avfall.) Schaktmassorna transporteras bort av Savabs upphandlade entreprenör, vilket i nuläget är Spectra.</t>
  </si>
  <si>
    <t>http://localhost:8787/api/admin/requirements/documents/cmm4yuo7901dwcuqwvikd7d0j/view</t>
  </si>
  <si>
    <t>KRAV-AUTO-001635</t>
  </si>
  <si>
    <t>ADMIN-INDEX-2026-02-27-00000000125C043F57453246863FE664CAFE6A3F0700950291EA24F0614FB6ACEDB12BF0E31D00000000010C0000950291EA24F0614FB6ACEDB12BF0E31D00002087AEEE0000</t>
  </si>
  <si>
    <t>cmm4yuo7901dwcuqwvikd7d0j</t>
  </si>
  <si>
    <t>KRAV-AUTO-001636</t>
  </si>
  <si>
    <t>KRAV-AUTO-001637</t>
  </si>
  <si>
    <t>http://localhost:8787/api/admin/requirements/documents/cmm4yuo7401dtcuqwa1kucbi3/view</t>
  </si>
  <si>
    <t>KRAV-AUTO-001638</t>
  </si>
  <si>
    <t>cmm4yuo7401dtcuqwa1kucbi3</t>
  </si>
  <si>
    <t>KRAV-AUTO-001639</t>
  </si>
  <si>
    <t>KRAV-AUTO-001640</t>
  </si>
  <si>
    <t>http://localhost:8787/api/admin/requirements/documents/cmm4yuo7001dqcuqwvizenob6/view</t>
  </si>
  <si>
    <t>KRAV-AUTO-001641</t>
  </si>
  <si>
    <t>cmm4yuo7001dqcuqwvizenob6</t>
  </si>
  <si>
    <t>KRAV-AUTO-001642</t>
  </si>
  <si>
    <t>KRAV-AUTO-001643</t>
  </si>
  <si>
    <t>http://localhost:8787/api/admin/requirements/documents/cmm4yuo6x01dncuqwimm138qy/view</t>
  </si>
  <si>
    <t>KRAV-AUTO-001644</t>
  </si>
  <si>
    <t>cmm4yuo6x01dncuqwimm138qy</t>
  </si>
  <si>
    <t>KRAV-AUTO-001645</t>
  </si>
  <si>
    <t>KRAV-AUTO-001646</t>
  </si>
  <si>
    <t>http://localhost:8787/api/admin/requirements/documents/cmm4yuo6s01dkcuqwrdu2a83h/view</t>
  </si>
  <si>
    <t>KRAV-AUTO-001647</t>
  </si>
  <si>
    <t>cmm4yuo6s01dkcuqwrdu2a83h</t>
  </si>
  <si>
    <t>KRAV-AUTO-001648</t>
  </si>
  <si>
    <t>KRAV-AUTO-001649</t>
  </si>
  <si>
    <t>http://localhost:8787/api/admin/requirements/documents/cmm4yuo6k01decuqwmupkvn6i/view</t>
  </si>
  <si>
    <t>KRAV-AUTO-001650</t>
  </si>
  <si>
    <t>cmm4yuo6k01decuqwmupkvn6i</t>
  </si>
  <si>
    <t>KRAV-AUTO-001651</t>
  </si>
  <si>
    <t>KRAV-AUTO-001652</t>
  </si>
  <si>
    <t>http://localhost:8787/api/admin/requirements/documents/cmm4yuo6g01dbcuqwz2t0dw7t/view</t>
  </si>
  <si>
    <t>KRAV-AUTO-001653</t>
  </si>
  <si>
    <t>ADMIN-INDEX-2026-02-27-00000000125C043F57453246863FE664CAFE6A3F0700950291EA24F0614FB6ACEDB12BF0E31D00000000010C0000950291EA24F0614FB6ACEDB12BF0E31D00002087AEEF0000</t>
  </si>
  <si>
    <t>cmm4yuo6g01dbcuqwz2t0dw7t</t>
  </si>
  <si>
    <t>Sundbybergs</t>
  </si>
  <si>
    <t>Sundbybergs kommun</t>
  </si>
  <si>
    <t>Masshanteringsplan v3 MIL.2025.564.pdf</t>
  </si>
  <si>
    <t>Beräkning på mängd massor blir då följande: • Massor som bedöms uppfylla KM uppskattas till ca 3569 m3 (lera ca 1-2m), icke-farligt avfall.</t>
  </si>
  <si>
    <t>KRAV-AUTO-001654</t>
  </si>
  <si>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</si>
  <si>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</si>
  <si>
    <t>KRAV-AUTO-001655</t>
  </si>
  <si>
    <t>• Massor som bedöms uppfylla KM uppskattas till ca 3230 m3 (fyllnadsmassor 0-1m), inert avfall.</t>
  </si>
  <si>
    <t>http://localhost:8787/api/admin/requirements/documents/cmm4yuo6c01d8cuqw19oz0flx/view</t>
  </si>
  <si>
    <t>KRAV-AUTO-001656</t>
  </si>
  <si>
    <t>cmm4yuo6c01d8cuqw19oz0flx</t>
  </si>
  <si>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</si>
  <si>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</si>
  <si>
    <t>KRAV-AUTO-001657</t>
  </si>
  <si>
    <t>Farligt avfall som är anmälningspliktigt är elavfall på en uppskattad mängd av 5 ton vid ett och samma tillfälle.</t>
  </si>
  <si>
    <t>KRAV-AUTO-001658</t>
  </si>
  <si>
    <t>mer än 1 ton men högst 50 ton och utgörs av elektriska eller elektroniska produkter, 4.</t>
  </si>
  <si>
    <t>http://localhost:8787/api/admin/requirements/documents/cmm4yuo6901d5cuqw8413hq9s/view</t>
  </si>
  <si>
    <t>KRAV-AUTO-001659</t>
  </si>
  <si>
    <t>cmm4yuo6901d5cuqw8413hq9s</t>
  </si>
  <si>
    <t>Massor får inte lagras till den bullervall som ska byggas i området för Västra Ursvik, då det är en egen process att få använda avfallsmassor i anläggningsändamål.</t>
  </si>
  <si>
    <t>KRAV-AUTO-001660</t>
  </si>
  <si>
    <t>Kompetens för att ta prover krävs för att säkerställa en relevant provtagning som kan användas som underlag för avfallslagringen.</t>
  </si>
  <si>
    <t>KRAV-AUTO-001661</t>
  </si>
  <si>
    <t>Marken under avfallsmassorna ska vara täckt med markduk.</t>
  </si>
  <si>
    <t>http://localhost:8787/api/admin/requirements/documents/cmm4yuo6401d2cuqwlac1bxce/view</t>
  </si>
  <si>
    <t>KRAV-AUTO-001662</t>
  </si>
  <si>
    <t>cmm4yuo6401d2cuqwlac1bxce</t>
  </si>
  <si>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</si>
  <si>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</si>
  <si>
    <t>KRAV-AUTO-001663</t>
  </si>
  <si>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</si>
  <si>
    <t>KRAV-AUTO-001664</t>
  </si>
  <si>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</si>
  <si>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</si>
  <si>
    <t>http://localhost:8787/api/admin/requirements/documents/cmm4yuo5z01czcuqwu97fap0g/view</t>
  </si>
  <si>
    <t>KRAV-AUTO-001665</t>
  </si>
  <si>
    <t>cmm4yuo5z01czcuqwu97fap0g</t>
  </si>
  <si>
    <t>KRAV-AUTO-001666</t>
  </si>
  <si>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</si>
  <si>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</si>
  <si>
    <t>KRAV-AUTO-001667</t>
  </si>
  <si>
    <t>(Om farligt avfall krävs att transportör innehar transporttillstånd från länsstyrelsen förtransport av farligt avfall.) Sundbybergs stad och entreprenör.</t>
  </si>
  <si>
    <t>http://localhost:8787/api/admin/requirements/documents/cmm4yuo5s01cwcuqw5gzg06fx/view</t>
  </si>
  <si>
    <t>KRAV-AUTO-001668</t>
  </si>
  <si>
    <t>cmm4yuo5s01cwcuqw5gzg06fx</t>
  </si>
  <si>
    <t>När det gäller farligt avfall – olja, blybatterier och annat som vi söker om följer vår hantering de krav som finns för separering och omhändertagande med specifika miljöskåp/containrar med integrerade uppsamlingsbehållare är vår uppfattning.</t>
  </si>
  <si>
    <t>KRAV-AUTO-001669</t>
  </si>
  <si>
    <t>Här kommer övergripande kommentarer Den verksamhet vi har på Milot som ansökan avser och eventuella miljörisker anser vi vara mkt små utifrån så som det hanteras idag med både separerade behållare, tydlig skyltning och kunskap om hanteringen.</t>
  </si>
  <si>
    <t>http://localhost:8787/api/admin/requirements/documents/cmm4yuo5o01ctcuqwke7dio7y/view</t>
  </si>
  <si>
    <t>KRAV-AUTO-001670</t>
  </si>
  <si>
    <t>ADMIN-INDEX-2026-02-27-00000000125C043F57453246863FE664CAFE6A3F0700950291EA24F0614FB6ACEDB12BF0E31D00000000010C0000950291EA24F0614FB6ACEDB12BF0E31D00002087AEF00000</t>
  </si>
  <si>
    <t>cmm4yuo5o01ctcuqwke7dio7y</t>
  </si>
  <si>
    <t>KRAV-AUTO-001671</t>
  </si>
  <si>
    <t>KRAV-AUTO-001672</t>
  </si>
  <si>
    <t>http://localhost:8787/api/admin/requirements/documents/cmm4yuo5l01cqcuqwlfzto513/view</t>
  </si>
  <si>
    <t>KRAV-AUTO-001673</t>
  </si>
  <si>
    <t>cmm4yuo5l01cqcuqwlfzto513</t>
  </si>
  <si>
    <t>KRAV-AUTO-001674</t>
  </si>
  <si>
    <t>KRAV-AUTO-001675</t>
  </si>
  <si>
    <t>http://localhost:8787/api/admin/requirements/documents/cmm4yuo5i01cncuqwxovnljgt/view</t>
  </si>
  <si>
    <t>KRAV-AUTO-001676</t>
  </si>
  <si>
    <t>cmm4yuo5i01cncuqwxovnljgt</t>
  </si>
  <si>
    <t>KRAV-AUTO-001677</t>
  </si>
  <si>
    <t>KRAV-AUTO-001678</t>
  </si>
  <si>
    <t>http://localhost:8787/api/admin/requirements/documents/cmm4yuo5f01ckcuqwh95jxj7q/view</t>
  </si>
  <si>
    <t>KRAV-AUTO-001679</t>
  </si>
  <si>
    <t>cmm4yuo5f01ckcuqwh95jxj7q</t>
  </si>
  <si>
    <t>KRAV-AUTO-001680</t>
  </si>
  <si>
    <t>KRAV-AUTO-001681</t>
  </si>
  <si>
    <t>http://localhost:8787/api/admin/requirements/documents/cmm4yuo5d01chcuqwiogbg4pn/view</t>
  </si>
  <si>
    <t>KRAV-AUTO-001682</t>
  </si>
  <si>
    <t>cmm4yuo5d01chcuqwiogbg4pn</t>
  </si>
  <si>
    <t>KRAV-AUTO-001683</t>
  </si>
  <si>
    <t>KRAV-AUTO-001684</t>
  </si>
  <si>
    <t>http://localhost:8787/api/admin/requirements/documents/cmm4yuo5901cecuqw4wfxoy74/view</t>
  </si>
  <si>
    <t>KRAV-AUTO-001685</t>
  </si>
  <si>
    <t>cmm4yuo5901cecuqw4wfxoy74</t>
  </si>
  <si>
    <t>KRAV-AUTO-001686</t>
  </si>
  <si>
    <t>http://localhost:8787/api/admin/requirements/documents/cmm4yuo5601cbcuqwam1x6ve1/view</t>
  </si>
  <si>
    <t>KRAV-AUTO-001687</t>
  </si>
  <si>
    <t>ADMIN-INDEX-2026-02-27-00000000125C043F57453246863FE664CAFE6A3F0700950291EA24F0614FB6ACEDB12BF0E31D00000000010C0000950291EA24F0614FB6ACEDB12BF0E31D00002087AEF10000</t>
  </si>
  <si>
    <t>cmm4yuo5601cbcuqwam1x6ve1</t>
  </si>
  <si>
    <t>se Säters</t>
  </si>
  <si>
    <t>se Säters kommun</t>
  </si>
  <si>
    <t>2025-05-05 Beslut (dnr 2025-191).pdf</t>
  </si>
  <si>
    <t>Totala mängden massor som ska återvinnas är ca 1 400 ton.</t>
  </si>
  <si>
    <t>KRAV-AUTO-001688</t>
  </si>
  <si>
    <t>För godkända massor planeras åternyttjande som fyllnadsmassor under parkerings- och gångstråksytor, där ytorna hårdgörs och på så sätt kan fungera som en inkapslingsfunktionen och skyddsåtgärd för att minska risken för spridning.</t>
  </si>
  <si>
    <t>http://localhost:8787/api/admin/requirements/documents/cmm4yuo4d01bncuqwuhj4mrwg/view</t>
  </si>
  <si>
    <t>KRAV-AUTO-001689</t>
  </si>
  <si>
    <t>cmm4yuo4d01bncuqwuhj4mrwg</t>
  </si>
  <si>
    <t>Resultat för jordprovtagning Säterdalen, Säter Mars 2025 ** Totalhalter uppfyller krav för MRR, laktest krävs för att avgöra om samtliga krav för MRR uppfylls.</t>
  </si>
  <si>
    <t>http://localhost:8787/api/admin/requirements/documents/cmm4yuo4a01bkcuqwn0oorufq/view</t>
  </si>
  <si>
    <t>KRAV-AUTO-001690</t>
  </si>
  <si>
    <t>ADMIN-INDEX-2026-02-27-00000000125C043F57453246863FE664CAFE6A3F0700950291EA24F0614FB6ACEDB12BF0E31D00000000010C0000950291EA24F0614FB6ACEDB12BF0E31D00002087AEF20000</t>
  </si>
  <si>
    <t>cmm4yuo4a01bkcuqwn0oorufq</t>
  </si>
  <si>
    <t>KRAV-AUTO-001691</t>
  </si>
  <si>
    <t>http://localhost:8787/api/admin/requirements/documents/cmm4yuo3i01awcuqwc1jygab4/view</t>
  </si>
  <si>
    <t>KRAV-AUTO-001692</t>
  </si>
  <si>
    <t>cmm4yuo3i01awcuqwc1jygab4</t>
  </si>
  <si>
    <t>http://localhost:8787/api/admin/requirements/documents/cmm4yuo3f01atcuqwn97e7vzm/view</t>
  </si>
  <si>
    <t>KRAV-AUTO-001693</t>
  </si>
  <si>
    <t>ADMIN-INDEX-2026-02-27-00000000125C043F57453246863FE664CAFE6A3F0700950291EA24F0614FB6ACEDB12BF0E31D00000000010C0000950291EA24F0614FB6ACEDB12BF0E31D00002087AEF30000</t>
  </si>
  <si>
    <t>cmm4yuo3f01atcuqwn97e7vzm</t>
  </si>
  <si>
    <t>nummer Webbadress Enköpings</t>
  </si>
  <si>
    <t>nummer Webbadress Enköpings kommun</t>
  </si>
  <si>
    <t>MIL20242313pdf_976561.pdf</t>
  </si>
  <si>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</si>
  <si>
    <t>http://localhost:8787/api/admin/requirements/documents/cmm4yuo3b01aqcuqwdeamtd2e/view</t>
  </si>
  <si>
    <t>KRAV-AUTO-001694</t>
  </si>
  <si>
    <t>cmm4yuo3b01aqcuqwdeamtd2e</t>
  </si>
  <si>
    <t>Själva slamplattan byggs upp av betongstöd för att hägna in slammet och för att skapa ett mothåll när det ska lastas ut.</t>
  </si>
  <si>
    <t>KRAV-AUTO-001695</t>
  </si>
  <si>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</si>
  <si>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</si>
  <si>
    <t>KRAV-AUTO-001696</t>
  </si>
  <si>
    <t>Jag är lite osäker om det behövs anmälas eftersom slam i sig kan innehålla högre halter än vad KM-jord gör och att landskapsbilden redan påverkats i samband med byggandet av slamplattan.</t>
  </si>
  <si>
    <t>http://localhost:8787/api/admin/requirements/documents/cmm4yuo3801ancuqw1jpsw25j/view</t>
  </si>
  <si>
    <t>KRAV-AUTO-001697</t>
  </si>
  <si>
    <t>cmm4yuo3801ancuqw1jpsw25j</t>
  </si>
  <si>
    <t>Då betongen genom provtagning har visats innehålla krom 6 anser nämnden att det är lämpligt att föreskriva villkor för att undvika spridning av detta.</t>
  </si>
  <si>
    <t>KRAV-AUTO-001698</t>
  </si>
  <si>
    <t>Verksameten ska genomföra lämpliga förebyggande åtgärder så som exempelvis icke genomsläpplig markduk, för att säkerställa att betongkrosset inte utör en risk för olägenhet för människors hälsa och miljön genom ex.</t>
  </si>
  <si>
    <t>KRAV-AUTO-001699</t>
  </si>
  <si>
    <t>Använda massor ska vara dem som provtagits samt medskitckats anmälan.</t>
  </si>
  <si>
    <t>http://localhost:8787/api/admin/requirements/documents/cmm4yuo3401akcuqw33yc4t72/view</t>
  </si>
  <si>
    <t>KRAV-AUTO-001700</t>
  </si>
  <si>
    <t>cmm4yuo3401akcuqw33yc4t72</t>
  </si>
  <si>
    <t>Massor ska innan mottagande ha provtagits och jämföras mot Naturvårdsverkets Mindre än ringa risk (MRR).</t>
  </si>
  <si>
    <t>KRAV-AUTO-001701</t>
  </si>
  <si>
    <t>Verksamhetsutövaren ahr anmält användande av avfall för anläggningsändamål vilket innebär att Naturårdesverket mindre än ringa risk (MRR) ska tillämpas.</t>
  </si>
  <si>
    <t>KRAV-AUTO-001702</t>
  </si>
  <si>
    <t>http://localhost:8787/api/admin/requirements/documents/cmm4yuo2z01ahcuqwg8rl0h1f/view</t>
  </si>
  <si>
    <t>KRAV-AUTO-001703</t>
  </si>
  <si>
    <t>cmm4yuo2z01ahcuqwg8rl0h1f</t>
  </si>
  <si>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</si>
  <si>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</si>
  <si>
    <t>KRAV-AUTO-001704</t>
  </si>
  <si>
    <t>Vad ska avfallet användas till?</t>
  </si>
  <si>
    <t>KRAV-AUTO-001705</t>
  </si>
  <si>
    <t>Vem ska transportera avfallet och hur ska transporten gå till?</t>
  </si>
  <si>
    <t>http://localhost:8787/api/admin/requirements/documents/cmm4yuo2v01aecuqwrs33d0lp/view</t>
  </si>
  <si>
    <t>KRAV-AUTO-001706</t>
  </si>
  <si>
    <t>ADMIN-INDEX-2026-02-27-00000000125C043F57453246863FE664CAFE6A3F0700950291EA24F0614FB6ACEDB12BF0E31D00000000010C0000950291EA24F0614FB6ACEDB12BF0E31D00002087AEF40000</t>
  </si>
  <si>
    <t>cmm4yuo2v01aecuqwrs33d0lp</t>
  </si>
  <si>
    <t>http://localhost:8787/api/admin/requirements/documents/cmm4yuo2s01abcuqwhfm5f6re/view</t>
  </si>
  <si>
    <t>KRAV-AUTO-001707</t>
  </si>
  <si>
    <t>cmm4yuo2s01abcuqwhfm5f6re</t>
  </si>
  <si>
    <t>KRAV-AUTO-001708</t>
  </si>
  <si>
    <t>KRAV-AUTO-001709</t>
  </si>
  <si>
    <t>http://localhost:8787/api/admin/requirements/documents/cmm4yuo2p01a8cuqwkzuu666j/view</t>
  </si>
  <si>
    <t>KRAV-AUTO-001710</t>
  </si>
  <si>
    <t>cmm4yuo2p01a8cuqwkzuu666j</t>
  </si>
  <si>
    <t>KRAV-AUTO-001711</t>
  </si>
  <si>
    <t>KRAV-AUTO-001712</t>
  </si>
  <si>
    <t>http://localhost:8787/api/admin/requirements/documents/cmm4yuo2l01a5cuqw9njrl6ru/view</t>
  </si>
  <si>
    <t>KRAV-AUTO-001713</t>
  </si>
  <si>
    <t>cmm4yuo2l01a5cuqw9njrl6ru</t>
  </si>
  <si>
    <t>KRAV-AUTO-001714</t>
  </si>
  <si>
    <t>KRAV-AUTO-001715</t>
  </si>
  <si>
    <t>http://localhost:8787/api/admin/requirements/documents/cmm4yuo2i01a2cuqw719jt1sh/view</t>
  </si>
  <si>
    <t>KRAV-AUTO-001716</t>
  </si>
  <si>
    <t>cmm4yuo2i01a2cuqw719jt1sh</t>
  </si>
  <si>
    <t>KRAV-AUTO-001717</t>
  </si>
  <si>
    <t>KRAV-AUTO-001718</t>
  </si>
  <si>
    <t>http://localhost:8787/api/admin/requirements/documents/cmm4yuo2e019zcuqw2jcty2mf/view</t>
  </si>
  <si>
    <t>KRAV-AUTO-001719</t>
  </si>
  <si>
    <t>ADMIN-INDEX-2026-02-27-00000000125C043F57453246863FE664CAFE6A3F0700950291EA24F0614FB6ACEDB12BF0E31D00000000010C0000950291EA24F0614FB6ACEDB12BF0E31D00002087AEF50000</t>
  </si>
  <si>
    <t>cmm4yuo2e019zcuqw2jcty2mf</t>
  </si>
  <si>
    <t>MIL2024526pdf_976554.pdf</t>
  </si>
  <si>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</si>
  <si>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</si>
  <si>
    <t>KRAV-AUTO-001720</t>
  </si>
  <si>
    <t>Om en anläggning utformas så att onödigt mycket avfall används och avfallet inte fyller någon funktion kan det vara fråga om bortskaffning av avfall.</t>
  </si>
  <si>
    <t>KRAV-AUTO-001721</t>
  </si>
  <si>
    <t>Kemiska produkter och farligt avfall ska förvaras väl uppmärkta och på sådant sätt att risk för förorening av mark och vatten inte föreligger.</t>
  </si>
  <si>
    <t>http://localhost:8787/api/admin/requirements/documents/cmm4yuo2b019wcuqwqx0j3nbg/view</t>
  </si>
  <si>
    <t>KRAV-AUTO-001722</t>
  </si>
  <si>
    <t>cmm4yuo2b019wcuqwqx0j3nbg</t>
  </si>
  <si>
    <t>KRAV-AUTO-001723</t>
  </si>
  <si>
    <t>KRAV-AUTO-001724</t>
  </si>
  <si>
    <t>http://localhost:8787/api/admin/requirements/documents/cmm4yuo28019tcuqwjr9lxh3o/view</t>
  </si>
  <si>
    <t>KRAV-AUTO-001725</t>
  </si>
  <si>
    <t>cmm4yuo28019tcuqwjr9lxh3o</t>
  </si>
  <si>
    <t>KRAV-AUTO-001726</t>
  </si>
  <si>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</si>
  <si>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</si>
  <si>
    <t>KRAV-AUTO-001727</t>
  </si>
  <si>
    <t>http://localhost:8787/api/admin/requirements/documents/cmm4yuo25019qcuqwga2gm8tx/view</t>
  </si>
  <si>
    <t>KRAV-AUTO-001728</t>
  </si>
  <si>
    <t>cmm4yuo25019qcuqwga2gm8tx</t>
  </si>
  <si>
    <t>KRAV-AUTO-001729</t>
  </si>
  <si>
    <t>KRAV-AUTO-001730</t>
  </si>
  <si>
    <t>http://localhost:8787/api/admin/requirements/documents/cmm4yuo22019ncuqwfc19cfnc/view</t>
  </si>
  <si>
    <t>KRAV-AUTO-001731</t>
  </si>
  <si>
    <t>ADMIN-INDEX-2026-02-27-00000000125C043F57453246863FE664CAFE6A3F0700950291EA24F0614FB6ACEDB12BF0E31D00000000010C0000950291EA24F0614FB6ACEDB12BF0E31D00002087AEF60000</t>
  </si>
  <si>
    <t>cmm4yuo22019ncuqwfc19cfnc</t>
  </si>
  <si>
    <t>KRAV-AUTO-001732</t>
  </si>
  <si>
    <t>KRAV-AUTO-001733</t>
  </si>
  <si>
    <t>http://localhost:8787/api/admin/requirements/documents/cmm4yuo20019kcuqw9y5hjrdw/view</t>
  </si>
  <si>
    <t>KRAV-AUTO-001734</t>
  </si>
  <si>
    <t>cmm4yuo20019kcuqw9y5hjrdw</t>
  </si>
  <si>
    <t>KRAV-AUTO-001735</t>
  </si>
  <si>
    <t>KRAV-AUTO-001736</t>
  </si>
  <si>
    <t>http://localhost:8787/api/admin/requirements/documents/cmm4yuo1x019hcuqwxcrforrg/view</t>
  </si>
  <si>
    <t>KRAV-AUTO-001737</t>
  </si>
  <si>
    <t>cmm4yuo1x019hcuqwxcrforrg</t>
  </si>
  <si>
    <t>KRAV-AUTO-001738</t>
  </si>
  <si>
    <t>KRAV-AUTO-001739</t>
  </si>
  <si>
    <t>http://localhost:8787/api/admin/requirements/documents/cmm4yuo1t019ecuqw7yipqkgc/view</t>
  </si>
  <si>
    <t>KRAV-AUTO-001740</t>
  </si>
  <si>
    <t>cmm4yuo1t019ecuqw7yipqkgc</t>
  </si>
  <si>
    <t>KRAV-AUTO-001741</t>
  </si>
  <si>
    <t>KRAV-AUTO-001742</t>
  </si>
  <si>
    <t>http://localhost:8787/api/admin/requirements/documents/cmm4yuo1l0198cuqwfklwg66t/view</t>
  </si>
  <si>
    <t>KRAV-AUTO-001743</t>
  </si>
  <si>
    <t>ADMIN-INDEX-2026-02-27-00000000125C043F57453246863FE664CAFE6A3F0700950291EA24F0614FB6ACEDB12BF0E31D00000000010C0000950291EA24F0614FB6ACEDB12BF0E31D00002087AEF70000</t>
  </si>
  <si>
    <t>cmm4yuo1l0198cuqwfklwg66t</t>
  </si>
  <si>
    <t>2025-12-01 Anmälan (dnr 2025-515).pdf</t>
  </si>
  <si>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</si>
  <si>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</si>
  <si>
    <t>KRAV-AUTO-001744</t>
  </si>
  <si>
    <t>Jordprovtagningskarta bifogas.</t>
  </si>
  <si>
    <t>KRAV-AUTO-001745</t>
  </si>
  <si>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</si>
  <si>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</si>
  <si>
    <t>http://localhost:8787/api/admin/requirements/documents/cmm4yuo1e0192cuqwwvml9v2v/view</t>
  </si>
  <si>
    <t>KRAV-AUTO-001746</t>
  </si>
  <si>
    <t>cmm4yuo1e0192cuqwwvml9v2v</t>
  </si>
  <si>
    <t>Resultatet av undersökningar och bedömningar skall dokumenteras.” Riskbedömningen, Bilaga 1, innehåller information som beskriver;</t>
  </si>
  <si>
    <t>KRAV-AUTO-001747</t>
  </si>
  <si>
    <t>6 §, 1 stycke Enligt 6 §, första stycket: ”Verksamhetsutövaren skall fortlöpande och systematiskt undersöka och bedöma riskerna med verksamheten från hälso- och miljösynpunkt.</t>
  </si>
  <si>
    <t>KRAV-AUTO-001748</t>
  </si>
  <si>
    <t>7 § Enligt 7 §: ”Verksamhetsutövaren skall förteckna de kemiska produkter samt biotekniska organismer som hanteras inom verksamheten och som kan innebära risker från hälso- eller miljösynpunkt.</t>
  </si>
  <si>
    <t>http://localhost:8787/api/admin/requirements/documents/cmm4yuo1b018zcuqw7873nhek/view</t>
  </si>
  <si>
    <t>KRAV-AUTO-001749</t>
  </si>
  <si>
    <t>cmm4yuo1b018zcuqw7873nhek</t>
  </si>
  <si>
    <t>Utrustning Kontroll- period Ansvarig Senast kontrollerad Avvikelse Kontroll av lagringsplatsen Lagring ska ske så att risk för läckage av näringsämnen minimeras En gång per halvår Kundansvari g XXXX-XX-XX ?</t>
  </si>
  <si>
    <t>http://localhost:8787/api/admin/requirements/documents/cmm4yuo0v018kcuqw0ffl1d8h/view</t>
  </si>
  <si>
    <t>KRAV-AUTO-001750</t>
  </si>
  <si>
    <t>cmm4yuo0v018kcuqw0ffl1d8h</t>
  </si>
  <si>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</si>
  <si>
    <t>KRAV-AUTO-001751</t>
  </si>
  <si>
    <t>Jordprovtagning har gjorts på den åkermark som spridning ska ske.</t>
  </si>
  <si>
    <t>KRAV-AUTO-001752</t>
  </si>
  <si>
    <t>Om det är problematiska förhållanden kommer det 260 ton som ska spridas under hösten att läggas upp under sensommar/hösten när det är goda förutsättningar.</t>
  </si>
  <si>
    <t>http://localhost:8787/api/admin/requirements/documents/cmm4yuo0n018ecuqwgykqcb0s/view</t>
  </si>
  <si>
    <t>KRAV-AUTO-001753</t>
  </si>
  <si>
    <t>ADMIN-INDEX-2026-02-27-00000000125C043F57453246863FE664CAFE6A3F0700950291EA24F0614FB6ACEDB12BF0E31D00000000010C0000950291EA24F0614FB6ACEDB12BF0E31D00002087AEF80000</t>
  </si>
  <si>
    <t>cmm4yuo0n018ecuqwgykqcb0s</t>
  </si>
  <si>
    <t>KRAV-AUTO-001754</t>
  </si>
  <si>
    <t>KRAV-AUTO-001755</t>
  </si>
  <si>
    <t>http://localhost:8787/api/admin/requirements/documents/cmm4yuo0g0188cuqwh77h9gny/view</t>
  </si>
  <si>
    <t>KRAV-AUTO-001756</t>
  </si>
  <si>
    <t>cmm4yuo0g0188cuqwh77h9gny</t>
  </si>
  <si>
    <t>KRAV-AUTO-001757</t>
  </si>
  <si>
    <t>KRAV-AUTO-001758</t>
  </si>
  <si>
    <t>http://localhost:8787/api/admin/requirements/documents/cmm4yuo0d0185cuqw6nugyji9/view</t>
  </si>
  <si>
    <t>KRAV-AUTO-001759</t>
  </si>
  <si>
    <t>cmm4yuo0d0185cuqw6nugyji9</t>
  </si>
  <si>
    <t>http://localhost:8787/api/admin/requirements/documents/cmm4yunzu017qcuqwyrj6lr3a/view</t>
  </si>
  <si>
    <t>KRAV-AUTO-001760</t>
  </si>
  <si>
    <t>cmm4yunzu017qcuqwyrj6lr3a</t>
  </si>
  <si>
    <t>KRAV-AUTO-001761</t>
  </si>
  <si>
    <t>KRAV-AUTO-001762</t>
  </si>
  <si>
    <t>http://localhost:8787/api/admin/requirements/documents/cmm4yunzq017ncuqwppmobksj/view</t>
  </si>
  <si>
    <t>KRAV-AUTO-001763</t>
  </si>
  <si>
    <t>ADMIN-INDEX-2026-02-27-00000000125C043F57453246863FE664CAFE6A3F0700950291EA24F0614FB6ACEDB12BF0E31D00000000010C0000950291EA24F0614FB6ACEDB12BF0E31D00002087AEF90000</t>
  </si>
  <si>
    <t>cmm4yunzq017ncuqwppmobksj</t>
  </si>
  <si>
    <t>http://localhost:8787/api/admin/requirements/documents/cmm4yunzn017kcuqw4gxt3o5h/view</t>
  </si>
  <si>
    <t>KRAV-AUTO-001764</t>
  </si>
  <si>
    <t>ADMIN-INDEX-2026-02-27-00000000125C043F57453246863FE664CAFE6A3F0700950291EA24F0614FB6ACEDB12BF0E31D00000000010C0000950291EA24F0614FB6ACEDB12BF0E31D00002087AEFA0000</t>
  </si>
  <si>
    <t>cmm4yunzn017kcuqw4gxt3o5h</t>
  </si>
  <si>
    <t>http://localhost:8787/api/admin/requirements/documents/cmm4yunzk017hcuqw4gd878mw/view</t>
  </si>
  <si>
    <t>KRAV-AUTO-001765</t>
  </si>
  <si>
    <t>ADMIN-INDEX-2026-02-27-00000000125C043F57453246863FE664CAFE6A3F0700950291EA24F0614FB6ACEDB12BF0E31D00000000010C0000950291EA24F0614FB6ACEDB12BF0E31D00002087AEFB0000</t>
  </si>
  <si>
    <t>cmm4yunzk017hcuqw4gd878mw</t>
  </si>
  <si>
    <t>Samhällsbyggnadsnämnden Beslut Gnesta</t>
  </si>
  <si>
    <t>Samhällsbyggnadsnämnden Beslut Gnesta kommun</t>
  </si>
  <si>
    <t>MIL2024149_2026-02-03.pdf</t>
  </si>
  <si>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</si>
  <si>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</si>
  <si>
    <t>KRAV-AUTO-001766</t>
  </si>
  <si>
    <t>Det befintliga kontrollprogrammet måste uppdateras för att stämma överens med de försiktighetsmått som ställs i detta föreläggande.</t>
  </si>
  <si>
    <t>KRAV-AUTO-001767</t>
  </si>
  <si>
    <t>Det mellanlagrade avfallet som lagras utomhus ska enbart placeras och samlas ovanpå den hårdgjord ytan som finns.</t>
  </si>
  <si>
    <t>http://localhost:8787/api/admin/requirements/documents/cmm4yunzh017ecuqwshzu14mr/view</t>
  </si>
  <si>
    <t>KRAV-AUTO-001768</t>
  </si>
  <si>
    <t>cmm4yunzh017ecuqwshzu14mr</t>
  </si>
  <si>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</si>
  <si>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</si>
  <si>
    <t>KRAV-AUTO-001769</t>
  </si>
  <si>
    <t>Utredningen är en del av en ansökan om drift av en verksamhet för hantering av befintligt bergavfall, sluttäcka en gammal tipp samt utföra landskapsförändring.</t>
  </si>
  <si>
    <t>KRAV-AUTO-001770</t>
  </si>
  <si>
    <t>Rättslig grund för behandlingen En arbetsuppgift i samband med myndighetsutövning ska kunna utföras Lagringstid Bevaras Övrigt om lagringstid Läs mer om behandling av personuppgifter under Personuppgifter i menyn ovan.</t>
  </si>
  <si>
    <t>http://localhost:8787/api/admin/requirements/documents/cmm4yunze017bcuqwnizar72s/view</t>
  </si>
  <si>
    <t>KRAV-AUTO-001771</t>
  </si>
  <si>
    <t>ADMIN-INDEX-2026-02-27-00000000125C043F57453246863FE664CAFE6A3F0700950291EA24F0614FB6ACEDB12BF0E31D00000000010C0000950291EA24F0614FB6ACEDB12BF0E31D00002087AEFC0000</t>
  </si>
  <si>
    <t>cmm4yunze017bcuqwnizar72s</t>
  </si>
  <si>
    <t>KRAV-AUTO-001772</t>
  </si>
  <si>
    <t>KRAV-AUTO-001773</t>
  </si>
  <si>
    <t>http://localhost:8787/api/admin/requirements/documents/cmm4yunza0178cuqwujf9gm1r/view</t>
  </si>
  <si>
    <t>KRAV-AUTO-001774</t>
  </si>
  <si>
    <t>cmm4yunza0178cuqwujf9gm1r</t>
  </si>
  <si>
    <t>KRAV-AUTO-001775</t>
  </si>
  <si>
    <t>KRAV-AUTO-001776</t>
  </si>
  <si>
    <t>http://localhost:8787/api/admin/requirements/documents/cmm4yunz0016zcuqw452huqhy/view</t>
  </si>
  <si>
    <t>KRAV-AUTO-001777</t>
  </si>
  <si>
    <t>ADMIN-INDEX-2026-02-27-00000000125C043F57453246863FE664CAFE6A3F0700950291EA24F0614FB6ACEDB12BF0E31D00000000010C0000950291EA24F0614FB6ACEDB12BF0E31D00002087AF050000</t>
  </si>
  <si>
    <t>cmm4yunz0016zcuqw452huqhy</t>
  </si>
  <si>
    <t>i Osby</t>
  </si>
  <si>
    <t>i Osby kommun</t>
  </si>
  <si>
    <t>Ramen_4_beslut.pdf</t>
  </si>
  <si>
    <t>http://localhost:8787/api/admin/requirements/documents/cmm4yunyx016wcuqwzfkp2cmj/view</t>
  </si>
  <si>
    <t>KRAV-AUTO-001778</t>
  </si>
  <si>
    <t>cmm4yunyx016wcuqwzfkp2cmj</t>
  </si>
  <si>
    <t> Visar provtagningen att de är förorenat så skall massorna transporteras till godkänd anläggning  Schakt och vegetationsmassor som uppkommer där vi inte misstänker någon förorening behöver ej prov tas.</t>
  </si>
  <si>
    <t>KRAV-AUTO-001779</t>
  </si>
  <si>
    <t>Rutiner för mellan lagra schaktmassor  Kännedom var schakten blir uppgrävd  Lukta  Egen bedömning om de finns risk för föroreningar tex (gammal industritomt)  Finns de risk så ska massorna prov tas av en person med erforderlig kunskap inom området.</t>
  </si>
  <si>
    <t>http://localhost:8787/api/admin/requirements/documents/cmm4yunyt016tcuqwjhddtkb3/view</t>
  </si>
  <si>
    <t>KRAV-AUTO-001780</t>
  </si>
  <si>
    <t>cmm4yunyt016tcuqwjhddtkb3</t>
  </si>
  <si>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</si>
  <si>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</si>
  <si>
    <t>http://localhost:8787/api/admin/requirements/documents/cmm4yunyq016qcuqwepc6wg20/view</t>
  </si>
  <si>
    <t>KRAV-AUTO-001781</t>
  </si>
  <si>
    <t>cmm4yunyq016qcuqwepc6wg20</t>
  </si>
  <si>
    <t>Miljö- och byggnadsnämndens handläggning innebär primärt en bedömning kring om åtgärden som är beskriven i anmälan utgör återvinning eller bortskaffning av avfall.</t>
  </si>
  <si>
    <t>KRAV-AUTO-001782</t>
  </si>
  <si>
    <t>Avfallet ska utgöras av jord utan inslag för ovidkommande fast avfall.</t>
  </si>
  <si>
    <t>KRAV-AUTO-001783</t>
  </si>
  <si>
    <t>Avfallet ska vara analyserat, klassats och kontrolleras när det kommer till fastigheten.</t>
  </si>
  <si>
    <t>http://localhost:8787/api/admin/requirements/documents/cmm4yunym016ncuqwppnn2dk5/view</t>
  </si>
  <si>
    <t>KRAV-AUTO-001784</t>
  </si>
  <si>
    <t>cmm4yunym016ncuqwppnn2dk5</t>
  </si>
  <si>
    <t>På historisk flygbild från år 2000 kan ses att området där vallen ska anläggas idag består av igenvuxen industrimark, se Figur 1.</t>
  </si>
  <si>
    <t>KRAV-AUTO-001785</t>
  </si>
  <si>
    <t>Om vallen ska anläggas på skogsmark, i enlighet med bifogat situationsplan, kan ni visa att marken har använts för industriändamål tidigare och planeras provtagning av marken för att undersöka bakgrundshalter?</t>
  </si>
  <si>
    <t>http://localhost:8787/api/admin/requirements/documents/cmm4yunyc016ecuqw7unvnr1o/view</t>
  </si>
  <si>
    <t>KRAV-AUTO-001786</t>
  </si>
  <si>
    <t>cmm4yunyc016ecuqw7unvnr1o</t>
  </si>
  <si>
    <t>Hur ska avfallet användas?</t>
  </si>
  <si>
    <t>KRAV-AUTO-001787</t>
  </si>
  <si>
    <t>Ja, bifoga provtagnings-/analysresultat X Nej, beskriv varför det inte är gjort Allt material som ska tillföras kommer att tas prover på och redovisas löpande.</t>
  </si>
  <si>
    <t>KRAV-AUTO-001788</t>
  </si>
  <si>
    <t>Då det idag förekommer både flisning av energived samt krossning av returträ uppstår bitvís hög ljudnivå och en del damm, Med en bullervall så minskar risken för buller till dom intill liggande villorna.</t>
  </si>
  <si>
    <t>http://localhost:8787/api/admin/requirements/documents/cmm4yuny9016bcuqw9n8fnq3g/view</t>
  </si>
  <si>
    <t>KRAV-AUTO-001789</t>
  </si>
  <si>
    <t>cmm4yuny9016bcuqw9n8fnq3g</t>
  </si>
  <si>
    <t>Provtagning på utgående dagvatten ska kunna utföras vid behov.</t>
  </si>
  <si>
    <t>KRAV-AUTO-001790</t>
  </si>
  <si>
    <t>Kemikaliespill ska förebyggas och det ska finnas tillräckligt med invallning vid förvaring av kemikalier samt ska det finnas tillräckligt med tillgång till absorbenter, exempelvis absorberingsmedel.</t>
  </si>
  <si>
    <t>KRAV-AUTO-001791</t>
  </si>
  <si>
    <t>Ytor som produkterna/avfallet förvaras på ska ha tätt underlag, antingen av tät betong eller asfalt anpassad för ändamålet eller liknande material.</t>
  </si>
  <si>
    <t>http://localhost:8787/api/admin/requirements/documents/cmm4yuny60168cuqwfx46bzvv/view</t>
  </si>
  <si>
    <t>KRAV-AUTO-001792</t>
  </si>
  <si>
    <t>cmm4yuny60168cuqwfx46bzvv</t>
  </si>
  <si>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</si>
  <si>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</si>
  <si>
    <t>http://localhost:8787/api/admin/requirements/documents/cmm4yuny40165cuqwy1azz6kc/view</t>
  </si>
  <si>
    <t>KRAV-AUTO-001793</t>
  </si>
  <si>
    <t>cmm4yuny40165cuqwy1azz6kc</t>
  </si>
  <si>
    <t>Avfall Maximal mängd momentant Blybatterier 30 ton Elektriska och elektroniska produkter 50 ton Impregnerat trä 30 ton Spillolja 5 ton Övrigt farligt avfall 1 ton Lokalisering Platsen för den anmälda verksamheten utgör den västliga delen av fastigheten Väderleken 2.</t>
  </si>
  <si>
    <t>KRAV-AUTO-001794</t>
  </si>
  <si>
    <t>Alla flytande kemiska produkter kommer att förvaras invallat och väderskyddat.</t>
  </si>
  <si>
    <t>KRAV-AUTO-001795</t>
  </si>
  <si>
    <t>En stor del av vattnet kommer att dunsta bort men överflödigt vatten kommer att samlas i en golvbrunn och ledas till dagvattendammen.</t>
  </si>
  <si>
    <t>http://localhost:8787/api/admin/requirements/documents/cmm4yuny10162cuqwmghj3oaq/view</t>
  </si>
  <si>
    <t>KRAV-AUTO-001796</t>
  </si>
  <si>
    <t>ADMIN-INDEX-2026-02-27-00000000125C043F57453246863FE664CAFE6A3F0700950291EA24F0614FB6ACEDB12BF0E31D00000000010C0000950291EA24F0614FB6ACEDB12BF0E31D00002087AF060000</t>
  </si>
  <si>
    <t>cmm4yuny10162cuqwmghj3oaq</t>
  </si>
  <si>
    <t>http://localhost:8787/api/admin/requirements/documents/cmm4yunxz015zcuqwq8ans012/view</t>
  </si>
  <si>
    <t>KRAV-AUTO-001797</t>
  </si>
  <si>
    <t>cmm4yunxz015zcuqwq8ans012</t>
  </si>
  <si>
    <t>KRAV-AUTO-001798</t>
  </si>
  <si>
    <t>http://localhost:8787/api/admin/requirements/documents/cmm4yunxv015wcuqwtbcey1ic/view</t>
  </si>
  <si>
    <t>KRAV-AUTO-001799</t>
  </si>
  <si>
    <t>cmm4yunxv015wcuqwtbcey1ic</t>
  </si>
  <si>
    <t>http://localhost:8787/api/admin/requirements/documents/cmm4yunxs015tcuqw3qioep4h/view</t>
  </si>
  <si>
    <t>KRAV-AUTO-001800</t>
  </si>
  <si>
    <t>cmm4yunxs015tcuqw3qioep4h</t>
  </si>
  <si>
    <t>KRAV-AUTO-001801</t>
  </si>
  <si>
    <t>KRAV-AUTO-001802</t>
  </si>
  <si>
    <t>http://localhost:8787/api/admin/requirements/documents/cmm4yunxp015qcuqwpj2jzrzk/view</t>
  </si>
  <si>
    <t>KRAV-AUTO-001803</t>
  </si>
  <si>
    <t>cmm4yunxp015qcuqwpj2jzrzk</t>
  </si>
  <si>
    <t>KRAV-AUTO-001804</t>
  </si>
  <si>
    <t>http://localhost:8787/api/admin/requirements/documents/cmm4yunxg015hcuqwwpr6maf1/view</t>
  </si>
  <si>
    <t>KRAV-AUTO-001805</t>
  </si>
  <si>
    <t>cmm4yunxg015hcuqwwpr6maf1</t>
  </si>
  <si>
    <t>KRAV-AUTO-001806</t>
  </si>
  <si>
    <t>KRAV-AUTO-001807</t>
  </si>
  <si>
    <t>http://localhost:8787/api/admin/requirements/documents/cmm4yunxd015ecuqwctznxn62/view</t>
  </si>
  <si>
    <t>KRAV-AUTO-001808</t>
  </si>
  <si>
    <t>cmm4yunxd015ecuqwctznxn62</t>
  </si>
  <si>
    <t>KRAV-AUTO-001809</t>
  </si>
  <si>
    <t>KRAV-AUTO-001810</t>
  </si>
  <si>
    <t>http://localhost:8787/api/admin/requirements/documents/cmm4yunxa015bcuqwn4yokmhr/view</t>
  </si>
  <si>
    <t>KRAV-AUTO-001811</t>
  </si>
  <si>
    <t>cmm4yunxa015bcuqwn4yokmhr</t>
  </si>
  <si>
    <t>http://localhost:8787/api/admin/requirements/documents/cmm4yunx80158cuqwhvf4esip/view</t>
  </si>
  <si>
    <t>KRAV-AUTO-001812</t>
  </si>
  <si>
    <t>cmm4yunx80158cuqwhvf4esip</t>
  </si>
  <si>
    <t>KRAV-AUTO-001813</t>
  </si>
  <si>
    <t>KRAV-AUTO-001814</t>
  </si>
  <si>
    <t>http://localhost:8787/api/admin/requirements/documents/cmm4yunww014wcuqwr4qcrzmq/view</t>
  </si>
  <si>
    <t>KRAV-AUTO-001815</t>
  </si>
  <si>
    <t>ADMIN-INDEX-2026-02-27-00000000125C043F57453246863FE664CAFE6A3F0700950291EA24F0614FB6ACEDB12BF0E31D00000000010C0000950291EA24F0614FB6ACEDB12BF0E31D00002087AF070000</t>
  </si>
  <si>
    <t>cmm4yunww014wcuqwr4qcrzmq</t>
  </si>
  <si>
    <t>i Karlskrona</t>
  </si>
  <si>
    <t>i Karlskrona kommun</t>
  </si>
  <si>
    <t>MSN-2024-1016_2024-03-06_MSN-2022-4871_2023-02-16_Beslut_(2).pdf</t>
  </si>
  <si>
    <t>Flytande farligt avfall ska förvaras invallat och nederbördsskyddat.</t>
  </si>
  <si>
    <t>KRAV-AUTO-001816</t>
  </si>
  <si>
    <t>Kommunen förelägger SkrotSmart AB att inkomma med en provtagningsplan som beskriver provtagning på utgående dagvatten och analys av dagvattnets innehåll av metaller inom 6 månader efter att verksamheten har tagits i drift.</t>
  </si>
  <si>
    <t>KRAV-AUTO-001817</t>
  </si>
  <si>
    <t>Inom 6 månader efter verksamheten har satt igång ska verksamhetsutövaren inkomma till tillsynsmyndigheten med en provtagningsplan som beskriver provtagning och analys av dagvattnets innehåll av metaller på utgående dagvatten.</t>
  </si>
  <si>
    <t>http://localhost:8787/api/admin/requirements/documents/cmm4yunwq014qcuqw3a108s1f/view</t>
  </si>
  <si>
    <t>KRAV-AUTO-001818</t>
  </si>
  <si>
    <t>cmm4yunwq014qcuqw3a108s1f</t>
  </si>
  <si>
    <t>Förvaring av flytande kemiska produkter och flytande farligt avfall ska ske på en yta som är ogenomsläpplig för de aktuella ämnena, invallad och nederbördsskyddad samt skyddad mot påkörning.</t>
  </si>
  <si>
    <t>KRAV-AUTO-001819</t>
  </si>
  <si>
    <t>Förvaringen av flytande farligt avfall och -- 11 of 15 -- Öppen information flytande kemikalier ska ske på en yta som är ogenomsläpplig och invallad samt skyddad mot påkörning.</t>
  </si>
  <si>
    <t>KRAV-AUTO-001820</t>
  </si>
  <si>
    <t>Vatten som avleds till dagvattensystemet från hårdgjorda ytor, där avfall lagras och hanteras eller där fordon står uppställda ska passera en oljeavskiljare innan det lämnar anläggningen.</t>
  </si>
  <si>
    <t>http://localhost:8787/api/admin/requirements/documents/cmm4yunwk014kcuqwazj6wl12/view</t>
  </si>
  <si>
    <t>KRAV-AUTO-001821</t>
  </si>
  <si>
    <t>cmm4yunwk014kcuqwazj6wl12</t>
  </si>
  <si>
    <t>Flytande farligt avfall och kemiska produkter ska förvaras invallat och nederbördsskyddat.</t>
  </si>
  <si>
    <t>KRAV-AUTO-001822</t>
  </si>
  <si>
    <t>Nämnden förelägger Skrotfrag AB att inkomma med en provtagningsplan som beskriver provtagning på utgående dagvatten och analys av dagvattnets innehåll av PAH:er och metaller inom 6 månader efter att verksamheten har tagits i drift.</t>
  </si>
  <si>
    <t>KRAV-AUTO-001823</t>
  </si>
  <si>
    <t>Inom 6 månader efter verksamheten har satt igång ska verksamhetsutövaren inkomma till tillsynsmyndigheten med en provtagningsplan som beskriver provtagning och analys av dagvattnets innehåll av PAH och metaller på utgående dagvatten.</t>
  </si>
  <si>
    <t>http://localhost:8787/api/admin/requirements/documents/cmm4yunvp013kcuqwu71ju9j0/view</t>
  </si>
  <si>
    <t>KRAV-AUTO-001824</t>
  </si>
  <si>
    <t>ADMIN-INDEX-2026-02-27-00000000125C043F57453246863FE664CAFE6A3F0700950291EA24F0614FB6ACEDB12BF0E31D00000000010C0000950291EA24F0614FB6ACEDB12BF0E31D00002087AF080000</t>
  </si>
  <si>
    <t>cmm4yunvp013kcuqwu71ju9j0</t>
  </si>
  <si>
    <t>KRAV-AUTO-001825</t>
  </si>
  <si>
    <t>KRAV-AUTO-001826</t>
  </si>
  <si>
    <t>http://localhost:8787/api/admin/requirements/documents/cmm4yunvj013ecuqw2onfjva0/view</t>
  </si>
  <si>
    <t>KRAV-AUTO-001827</t>
  </si>
  <si>
    <t>cmm4yunvj013ecuqw2onfjva0</t>
  </si>
  <si>
    <t>KRAV-AUTO-001828</t>
  </si>
  <si>
    <t>KRAV-AUTO-001829</t>
  </si>
  <si>
    <t>http://localhost:8787/api/admin/requirements/documents/cmm4yunvd0138cuqwzh9atl9b/view</t>
  </si>
  <si>
    <t>KRAV-AUTO-001830</t>
  </si>
  <si>
    <t>cmm4yunvd0138cuqwzh9atl9b</t>
  </si>
  <si>
    <t>KRAV-AUTO-001831</t>
  </si>
  <si>
    <t>KRAV-AUTO-001832</t>
  </si>
  <si>
    <t>http://localhost:8787/api/admin/requirements/documents/cmm4yunuo012hcuqwci7zdqkj/view</t>
  </si>
  <si>
    <t>KRAV-AUTO-001833</t>
  </si>
  <si>
    <t>ADMIN-INDEX-2026-02-27-00000000125C043F57453246863FE664CAFE6A3F0700950291EA24F0614FB6ACEDB12BF0E31D00000000010C0000950291EA24F0614FB6ACEDB12BF0E31D00002087AF090000</t>
  </si>
  <si>
    <t>cmm4yunuo012hcuqwci7zdqkj</t>
  </si>
  <si>
    <t>E-post med kompletterande svar från Swerock.pdf</t>
  </si>
  <si>
    <t>Och vad händer vid snösmältning eller regn, det borde vara stor risk att mängder av krossat material förs ut till Klingerfjärden.</t>
  </si>
  <si>
    <t>KRAV-AUTO-001834</t>
  </si>
  <si>
    <t>Och vad händer vid snösmältning eller regn, det -- 2 of 3 -- borde vara stor risk att mängder av krossat material förs ut till Klingerfjärden.</t>
  </si>
  <si>
    <t>KRAV-AUTO-001835</t>
  </si>
  <si>
    <t>Om det ligger betong i diket kommer det städas bort, då städas det.</t>
  </si>
  <si>
    <t>http://localhost:8787/api/admin/requirements/documents/cmm4yunul012ecuqwkuq9l2l4/view</t>
  </si>
  <si>
    <t>KRAV-AUTO-001836</t>
  </si>
  <si>
    <t>cmm4yunul012ecuqwkuq9l2l4</t>
  </si>
  <si>
    <t>KRAV-AUTO-001837</t>
  </si>
  <si>
    <t>KRAV-AUTO-001838</t>
  </si>
  <si>
    <t>Om du menar metaller i betongen (armering och rälkämmor) så separeras dessa bort med magnet under krossning 2.</t>
  </si>
  <si>
    <t>http://localhost:8787/api/admin/requirements/documents/cmm4yunui012bcuqwob7626te/view</t>
  </si>
  <si>
    <t>KRAV-AUTO-001839</t>
  </si>
  <si>
    <t>cmm4yunui012bcuqwob7626te</t>
  </si>
  <si>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</si>
  <si>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</si>
  <si>
    <t>KRAV-AUTO-001840</t>
  </si>
  <si>
    <t>Avfall eller produkt Redovisa om avfallet (betongkross) efter den mekaniska behandlingen ses som avfall eller produkt.</t>
  </si>
  <si>
    <t>KRAV-AUTO-001841</t>
  </si>
  <si>
    <t>ange hämtställe, avfallskod och mängd, se https://swerock.se/kontakt/mottagningsblankett/ Innan avlämning av sliprarna får transportören information om var inom anläggningen avlämning ska ske.</t>
  </si>
  <si>
    <t>http://localhost:8787/api/admin/requirements/documents/cmm4yunuf0128cuqwhn1pvm56/view</t>
  </si>
  <si>
    <t>KRAV-AUTO-001842</t>
  </si>
  <si>
    <t>cmm4yunuf0128cuqwhn1pvm56</t>
  </si>
  <si>
    <t>Bör vi kräva provtagning innan, eller efter krossning?</t>
  </si>
  <si>
    <t>KRAV-AUTO-001843</t>
  </si>
  <si>
    <t>En tänkbar försiktighetsåtgärd kan vara att all hantering av slipers som är osäker ska ske på hårdgjord yta och avrinning vid regn eller snösmältning ska ske under kontrollerade former.</t>
  </si>
  <si>
    <t>KRAV-AUTO-001844</t>
  </si>
  <si>
    <t> Uppgifterna om att det är betong (inte berg, grus eller morän) och att armeringsjärn och dylikt ska sorteras ut tyder på att det är fråga mekanisk bearbetning såsom sönderdelning, utsortering av metall och krossning.</t>
  </si>
  <si>
    <t>http://localhost:8787/api/admin/requirements/documents/cmm4yunua0122cuqwdzwyndtt/view</t>
  </si>
  <si>
    <t>KRAV-AUTO-001845</t>
  </si>
  <si>
    <t>cmm4yunua0122cuqwdzwyndtt</t>
  </si>
  <si>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</si>
  <si>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</si>
  <si>
    <t>http://localhost:8787/api/admin/requirements/documents/cmm4yunu6011zcuqwub5uj08w/view</t>
  </si>
  <si>
    <t>KRAV-AUTO-001846</t>
  </si>
  <si>
    <t>cmm4yunu6011zcuqwub5uj08w</t>
  </si>
  <si>
    <t>Provtagning av finpartikulärt material som eventuellt ansamlats i de avskärande dikena kring lagringsytorna syftar till att säkerställa att inget förorenat dagvatten har spridits via dagvatten till kringliggande recipienter.</t>
  </si>
  <si>
    <t>KRAV-AUTO-001847</t>
  </si>
  <si>
    <t>För jordprovtagning används endast provtagningskärl (diffusionstäta påsar) som tillhandhålls av laboratoriet.</t>
  </si>
  <si>
    <t>KRAV-AUTO-001848</t>
  </si>
  <si>
    <t>Efter genomförd provtagning förvaras samtliga jordprov kylda och i mörkt utrymme inför och under leverans till ett ackrediterat laboratorium för miljöanalyser.</t>
  </si>
  <si>
    <t>http://localhost:8787/api/admin/requirements/documents/cmm4yunu4011wcuqw7kiq40e1/view</t>
  </si>
  <si>
    <t>KRAV-AUTO-001849</t>
  </si>
  <si>
    <t>cmm4yunu4011wcuqw7kiq40e1</t>
  </si>
  <si>
    <t>De mängder icke farligt avfall som ska lagras i täkten är de massor som inte kan återanvändas i projektet och kommer att behöva transporteras bort från projektet.</t>
  </si>
  <si>
    <t>KRAV-AUTO-001850</t>
  </si>
  <si>
    <t>I praktiken – hur bedöms risk för mycket nederbörd?</t>
  </si>
  <si>
    <t>http://localhost:8787/api/admin/requirements/documents/cmm4yunu1011tcuqwsl3f47q0/view</t>
  </si>
  <si>
    <t>KRAV-AUTO-001851</t>
  </si>
  <si>
    <t>cmm4yunu1011tcuqwsl3f47q0</t>
  </si>
  <si>
    <t>KRAV-AUTO-001852</t>
  </si>
  <si>
    <t>Risk för nederbörd avgörs av väderprognos.</t>
  </si>
  <si>
    <t>KRAV-AUTO-001853</t>
  </si>
  <si>
    <t>http://localhost:8787/api/admin/requirements/documents/cmm4yuntz011qcuqwrsfpi269/view</t>
  </si>
  <si>
    <t>KRAV-AUTO-001854</t>
  </si>
  <si>
    <t>cmm4yuntz011qcuqwrsfpi269</t>
  </si>
  <si>
    <t>http://localhost:8787/api/admin/requirements/documents/cmm4yuntw011ncuqw735dfs4k/view</t>
  </si>
  <si>
    <t>KRAV-AUTO-001855</t>
  </si>
  <si>
    <t>cmm4yuntw011ncuqw735dfs4k</t>
  </si>
  <si>
    <t>Om massor ska återvinnas på övriga platser bör det föregås av provtagning, utifrån att det finns risk för förekomst av tungmetaller eller bekämpningsmedel.</t>
  </si>
  <si>
    <t>KRAV-AUTO-001856</t>
  </si>
  <si>
    <t>Om det finns risk för förorening eller om ursprung är okänt bör provtagning göras innan, så att man kan planera hur massor ska hanteras och bedöma om de går att återanvända på platsen.</t>
  </si>
  <si>
    <t>KRAV-AUTO-001857</t>
  </si>
  <si>
    <t>Inga specifika skyddsåtgärder kopplade till dagvatten bedöms som nödvändiga då de mest förorenade massorna kommer att ligga på ytan en mycket kort tid och då dessa massor täcks vid risk för mycket nederbörd vilket gör att risken för lakning bedöms som minimal.</t>
  </si>
  <si>
    <t>http://localhost:8787/api/admin/requirements/documents/cmm4yuntu011kcuqwtutr6n3y/view</t>
  </si>
  <si>
    <t>KRAV-AUTO-001858</t>
  </si>
  <si>
    <t>cmm4yuntu011kcuqwtutr6n3y</t>
  </si>
  <si>
    <t>Svar på frågan om vilka mängder icke-farligt avfall som ska hanteras/lagras så är det de 1500 m3 som vi anger som överskottsmassor under avsnitt 4.</t>
  </si>
  <si>
    <t>http://localhost:8787/api/admin/requirements/documents/cmm4yuntr011hcuqws8qvzgub/view</t>
  </si>
  <si>
    <t>KRAV-AUTO-001859</t>
  </si>
  <si>
    <t>cmm4yuntr011hcuqws8qvzgub</t>
  </si>
  <si>
    <t>http://localhost:8787/api/admin/requirements/documents/cmm4yunto011ecuqwbj62bf6r/view</t>
  </si>
  <si>
    <t>KRAV-AUTO-001860</t>
  </si>
  <si>
    <t>cmm4yunto011ecuqwbj62bf6r</t>
  </si>
  <si>
    <t>http://localhost:8787/api/admin/requirements/documents/cmm4yuntj0118cuqw9uy6nqsz/view</t>
  </si>
  <si>
    <t>KRAV-AUTO-001861</t>
  </si>
  <si>
    <t>cmm4yuntj0118cuqw9uy6nqsz</t>
  </si>
  <si>
    <t>KRAV-AUTO-001862</t>
  </si>
  <si>
    <t>KRAV-AUTO-001863</t>
  </si>
  <si>
    <t>Mängder och transportsedlar ska dokumenteras och val av mottagningsanläggning godkännas av beställaren innan borttransport.</t>
  </si>
  <si>
    <t>http://localhost:8787/api/admin/requirements/documents/cmm4yunt8010wcuqwrpgptcip/view</t>
  </si>
  <si>
    <t>KRAV-AUTO-001864</t>
  </si>
  <si>
    <t>cmm4yunt8010wcuqwrpgptcip</t>
  </si>
  <si>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</si>
  <si>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</si>
  <si>
    <t>http://localhost:8787/api/admin/requirements/documents/cmm4yunt5010tcuqws6o4csmy/view</t>
  </si>
  <si>
    <t>KRAV-AUTO-001865</t>
  </si>
  <si>
    <t>cmm4yunt5010tcuqws6o4csmy</t>
  </si>
  <si>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</si>
  <si>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</si>
  <si>
    <t>KRAV-AUTO-001866</t>
  </si>
  <si>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</si>
  <si>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</si>
  <si>
    <t>http://localhost:8787/api/admin/requirements/documents/cmm4yunt0010ncuqwxpd0eacl/view</t>
  </si>
  <si>
    <t>KRAV-AUTO-001867</t>
  </si>
  <si>
    <t>ADMIN-INDEX-2026-02-27-00000000125C043F57453246863FE664CAFE6A3F0700950291EA24F0614FB6ACEDB12BF0E31D00000000010C0000950291EA24F0614FB6ACEDB12BF0E31D00002087AF0A0000</t>
  </si>
  <si>
    <t>cmm4yunt0010ncuqwxpd0eacl</t>
  </si>
  <si>
    <t>KRAV-AUTO-001868</t>
  </si>
  <si>
    <t>KRAV-AUTO-001869</t>
  </si>
  <si>
    <t>http://localhost:8787/api/admin/requirements/documents/cmm4yunsx010kcuqw2rhw76cx/view</t>
  </si>
  <si>
    <t>KRAV-AUTO-001870</t>
  </si>
  <si>
    <t>cmm4yunsx010kcuqw2rhw76cx</t>
  </si>
  <si>
    <t>KRAV-AUTO-001871</t>
  </si>
  <si>
    <t>KRAV-AUTO-001872</t>
  </si>
  <si>
    <t>http://localhost:8787/api/admin/requirements/documents/cmm4yunsu010hcuqwol64xt8n/view</t>
  </si>
  <si>
    <t>KRAV-AUTO-001873</t>
  </si>
  <si>
    <t>cmm4yunsu010hcuqwol64xt8n</t>
  </si>
  <si>
    <t>KRAV-AUTO-001874</t>
  </si>
  <si>
    <t>KRAV-AUTO-001875</t>
  </si>
  <si>
    <t>http://localhost:8787/api/admin/requirements/documents/cmm4yunsr010ecuqweil2quja/view</t>
  </si>
  <si>
    <t>KRAV-AUTO-001876</t>
  </si>
  <si>
    <t>cmm4yunsr010ecuqweil2quja</t>
  </si>
  <si>
    <t>KRAV-AUTO-001877</t>
  </si>
  <si>
    <t>KRAV-AUTO-001878</t>
  </si>
  <si>
    <t>http://localhost:8787/api/admin/requirements/documents/cmm4yunsm0108cuqwp6xjusca/view</t>
  </si>
  <si>
    <t>KRAV-AUTO-001879</t>
  </si>
  <si>
    <t>cmm4yunsm0108cuqwp6xjusca</t>
  </si>
  <si>
    <t>http://localhost:8787/api/admin/requirements/documents/cmm4yunsj0105cuqwzh1j856i/view</t>
  </si>
  <si>
    <t>KRAV-AUTO-001880</t>
  </si>
  <si>
    <t>cmm4yunsj0105cuqwzh1j856i</t>
  </si>
  <si>
    <t>KRAV-AUTO-001881</t>
  </si>
  <si>
    <t>KRAV-AUTO-001882</t>
  </si>
  <si>
    <t>http://localhost:8787/api/admin/requirements/documents/cmm4yunsh0102cuqwnkylyiy2/view</t>
  </si>
  <si>
    <t>KRAV-AUTO-001883</t>
  </si>
  <si>
    <t>cmm4yunsh0102cuqwnkylyiy2</t>
  </si>
  <si>
    <t>KRAV-AUTO-001884</t>
  </si>
  <si>
    <t>http://localhost:8787/api/admin/requirements/documents/cmm4yunse00zzcuqwtr9ba7l8/view</t>
  </si>
  <si>
    <t>KRAV-AUTO-001885</t>
  </si>
  <si>
    <t>cmm4yunse00zzcuqwtr9ba7l8</t>
  </si>
  <si>
    <t>KRAV-AUTO-001886</t>
  </si>
  <si>
    <t>KRAV-AUTO-001887</t>
  </si>
  <si>
    <t>http://localhost:8787/api/admin/requirements/documents/cmm4yunsa00zwcuqw0f29n13c/view</t>
  </si>
  <si>
    <t>KRAV-AUTO-001888</t>
  </si>
  <si>
    <t>cmm4yunsa00zwcuqw0f29n13c</t>
  </si>
  <si>
    <t>http://localhost:8787/api/admin/requirements/documents/cmm4yuns700ztcuqwbvci9ygu/view</t>
  </si>
  <si>
    <t>KRAV-AUTO-001889</t>
  </si>
  <si>
    <t>cmm4yuns700ztcuqwbvci9ygu</t>
  </si>
  <si>
    <t>KRAV-AUTO-001890</t>
  </si>
  <si>
    <t>KRAV-AUTO-001891</t>
  </si>
  <si>
    <t>http://localhost:8787/api/admin/requirements/documents/cmm4yuns400zqcuqwfohzm7kj/view</t>
  </si>
  <si>
    <t>KRAV-AUTO-001892</t>
  </si>
  <si>
    <t>cmm4yuns400zqcuqwfohzm7kj</t>
  </si>
  <si>
    <t>http://localhost:8787/api/admin/requirements/documents/cmm4yuns100zncuqwkn0koj78/view</t>
  </si>
  <si>
    <t>KRAV-AUTO-001893</t>
  </si>
  <si>
    <t>cmm4yuns100zncuqwkn0koj78</t>
  </si>
  <si>
    <t>http://localhost:8787/api/admin/requirements/documents/cmm4yunrx00zkcuqwxdtcoeoq/view</t>
  </si>
  <si>
    <t>KRAV-AUTO-001894</t>
  </si>
  <si>
    <t>cmm4yunrx00zkcuqwxdtcoeoq</t>
  </si>
  <si>
    <t>http://localhost:8787/api/admin/requirements/documents/cmm4yunrr00zecuqwp1y3ceal/view</t>
  </si>
  <si>
    <t>KRAV-AUTO-001895</t>
  </si>
  <si>
    <t>cmm4yunrr00zecuqwp1y3ceal</t>
  </si>
  <si>
    <t>KRAV-AUTO-001896</t>
  </si>
  <si>
    <t>KRAV-AUTO-001897</t>
  </si>
  <si>
    <t>http://localhost:8787/api/admin/requirements/documents/cmm4yunrg00z2cuqwq0gvce45/view</t>
  </si>
  <si>
    <t>KRAV-AUTO-001898</t>
  </si>
  <si>
    <t>cmm4yunrg00z2cuqwq0gvce45</t>
  </si>
  <si>
    <t>http://localhost:8787/api/admin/requirements/documents/cmm4yunrd00yzcuqw2xyfs7bd/view</t>
  </si>
  <si>
    <t>KRAV-AUTO-001899</t>
  </si>
  <si>
    <t>cmm4yunrd00yzcuqw2xyfs7bd</t>
  </si>
  <si>
    <t>KRAV-AUTO-001900</t>
  </si>
  <si>
    <t>http://localhost:8787/api/admin/requirements/documents/cmm4yunr800ytcuqwwfwmk330/view</t>
  </si>
  <si>
    <t>KRAV-AUTO-001901</t>
  </si>
  <si>
    <t>ADMIN-INDEX-2026-02-27-00000000125C043F57453246863FE664CAFE6A3F0700950291EA24F0614FB6ACEDB12BF0E31D00000000010C0000950291EA24F0614FB6ACEDB12BF0E31D00002087AF0B0000</t>
  </si>
  <si>
    <t>cmm4yunr800ytcuqwwfwmk330</t>
  </si>
  <si>
    <t>re</t>
  </si>
  <si>
    <t>re kommun</t>
  </si>
  <si>
    <t>MIL.2025.629.pdf</t>
  </si>
  <si>
    <t>nr 1158772 De omgivningsstörningar till omkringliggande miljö som kan uppstå bedöms vara eventuella läckage från mellanlagringen av fordon, läckage från arbetsfordon, nedskräpning av förpackningsavfall vid omlastning eller förekomst av skadedjur.</t>
  </si>
  <si>
    <t>KRAV-AUTO-001902</t>
  </si>
  <si>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</si>
  <si>
    <t>-- 15 of 22 -- Energiförbrukning inom verksamheten*  Olja, m3/år: …………………………………  El, kWh/år: …………………………………  Fjärrvärme, kWh/år: …….…………………  Naturgas, m3/år: ……………………………  Fastbränsle, ton/år: …………………………  Annat: ………………….., mängd/år:……… En skriftlig energiplan* finns  eller ska upprättas  Kemiska produkter, köldme</t>
  </si>
  <si>
    <t>KRAV-AUTO-001903</t>
  </si>
  <si>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</si>
  <si>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</si>
  <si>
    <t>http://localhost:8787/api/admin/requirements/documents/cmm4yunr500yqcuqwg65465gx/view</t>
  </si>
  <si>
    <t>KRAV-AUTO-001904</t>
  </si>
  <si>
    <t>cmm4yunr500yqcuqwg65465gx</t>
  </si>
  <si>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</si>
  <si>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</si>
  <si>
    <t>KRAV-AUTO-001905</t>
  </si>
  <si>
    <t>Vid avvikelser kan kostnader tillkomma för provtagning, bortforsling av avfall samt nedlagd arbetstid.</t>
  </si>
  <si>
    <t>KRAV-AUTO-001906</t>
  </si>
  <si>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</si>
  <si>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</si>
  <si>
    <t>http://localhost:8787/api/admin/requirements/documents/cmm4yunr300yncuqwx0jp4nc2/view</t>
  </si>
  <si>
    <t>KRAV-AUTO-001907</t>
  </si>
  <si>
    <t>cmm4yunr300yncuqwx0jp4nc2</t>
  </si>
  <si>
    <t>Bland annat genom att golv och sarg ska uppföras i betong eller motsvarande.</t>
  </si>
  <si>
    <t>KRAV-AUTO-001908</t>
  </si>
  <si>
    <t>Verksamheten har vid tidigare möte 2022-11-30 redovisat muntligen att omlastningen av hushållssopor på Järpen 9:164 ska ske utan risk för olägenhet gällande miljö och hälsa.</t>
  </si>
  <si>
    <t>KRAV-AUTO-001909</t>
  </si>
  <si>
    <t>För att vi inte ska vara oense kring gällande lagstiftning så får ni gärna i förväg mer specifikt presentera tältets utformning samt era arbetssätt m.m, för att minimera risken för ev.</t>
  </si>
  <si>
    <t>http://localhost:8787/api/admin/requirements/documents/cmm4yunr000ykcuqwr4euonza/view</t>
  </si>
  <si>
    <t>KRAV-AUTO-001910</t>
  </si>
  <si>
    <t>ADMIN-INDEX-2026-02-27-00000000125C043F57453246863FE664CAFE6A3F0700950291EA24F0614FB6ACEDB12BF0E31D00000000010C0000950291EA24F0614FB6ACEDB12BF0E31D00002087AF0C0000</t>
  </si>
  <si>
    <t>cmm4yunr000ykcuqwr4euonza</t>
  </si>
  <si>
    <t>KRAV-AUTO-001911</t>
  </si>
  <si>
    <t>KRAV-AUTO-001912</t>
  </si>
  <si>
    <t>http://localhost:8787/api/admin/requirements/documents/cmm4yunqx00yhcuqwjxq5ifop/view</t>
  </si>
  <si>
    <t>KRAV-AUTO-001913</t>
  </si>
  <si>
    <t>cmm4yunqx00yhcuqwjxq5ifop</t>
  </si>
  <si>
    <t>KRAV-AUTO-001914</t>
  </si>
  <si>
    <t>KRAV-AUTO-001915</t>
  </si>
  <si>
    <t>http://localhost:8787/api/admin/requirements/documents/cmm4yunqt00yecuqwezht4cu8/view</t>
  </si>
  <si>
    <t>KRAV-AUTO-001916</t>
  </si>
  <si>
    <t>cmm4yunqt00yecuqwezht4cu8</t>
  </si>
  <si>
    <t>KRAV-AUTO-001917</t>
  </si>
  <si>
    <t>KRAV-AUTO-001918</t>
  </si>
  <si>
    <t>http://localhost:8787/api/admin/requirements/documents/cmm4yunqr00ybcuqwkt0vyb2o/view</t>
  </si>
  <si>
    <t>KRAV-AUTO-001919</t>
  </si>
  <si>
    <t>ADMIN-INDEX-2026-02-27-00000000125C043F57453246863FE664CAFE6A3F0700950291EA24F0614FB6ACEDB12BF0E31D00000000010C0000950291EA24F0614FB6ACEDB12BF0E31D00002087AF110000</t>
  </si>
  <si>
    <t>cmm4yunqr00ybcuqwkt0vyb2o</t>
  </si>
  <si>
    <t>Filipstads</t>
  </si>
  <si>
    <t>Filipstads kommun</t>
  </si>
  <si>
    <t>Beslut Mossen.pdf</t>
  </si>
  <si>
    <t>Miljö- och stadsarkitektkontoret bedömer att åtgärden utgör återvinning av avfall i anläggningsändamål och att den inte medför någon betydande risk för negativ påverkan på mark eller vatten, under förutsättning att nedanstående villkor följs.</t>
  </si>
  <si>
    <t>KRAV-AUTO-001920</t>
  </si>
  <si>
    <t>Dokumentation över mängd, ursprung, analysresultat och användningsplats ska sparas och kunna uppvisas vid tillsyn.</t>
  </si>
  <si>
    <t>KRAV-AUTO-001921</t>
  </si>
  <si>
    <t>Ärende Filipstad Värme AB har inkommit med anmälan om att använda cirka 1 600 ton fuktig träaska från det egna värmeverket som anläggningsmaterial vid uppförande av en plan för förvaring av flis på fastigheten Mossen 1 i Filipstads kommun.</t>
  </si>
  <si>
    <t>http://localhost:8787/api/admin/requirements/documents/cmm4yunql00y5cuqwdsnp5o9x/view</t>
  </si>
  <si>
    <t>KRAV-AUTO-001922</t>
  </si>
  <si>
    <t>cmm4yunql00y5cuqwdsnp5o9x</t>
  </si>
  <si>
    <t>Aska som uppstår vid förbränning av hushållsavfall eller tryckimpregnerat trä bör som regel (om inte ytterligare rening genomförs) deponeras eftersom det innehåller förhöjda halter av olika metaller etc.</t>
  </si>
  <si>
    <t>KRAV-AUTO-001923</t>
  </si>
  <si>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</si>
  <si>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</si>
  <si>
    <t>KRAV-AUTO-001924</t>
  </si>
  <si>
    <t>Solör Bioenergi har ett stort antal anläggningar runt omilandet där aska används för återföring till skogsmark, till askbetong för olika ändamål eller till att sluttäcka deponier.</t>
  </si>
  <si>
    <t>http://localhost:8787/api/admin/requirements/documents/cmm4yunqi00y2cuqw6vl8p1bo/view</t>
  </si>
  <si>
    <t>KRAV-AUTO-001925</t>
  </si>
  <si>
    <t>cmm4yunqi00y2cuqw6vl8p1bo</t>
  </si>
  <si>
    <t>1600 ton fuktig aska som förstärkningslager i bränsleplanen.</t>
  </si>
  <si>
    <t>http://localhost:8787/api/admin/requirements/documents/cmm4yunqf00xzcuqwwixuovs0/view</t>
  </si>
  <si>
    <t>KRAV-AUTO-001926</t>
  </si>
  <si>
    <t>cmm4yunqf00xzcuqwwixuovs0</t>
  </si>
  <si>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</si>
  <si>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t>
  </si>
  <si>
    <t>http://localhost:8787/api/admin/requirements/documents/cmm4yunqc00xwcuqw2tcgpm6r/view</t>
  </si>
  <si>
    <t>KRAV-AUTO-001927</t>
  </si>
  <si>
    <t>cmm4yunqc00xwcuqw2tcgpm6r</t>
  </si>
  <si>
    <t>mer än 10 ton men högst 30 000 ton och avfallet ska användas för byggnads- eller anläggningsändamål.</t>
  </si>
  <si>
    <t>KRAV-AUTO-001928</t>
  </si>
  <si>
    <t>11 § ska den som hanterar avfall se till att hanteringen inte skadar eller orsakar risk för skada på människors hälsa eller miljön.</t>
  </si>
  <si>
    <t>KRAV-AUTO-001929</t>
  </si>
  <si>
    <t>Verksamheten gäller mellanlagring av trädgårdsavfall, material för anläggningsarbete, väggrus samt hästgödsel som ska användas i egna planteringar.</t>
  </si>
  <si>
    <t>http://localhost:8787/api/admin/requirements/documents/cmm4yunqa00xtcuqwk32xkhvt/view</t>
  </si>
  <si>
    <t>KRAV-AUTO-001930</t>
  </si>
  <si>
    <t>cmm4yunqa00xtcuqwk32xkhvt</t>
  </si>
  <si>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</si>
  <si>
    <t>KRAV-AUTO-001931</t>
  </si>
  <si>
    <t>• Om en lakvattenbehandling krävs föreslås uppsamlingsdiken vid sidorna om komposten som leds till en infiltrationsbädd med en provtagningsbrunn.</t>
  </si>
  <si>
    <t>KRAV-AUTO-001932</t>
  </si>
  <si>
    <t>Den mängd trädgårdsavfall som samlas in och som ska komposteras varierar mellan 30-60 ton/år.</t>
  </si>
  <si>
    <t>http://localhost:8787/api/admin/requirements/documents/cmm4yunq500xncuqwxnsgzop8/view</t>
  </si>
  <si>
    <t>KRAV-AUTO-001933</t>
  </si>
  <si>
    <t>ADMIN-INDEX-2026-02-27-00000000125C043F57453246863FE664CAFE6A3F0700950291EA24F0614FB6ACEDB12BF0E31D00000000010C0000950291EA24F0614FB6ACEDB12BF0E31D00002087AF120000</t>
  </si>
  <si>
    <t>cmm4yunq500xncuqwxnsgzop8</t>
  </si>
  <si>
    <t>KRAV-AUTO-001934</t>
  </si>
  <si>
    <t>KRAV-AUTO-001935</t>
  </si>
  <si>
    <t>http://localhost:8787/api/admin/requirements/documents/cmm4yunpw00xhcuqwyne8osyj/view</t>
  </si>
  <si>
    <t>KRAV-AUTO-001936</t>
  </si>
  <si>
    <t>cmm4yunpw00xhcuqwyne8osyj</t>
  </si>
  <si>
    <t>KRAV-AUTO-001937</t>
  </si>
  <si>
    <t>KRAV-AUTO-001938</t>
  </si>
  <si>
    <t>http://localhost:8787/api/admin/requirements/documents/cmm4yunpt00xecuqw46jst6no/view</t>
  </si>
  <si>
    <t>KRAV-AUTO-001939</t>
  </si>
  <si>
    <t>cmm4yunpt00xecuqw46jst6no</t>
  </si>
  <si>
    <t>http://localhost:8787/api/admin/requirements/documents/cmm4yunpp00xbcuqwxq7txes7/view</t>
  </si>
  <si>
    <t>KRAV-AUTO-001940</t>
  </si>
  <si>
    <t>cmm4yunpp00xbcuqwxq7txes7</t>
  </si>
  <si>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</si>
  <si>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t>
  </si>
  <si>
    <t>http://localhost:8787/api/admin/requirements/documents/cmm4yunpk00x8cuqwemlg5ckk/view</t>
  </si>
  <si>
    <t>KRAV-AUTO-001941</t>
  </si>
  <si>
    <t>cmm4yunpk00x8cuqwemlg5ckk</t>
  </si>
  <si>
    <t>KRAV-AUTO-001942</t>
  </si>
  <si>
    <t>KRAV-AUTO-001943</t>
  </si>
  <si>
    <t>http://localhost:8787/api/admin/requirements/documents/cmm4yunph00x5cuqwtbxthcdi/view</t>
  </si>
  <si>
    <t>KRAV-AUTO-001944</t>
  </si>
  <si>
    <t>cmm4yunph00x5cuqwtbxthcdi</t>
  </si>
  <si>
    <t>KRAV-AUTO-001945</t>
  </si>
  <si>
    <t>KRAV-AUTO-001946</t>
  </si>
  <si>
    <t>http://localhost:8787/api/admin/requirements/documents/cmm4yunpb00wzcuqw0xf5ut8v/view</t>
  </si>
  <si>
    <t>KRAV-AUTO-001947</t>
  </si>
  <si>
    <t>ADMIN-INDEX-2026-02-27-00000000125C043F57453246863FE664CAFE6A3F0700950291EA24F0614FB6ACEDB12BF0E31D00000000010C0000950291EA24F0614FB6ACEDB12BF0E31D00002087B1720000</t>
  </si>
  <si>
    <t>cmm4yunpb00wzcuqw0xf5ut8v</t>
  </si>
  <si>
    <t>M-2025-829--Föreläggande enligt miljöbalken .pdf</t>
  </si>
  <si>
    <t>På tillsynsmyndighetens begäran ska verksamheten lämna förslag på kontrollprogram eller förbättrande åtgärder.</t>
  </si>
  <si>
    <t>KRAV-AUTO-001948</t>
  </si>
  <si>
    <t>Vid anläggningsarbetet ska risk för skred iakttas och vid behov förebyggas Beslutet fattas med stöd av 26 kapitlet 9 § miljöbalken och med hänvisning till 26 kapitlet 19, 21, 22 §§ samt 2 kapitlet 2 och 3 §§ miljöbalken.</t>
  </si>
  <si>
    <t>KRAV-AUTO-001949</t>
  </si>
  <si>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</si>
  <si>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</si>
  <si>
    <t>http://localhost:8787/api/admin/requirements/documents/cmm4yunox00wkcuqw3pidkana/view</t>
  </si>
  <si>
    <t>KRAV-AUTO-001950</t>
  </si>
  <si>
    <t>cmm4yunox00wkcuqw3pidkana</t>
  </si>
  <si>
    <t>Du får inte använda det lagrade avfallet för att ytterligare fylla upp marken på fastigheten, utan allt avfall som kommer in till lagret ska transporteras bort för återvinning på annan plats.</t>
  </si>
  <si>
    <t>KRAV-AUTO-001951</t>
  </si>
  <si>
    <t>För att ha kontroll på vilka typer och mängder av avfall som transporteras in och ut från verksamheten ska du föra journal över detta.</t>
  </si>
  <si>
    <t>KRAV-AUTO-001952</t>
  </si>
  <si>
    <t>Mängden avfall som du planerar att lagra ligger inom intervallet 10 ton till 30 000 ton och avfallet ska användas i byggnads- eller anläggningsändamål.</t>
  </si>
  <si>
    <t>http://localhost:8787/api/admin/requirements/documents/cmm4yunoj00w5cuqw91w6ft7m/view</t>
  </si>
  <si>
    <t>KRAV-AUTO-001953</t>
  </si>
  <si>
    <t>ADMIN-INDEX-2026-02-27-00000000125C043F57453246863FE664CAFE6A3F0700950291EA24F0614FB6ACEDB12BF0E31D00000000010C0000950291EA24F0614FB6ACEDB12BF0E31D00002087B1730000</t>
  </si>
  <si>
    <t>cmm4yunoj00w5cuqw91w6ft7m</t>
  </si>
  <si>
    <t>KRAV-AUTO-001954</t>
  </si>
  <si>
    <t>KRAV-AUTO-001955</t>
  </si>
  <si>
    <t>http://localhost:8787/api/admin/requirements/documents/cmm4yuno400vqcuqwjv9on2ry/view</t>
  </si>
  <si>
    <t>KRAV-AUTO-001956</t>
  </si>
  <si>
    <t>cmm4yuno400vqcuqwjv9on2ry</t>
  </si>
  <si>
    <t>KRAV-AUTO-001957</t>
  </si>
  <si>
    <t>KRAV-AUTO-001958</t>
  </si>
  <si>
    <t>http://localhost:8787/api/admin/requirements/documents/cmm4yunnf00v2cuqwy7slxvjp/view</t>
  </si>
  <si>
    <t>KRAV-AUTO-001959</t>
  </si>
  <si>
    <t>ADMIN-INDEX-2026-02-27-00000000125C043F57453246863FE664CAFE6A3F0700950291EA24F0614FB6ACEDB12BF0E31D00000000010C0000950291EA24F0614FB6ACEDB12BF0E31D00002087B1780000</t>
  </si>
  <si>
    <t>cmm4yunnf00v2cuqwy7slxvjp</t>
  </si>
  <si>
    <t>org nr Valdemarsviks</t>
  </si>
  <si>
    <t>org nr Valdemarsviks kommun</t>
  </si>
  <si>
    <t>MBNV-2024-602_2025-01-24_Beslut Miljöfarlig verksamhet.pdf</t>
  </si>
  <si>
    <t>KRAV-AUTO-001960</t>
  </si>
  <si>
    <t>Hanteringen av matavfall skall ske inne i byggnaden och enbart när omlastningen pågar får ena sidan vara öppen.</t>
  </si>
  <si>
    <t>KRAV-AUTO-001961</t>
  </si>
  <si>
    <t>Redovisning av typ och mängd inkommande avfall ska ske på tillsynsmyndighetens begäran.</t>
  </si>
  <si>
    <t>http://localhost:8787/api/admin/requirements/documents/cmm4yunn000uncuqwwtdlhqur/view</t>
  </si>
  <si>
    <t>KRAV-AUTO-001962</t>
  </si>
  <si>
    <t>cmm4yunn000uncuqwwtdlhqur</t>
  </si>
  <si>
    <t>KRAV-AUTO-001963</t>
  </si>
  <si>
    <t>http://localhost:8787/api/admin/requirements/documents/cmm4yunmq00ubcuqw5d8j7ni1/view</t>
  </si>
  <si>
    <t>KRAV-AUTO-001964</t>
  </si>
  <si>
    <t>cmm4yunmq00ubcuqw5d8j7ni1</t>
  </si>
  <si>
    <t>KRAV-AUTO-001965</t>
  </si>
  <si>
    <t>KRAV-AUTO-001966</t>
  </si>
  <si>
    <t>http://localhost:8787/api/admin/requirements/documents/cmm4yunma00ttcuqwanbvb8ob/view</t>
  </si>
  <si>
    <t>KRAV-AUTO-001967</t>
  </si>
  <si>
    <t>ADMIN-INDEX-2026-02-27-00000000125C043F57453246863FE664CAFE6A3F0700950291EA24F0614FB6ACEDB12BF0E31D00000000010C0000950291EA24F0614FB6ACEDB12BF0E31D00002087B17A0000</t>
  </si>
  <si>
    <t>cmm4yunma00ttcuqwanbvb8ob</t>
  </si>
  <si>
    <t>M-2025-911-6-Föreläggande försiktighetsmått.pdf</t>
  </si>
  <si>
    <t>Förvaring ska ske utan åtkomst för obehöriga, utan risk för påkörning och skyddat från nederbörd.</t>
  </si>
  <si>
    <t>KRAV-AUTO-001968</t>
  </si>
  <si>
    <t>Kemikalier ska förvaras inlåsta och i spillsäker invallning som rymmer hela volymen av den största behållaren plus 10 procent av resterande behållares volym.</t>
  </si>
  <si>
    <t>KRAV-AUTO-001969</t>
  </si>
  <si>
    <t>Avfallet som lagras ska begränsas till avfallskod 17 03 02 d.v.s.</t>
  </si>
  <si>
    <t>http://localhost:8787/api/admin/requirements/documents/cmm4yunm700tqcuqwt5cesl4s/view</t>
  </si>
  <si>
    <t>KRAV-AUTO-001970</t>
  </si>
  <si>
    <t>cmm4yunm700tqcuqwt5cesl4s</t>
  </si>
  <si>
    <t>Fenol i lakvatten från kolonn var ej påvisbart med detektionsgräns av ca 1 μg/l.4 Eftersom inte asfalt som innehåller stenkolstjära avses att hanteras på ytan är risken för att asfalt ska laka förorenande ämnen minimal.</t>
  </si>
  <si>
    <t>KRAV-AUTO-001971</t>
  </si>
  <si>
    <t>För att det ska vara möjligt att öka återvinningen av asfalt samt att följa mål och riktlinjer måste myndigheters beslut följa med utvecklingen så att insamling och återvinning av avfall kan främjas.</t>
  </si>
  <si>
    <t>KRAV-AUTO-001972</t>
  </si>
  <si>
    <t>Bygg- och miljönämnden Tranås Datum: 2025-12-04 Dnr: M-2025-911-1 -- 7 of 13 -- 8(13) Ytan där asfalt ska lagras innan borttransport för återvinning uppgår till ca 1000 m2 vilket medför en lagringsvolym vid ett enskilt tillfälle om max 100 ton asfalt.</t>
  </si>
  <si>
    <t>http://localhost:8787/api/admin/requirements/documents/cmm4yunm400tncuqwxqf3017c/view</t>
  </si>
  <si>
    <t>KRAV-AUTO-001973</t>
  </si>
  <si>
    <t>cmm4yunm400tncuqwxqf3017c</t>
  </si>
  <si>
    <t>Utlakning av PAH:er från fräsmassorna riskerar att påverka Svartån kemiska status negativt.</t>
  </si>
  <si>
    <t>http://localhost:8787/api/admin/requirements/documents/cmm4yunly00thcuqwma4a6be2/view</t>
  </si>
  <si>
    <t>KRAV-AUTO-001974</t>
  </si>
  <si>
    <t>cmm4yunly00thcuqwma4a6be2</t>
  </si>
  <si>
    <t>Det finns inget villkor som reglerar användningen av den aktuella ytan eller dagvattenhanteringen.</t>
  </si>
  <si>
    <t>KRAV-AUTO-001975</t>
  </si>
  <si>
    <t>KRAV-AUTO-001976</t>
  </si>
  <si>
    <t>Beläggningssäsongen pågår främst under april till december och det lagrade avfallet kommer att transporteras bort till asfaltsverk senast i december varje år.</t>
  </si>
  <si>
    <t>http://localhost:8787/api/admin/requirements/documents/cmm4yunls00tbcuqwdvin6pe1/view</t>
  </si>
  <si>
    <t>KRAV-AUTO-001977</t>
  </si>
  <si>
    <t>ADMIN-INDEX-2026-02-27-00000000125C043F57453246863FE664CAFE6A3F0700950291EA24F0614FB6ACEDB12BF0E31D00000000010C0000950291EA24F0614FB6ACEDB12BF0E31D00002087B17B0000</t>
  </si>
  <si>
    <t>cmm4yunls00tbcuqwdvin6pe1</t>
  </si>
  <si>
    <t>KRAV-AUTO-001978</t>
  </si>
  <si>
    <t>KRAV-AUTO-001979</t>
  </si>
  <si>
    <t>http://localhost:8787/api/admin/requirements/documents/cmm4yunlp00t8cuqwj856u0xu/view</t>
  </si>
  <si>
    <t>KRAV-AUTO-001980</t>
  </si>
  <si>
    <t>cmm4yunlp00t8cuqwj856u0xu</t>
  </si>
  <si>
    <t>KRAV-AUTO-001981</t>
  </si>
  <si>
    <t>KRAV-AUTO-001982</t>
  </si>
  <si>
    <t>http://localhost:8787/api/admin/requirements/documents/cmm4yunlm00t5cuqw7t2sdu10/view</t>
  </si>
  <si>
    <t>KRAV-AUTO-001983</t>
  </si>
  <si>
    <t>cmm4yunlm00t5cuqw7t2sdu10</t>
  </si>
  <si>
    <t>http://localhost:8787/api/admin/requirements/documents/cmm4yunlh00szcuqwo2zx5fs4/view</t>
  </si>
  <si>
    <t>KRAV-AUTO-001984</t>
  </si>
  <si>
    <t>cmm4yunlh00szcuqwo2zx5fs4</t>
  </si>
  <si>
    <t>KRAV-AUTO-001985</t>
  </si>
  <si>
    <t>KRAV-AUTO-001986</t>
  </si>
  <si>
    <t>http://localhost:8787/api/admin/requirements/documents/cmm4yunlb00stcuqw956bj2gh/view</t>
  </si>
  <si>
    <t>KRAV-AUTO-001987</t>
  </si>
  <si>
    <t>ADMIN-INDEX-2026-02-27-00000000125C043F57453246863FE664CAFE6A3F0700950291EA24F0614FB6ACEDB12BF0E31D00000000010C0000950291EA24F0614FB6ACEDB12BF0E31D00002087B1860000</t>
  </si>
  <si>
    <t>cmm4yunlb00stcuqw956bj2gh</t>
  </si>
  <si>
    <t>MIL2024916pdf_976512.pdf</t>
  </si>
  <si>
    <t>Lagringen ska ske så att risken för uppkomst av lakvatten från rötslammet minimeras.</t>
  </si>
  <si>
    <t>KRAV-AUTO-001988</t>
  </si>
  <si>
    <t>Uppskattad volym är cirka 1200 ton.</t>
  </si>
  <si>
    <t>KRAV-AUTO-001989</t>
  </si>
  <si>
    <t>Täckning ska med hänsyn till risk för luktolägenhet göras i snar anslutning till uppläggning.</t>
  </si>
  <si>
    <t>http://localhost:8787/api/admin/requirements/documents/cmm4yunl800sqcuqw4qqljaqs/view</t>
  </si>
  <si>
    <t>KRAV-AUTO-001990</t>
  </si>
  <si>
    <t>cmm4yunl800sqcuqw4qqljaqs</t>
  </si>
  <si>
    <t>KRAV-AUTO-001991</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</si>
  <si>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 Anmälan för lagring av avloppsslam på fastigheten Värnsta 1:1 Ansvarig brukare av marken är Anders Wernestad Lillkyrka Värnsta 1 745 97 Enköping Lagring På ovan redovisade fastigheter kommer mellanlagring av avloppsslam från Revaqcertifierat reningsverk att ske under perioden sommar 2024 till vår 2025.</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</si>
  <si>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t>
  </si>
  <si>
    <t>KRAV-AUTO-001992</t>
  </si>
  <si>
    <t>Uppskattad volym är cirka 350 ton.</t>
  </si>
  <si>
    <t>http://localhost:8787/api/admin/requirements/documents/cmm4yunl500sncuqwr13tjur1/view</t>
  </si>
  <si>
    <t>KRAV-AUTO-001993</t>
  </si>
  <si>
    <t>cmm4yunl500sncuqwr13tjur1</t>
  </si>
  <si>
    <t>KRAV-AUTO-001994</t>
  </si>
  <si>
    <t>Uppskattad volym är cirka 330 ton.</t>
  </si>
  <si>
    <t>KRAV-AUTO-001995</t>
  </si>
  <si>
    <t>http://localhost:8787/api/admin/requirements/documents/cmm4yunl300skcuqw0r1pungx/view</t>
  </si>
  <si>
    <t>KRAV-AUTO-001996</t>
  </si>
  <si>
    <t>cmm4yunl300skcuqw0r1pungx</t>
  </si>
  <si>
    <t>KRAV-AUTO-001997</t>
  </si>
  <si>
    <t>KRAV-AUTO-001998</t>
  </si>
  <si>
    <t>Anmälan om mellanlagring av avloppsslam samt information om efterföljande spridning Vid spridning ska vi följa dessa skyddsavstång: 10 meter till vattenförande dike, 50 meter till vattentäkt eller bostäder och 2 meter till dräneringsbrunn.</t>
  </si>
  <si>
    <t>http://localhost:8787/api/admin/requirements/documents/cmm4yunl000shcuqwjrleocnn/view</t>
  </si>
  <si>
    <t>KRAV-AUTO-001999</t>
  </si>
  <si>
    <t>cmm4yunl000shcuqwjrleocnn</t>
  </si>
  <si>
    <t>KRAV-AUTO-002000</t>
  </si>
  <si>
    <t>KRAV-AUTO-002001</t>
  </si>
  <si>
    <t>http://localhost:8787/api/admin/requirements/documents/cmm4yunkv00secuqw1vn8f1fr/view</t>
  </si>
  <si>
    <t>KRAV-AUTO-002002</t>
  </si>
  <si>
    <t>cmm4yunkv00secuqw1vn8f1fr</t>
  </si>
  <si>
    <t>KRAV-AUTO-002003</t>
  </si>
  <si>
    <t>Uppskattad volym är cirka 650 ton.</t>
  </si>
  <si>
    <t>KRAV-AUTO-002004</t>
  </si>
  <si>
    <t>http://localhost:8787/api/admin/requirements/documents/cmm4yunks00sbcuqwfzxlz1mj/view</t>
  </si>
  <si>
    <t>KRAV-AUTO-002005</t>
  </si>
  <si>
    <t>ADMIN-INDEX-2026-02-27-00000000125C043F57453246863FE664CAFE6A3F0700950291EA24F0614FB6ACEDB12BF0E31D00000000010C0000950291EA24F0614FB6ACEDB12BF0E31D00002087B1870000</t>
  </si>
  <si>
    <t>cmm4yunks00sbcuqwfzxlz1mj</t>
  </si>
  <si>
    <t>MIL20242459pdf_976503.pdf</t>
  </si>
  <si>
    <t>KRAV-AUTO-002006</t>
  </si>
  <si>
    <t>KRAV-AUTO-002007</t>
  </si>
  <si>
    <t>Anmälan om mellanlagring av avloppsslam samt information om efterföljande spridning Malin Eriksson Vid spridning ska vi följa dessa skyddsavstånd: 10 meter till vattenförande dike, 50 meter till vattentäkt eller bostäder och 2 meter till dräneringsbrunn.</t>
  </si>
  <si>
    <t>http://localhost:8787/api/admin/requirements/documents/cmm4yunkq00s8cuqws6k3ky81/view</t>
  </si>
  <si>
    <t>KRAV-AUTO-002008</t>
  </si>
  <si>
    <t>cmm4yunkq00s8cuqws6k3ky81</t>
  </si>
  <si>
    <t>KRAV-AUTO-002009</t>
  </si>
  <si>
    <t>KRAV-AUTO-002010</t>
  </si>
  <si>
    <t>http://localhost:8787/api/admin/requirements/documents/cmm4yunko00s5cuqwjv8v2jj2/view</t>
  </si>
  <si>
    <t>KRAV-AUTO-002011</t>
  </si>
  <si>
    <t>cmm4yunko00s5cuqwjv8v2jj2</t>
  </si>
  <si>
    <t>KRAV-AUTO-002012</t>
  </si>
  <si>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</si>
  <si>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t>
  </si>
  <si>
    <t>KRAV-AUTO-002013</t>
  </si>
  <si>
    <t>http://localhost:8787/api/admin/requirements/documents/cmm4yunkl00s2cuqwwaquz27l/view</t>
  </si>
  <si>
    <t>KRAV-AUTO-002014</t>
  </si>
  <si>
    <t>cmm4yunkl00s2cuqwwaquz27l</t>
  </si>
  <si>
    <t>KRAV-AUTO-002015</t>
  </si>
  <si>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</si>
  <si>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</si>
  <si>
    <t>KRAV-AUTO-002016</t>
  </si>
  <si>
    <t>http://localhost:8787/api/admin/requirements/documents/cmm4yunkj00rzcuqw53kh7f9a/view</t>
  </si>
  <si>
    <t>KRAV-AUTO-002017</t>
  </si>
  <si>
    <t>cmm4yunkj00rzcuqw53kh7f9a</t>
  </si>
  <si>
    <t>KRAV-AUTO-002018</t>
  </si>
  <si>
    <t>Verksamhetsutövare: Ragn-Sells Avfallsbehandling AB Organisationsnummer: 5560768516 Beslut – mellanlagring av slam Miljö- och byggnadsnämnden beslutar att förelägga Ragn-Sells Avfallsbehandling AB med organisationsnummer 5560768516 om följande försiktighetsmått;</t>
  </si>
  <si>
    <t>KRAV-AUTO-002019</t>
  </si>
  <si>
    <t>http://localhost:8787/api/admin/requirements/documents/cmm4yunkf00rwcuqw0lvn1jq7/view</t>
  </si>
  <si>
    <t>KRAV-AUTO-002020</t>
  </si>
  <si>
    <t>ADMIN-INDEX-2026-02-27-00000000125C043F57453246863FE664CAFE6A3F0700950291EA24F0614FB6ACEDB12BF0E31D00000000010C0000950291EA24F0614FB6ACEDB12BF0E31D00002087B1880000</t>
  </si>
  <si>
    <t>cmm4yunkf00rwcuqw0lvn1jq7</t>
  </si>
  <si>
    <t>251117-MMAVANLAN-BB20.pdf</t>
  </si>
  <si>
    <t>Vi anser att vi borde kunna återanvända massorna eftersom det skall återanvändas på samma plats Är avfallet fritt från föroreningar?</t>
  </si>
  <si>
    <t>KRAV-AUTO-002021</t>
  </si>
  <si>
    <t>Närmaste bostadshus är XXmm Uppskatta mängden avfall som kommer att användas i anläggningsprojektet (i ton) Eftersom vi har för avsikt att återanvända massorna så blir det inget avfall.</t>
  </si>
  <si>
    <t>KRAV-AUTO-002022</t>
  </si>
  <si>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</si>
  <si>
    <t>http://localhost:8787/api/admin/requirements/documents/cmm4yunka00rqcuqwsy5rxhui/view</t>
  </si>
  <si>
    <t>KRAV-AUTO-002023</t>
  </si>
  <si>
    <t>cmm4yunka00rqcuqwsy5rxhui</t>
  </si>
  <si>
    <t>Dagvattenutredningen ska utreda och analysera ifall platsen är lämplig utifrån dagvattenhantering, risk för översvämning vid höga flöden i närliggande vattendrag samt om och hur dränering bör anordnas.</t>
  </si>
  <si>
    <t>KRAV-AUTO-002024</t>
  </si>
  <si>
    <t>I syfte att ta hänsyn till framtida klimatförändringar föreslår Svenskt Vatten att nederbördsintensiteten ska ökas med klimatfaktor 1,25 i beräkningar i dagvattenutredningar.</t>
  </si>
  <si>
    <t>KRAV-AUTO-002025</t>
  </si>
  <si>
    <t>Då utredningsområdet omgärdas av ett skyddsstaket med gjutet betongfundament är det av största vikt att dagvatten har möjlighet att passera genom någon form av hålighet i fundamentet för att minimera risken för översvämning inom området vid kraftig nederbörd.</t>
  </si>
  <si>
    <t>http://localhost:8787/api/admin/requirements/documents/cmm4yunk700rncuqwf6dp85y6/view</t>
  </si>
  <si>
    <t>KRAV-AUTO-002026</t>
  </si>
  <si>
    <t>cmm4yunk700rncuqwf6dp85y6</t>
  </si>
  <si>
    <t>Nedan bottenplattan skall fyllning, dränerande och kapillärbrytande skikt utläggas och packas i enlighet med AMA Anläggning.</t>
  </si>
  <si>
    <t>KRAV-AUTO-002027</t>
  </si>
  <si>
    <t>Innebörden blir att primära konsolideringssättningar över tid skall förväntas uppgå till varierat inom området med mellan ca 15 - 30 cm för varje påfört ton/m2 eller 10 kPa som alltså dessutom morsvarar ca 0,5 m fyllningsmaterial.</t>
  </si>
  <si>
    <t>KRAV-AUTO-002028</t>
  </si>
  <si>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</si>
  <si>
    <t>http://localhost:8787/api/admin/requirements/documents/cmm4yunk400rkcuqw69tecqiq/view</t>
  </si>
  <si>
    <t>KRAV-AUTO-002029</t>
  </si>
  <si>
    <t>ADMIN-INDEX-2026-02-27-00000000125C043F57453246863FE664CAFE6A3F0700950291EA24F0614FB6ACEDB12BF0E31D00000000010C0000950291EA24F0614FB6ACEDB12BF0E31D00002087B1890000</t>
  </si>
  <si>
    <t>cmm4yunk400rkcuqw69tecqiq</t>
  </si>
  <si>
    <t>MIL20242200pdf_976497.pdf</t>
  </si>
  <si>
    <t>KRAV-AUTO-002030</t>
  </si>
  <si>
    <t>Uppskattad volym är cirka 1550 ton.</t>
  </si>
  <si>
    <t>KRAV-AUTO-002031</t>
  </si>
  <si>
    <t>http://localhost:8787/api/admin/requirements/documents/cmm4yunk100rhcuqwecq0421y/view</t>
  </si>
  <si>
    <t>KRAV-AUTO-002032</t>
  </si>
  <si>
    <t>cmm4yunk100rhcuqwecq0421y</t>
  </si>
  <si>
    <t>KRAV-AUTO-002033</t>
  </si>
  <si>
    <t>Uppskattad volym är cirka 300 ton.</t>
  </si>
  <si>
    <t>KRAV-AUTO-002034</t>
  </si>
  <si>
    <t>http://localhost:8787/api/admin/requirements/documents/cmm4yunjy00recuqwigbk24et/view</t>
  </si>
  <si>
    <t>KRAV-AUTO-002035</t>
  </si>
  <si>
    <t>cmm4yunjy00recuqwigbk24et</t>
  </si>
  <si>
    <t>KRAV-AUTO-002036</t>
  </si>
  <si>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</si>
  <si>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</si>
  <si>
    <t>KRAV-AUTO-002037</t>
  </si>
  <si>
    <t>http://localhost:8787/api/admin/requirements/documents/cmm4yunjv00rbcuqwy3mhbyk8/view</t>
  </si>
  <si>
    <t>KRAV-AUTO-002038</t>
  </si>
  <si>
    <t>cmm4yunjv00rbcuqwy3mhbyk8</t>
  </si>
  <si>
    <t>KRAV-AUTO-002039</t>
  </si>
  <si>
    <t>Uppskattad volym är cirka 330 ton, uppdelat på två stukor.</t>
  </si>
  <si>
    <t>KRAV-AUTO-002040</t>
  </si>
  <si>
    <t>http://localhost:8787/api/admin/requirements/documents/cmm4yunjt00r8cuqwb380emmk/view</t>
  </si>
  <si>
    <t>KRAV-AUTO-002041</t>
  </si>
  <si>
    <t>cmm4yunjt00r8cuqwb380emmk</t>
  </si>
  <si>
    <t>KRAV-AUTO-002042</t>
  </si>
  <si>
    <t>http://localhost:8787/api/admin/requirements/documents/cmm4yunjq00r5cuqwww7lwlot/view</t>
  </si>
  <si>
    <t>KRAV-AUTO-002043</t>
  </si>
  <si>
    <t>ADMIN-INDEX-2026-02-27-00000000125C043F57453246863FE664CAFE6A3F0700950291EA24F0614FB6ACEDB12BF0E31D00000000010C0000950291EA24F0614FB6ACEDB12BF0E31D00002087B18A0000</t>
  </si>
  <si>
    <t>cmm4yunjq00r5cuqwww7lwlot</t>
  </si>
  <si>
    <t>MIL20241945pdf_976490.pdf</t>
  </si>
  <si>
    <t>KRAV-AUTO-002044</t>
  </si>
  <si>
    <t>Uppskattad volym är cirka 1100 ton.</t>
  </si>
  <si>
    <t>KRAV-AUTO-002045</t>
  </si>
  <si>
    <t>http://localhost:8787/api/admin/requirements/documents/cmm4yunjn00r2cuqwuhgx5uim/view</t>
  </si>
  <si>
    <t>KRAV-AUTO-002046</t>
  </si>
  <si>
    <t>cmm4yunjn00r2cuqwuhgx5uim</t>
  </si>
  <si>
    <t>KRAV-AUTO-002047</t>
  </si>
  <si>
    <t>KRAV-AUTO-002048</t>
  </si>
  <si>
    <t>http://localhost:8787/api/admin/requirements/documents/cmm4yunjk00qzcuqwk63rffi6/view</t>
  </si>
  <si>
    <t>KRAV-AUTO-002049</t>
  </si>
  <si>
    <t>cmm4yunjk00qzcuqwk63rffi6</t>
  </si>
  <si>
    <t>KRAV-AUTO-002050</t>
  </si>
  <si>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</si>
  <si>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t>
  </si>
  <si>
    <t>KRAV-AUTO-002051</t>
  </si>
  <si>
    <t>http://localhost:8787/api/admin/requirements/documents/cmm4yunjh00qwcuqwpj591p31/view</t>
  </si>
  <si>
    <t>KRAV-AUTO-002052</t>
  </si>
  <si>
    <t>cmm4yunjh00qwcuqwpj591p31</t>
  </si>
  <si>
    <t>KRAV-AUTO-002053</t>
  </si>
  <si>
    <t>KRAV-AUTO-002054</t>
  </si>
  <si>
    <t>http://localhost:8787/api/admin/requirements/documents/cmm4yunje00qtcuqwm6mwk29h/view</t>
  </si>
  <si>
    <t>KRAV-AUTO-002055</t>
  </si>
  <si>
    <t>cmm4yunje00qtcuqwm6mwk29h</t>
  </si>
  <si>
    <t>KRAV-AUTO-002056</t>
  </si>
  <si>
    <t>http://localhost:8787/api/admin/requirements/documents/cmm4yunj900qncuqwft59g6w3/view</t>
  </si>
  <si>
    <t>KRAV-AUTO-002057</t>
  </si>
  <si>
    <t>ADMIN-INDEX-2026-02-27-00000000125C043F57453246863FE664CAFE6A3F0700950291EA24F0614FB6ACEDB12BF0E31D00000000010C0000950291EA24F0614FB6ACEDB12BF0E31D00002087B18B0000</t>
  </si>
  <si>
    <t>cmm4yunj900qncuqwft59g6w3</t>
  </si>
  <si>
    <t>pdf Eksjö</t>
  </si>
  <si>
    <t>pdf Eksjö kommun</t>
  </si>
  <si>
    <t>SBS-2024-215-14 Föreläggande om försiktighetsmått.pdf</t>
  </si>
  <si>
    <t>Farligt avfall och övrigt avfall ska transporteras bort av transportör som har tillstånd.</t>
  </si>
  <si>
    <t>KRAV-AUTO-002058</t>
  </si>
  <si>
    <t>för drift och kontroll, fortlöpande undersöka och bedöma riskerna med verksamheten samt förteckna använda kemiska produkter och journalföring ska ske på ett tydligt sätt som möjliggör uppföljning av varifrån massorna kommer.</t>
  </si>
  <si>
    <t>KRAV-AUTO-002059</t>
  </si>
  <si>
    <t>Absorptionsmedel ska finnas tillgängligt i direkt anslutning till plats där risk för spill föreligger.</t>
  </si>
  <si>
    <t>http://localhost:8787/api/admin/requirements/documents/cmm4yunij00pzcuqwrgd8gy2r/view</t>
  </si>
  <si>
    <t>KRAV-AUTO-002060</t>
  </si>
  <si>
    <t>ADMIN-INDEX-2026-02-27-00000000125C043F57453246863FE664CAFE6A3F0700950291EA24F0614FB6ACEDB12BF0E31D00000000010C0000950291EA24F0614FB6ACEDB12BF0E31D00002087B18F0000</t>
  </si>
  <si>
    <t>cmm4yunij00pzcuqwrgd8gy2r</t>
  </si>
  <si>
    <t>Miljö- och byggförvaltningen Strömstads</t>
  </si>
  <si>
    <t>Miljö- och byggförvaltningen Strömstads kommun</t>
  </si>
  <si>
    <t>MBN-2024-1724 1 Anmälan.pdf</t>
  </si>
  <si>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Beskrivning av reningsmetod för luft (kan bifogas som bilaga) Buller Ange vilka tider på dygnet bullret pågår Typ av av avfall enligt avfallsförordningen (2011:927) Mängd/år Transportör av avfall jbED ff- -7 -4- 1 i 7 .</t>
  </si>
  <si>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t>
  </si>
  <si>
    <t>KRAV-AUTO-002061</t>
  </si>
  <si>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Avfall (kan bifogas som bilaga) Ljudalstrare/typ av ljud Sid 3 (4) Utsläpp Har verksamheten industriellt vattenutsläpp?* Ja Nej Från vilka processer förekommer spillvatten (ej WC, kök m.m.) Ange flöden, utsläppspunkter och uppskattade vattenföroreningsmängder (kan bifogas som bilaga) Är verksamheten ansluten till kommunalt spill eller egen anläggning?</t>
  </si>
  <si>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t>
  </si>
  <si>
    <t>KRAV-AUTO-002062</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</si>
  <si>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fastställd taxa.</t>
  </si>
  <si>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t>
  </si>
  <si>
    <t>http://localhost:8787/api/admin/requirements/documents/cmm4yunie00ptcuqws9rmxyif/view</t>
  </si>
  <si>
    <t>KRAV-AUTO-002063</t>
  </si>
  <si>
    <t>cmm4yunie00ptcuqws9rmxyif</t>
  </si>
  <si>
    <t>KRAV-AUTO-002064</t>
  </si>
  <si>
    <t>Avfall som ska mellanlagras på platsen som anges i anmälan får enbart bestå av de jordmassor som kommer från ängs/skogsområdet vid löpklubbens parkering.</t>
  </si>
  <si>
    <t>KRAV-AUTO-002065</t>
  </si>
  <si>
    <t>Senast den 30 november 2027 ska mellanlagringen enligt anmälan upphöra.</t>
  </si>
  <si>
    <t>http://localhost:8787/api/admin/requirements/documents/cmm4yuni500pkcuqw6gtmkm99/view</t>
  </si>
  <si>
    <t>KRAV-AUTO-002066</t>
  </si>
  <si>
    <t>cmm4yuni500pkcuqw6gtmkm99</t>
  </si>
  <si>
    <t>Vid damning ska utföraren vattna och täcka dagvattenbrunnar för att minska risken för påverkan på recipienten.</t>
  </si>
  <si>
    <t>KRAV-AUTO-002067</t>
  </si>
  <si>
    <t>KRAV-AUTO-002068</t>
  </si>
  <si>
    <t>Sammanfattning av ärendet I samband med rivning av del av parkeringsgarage så önskar strömstadbyggen att återanvända betongen som fyllnadsmassor, en anmälan för återanvändning av avfall för anläggningsändamål har skickats in och behandlas separat.</t>
  </si>
  <si>
    <t>http://localhost:8787/api/admin/requirements/documents/cmm4yuni000pecuqws2rdrrnl/view</t>
  </si>
  <si>
    <t>KRAV-AUTO-002069</t>
  </si>
  <si>
    <t>ADMIN-INDEX-2026-02-27-00000000125C043F57453246863FE664CAFE6A3F0700950291EA24F0614FB6ACEDB12BF0E31D00000000010C0000950291EA24F0614FB6ACEDB12BF0E31D00002087B1900000</t>
  </si>
  <si>
    <t>cmm4yuni000pecuqws2rdrrnl</t>
  </si>
  <si>
    <t>Skrivelse.pdf</t>
  </si>
  <si>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mellanlagring och mekanisk bearbetning av icke-farligt avfall Fastighetsbeteckning: Håbo Viksjö 2:30 Besöksadress: Eknäsvägen 3 Verksamhetsnamn: Järfälla Utemiljö AB Beslut Bygg- och miljönämnden beslutar att Järfälla Utemiljö AB med 559149- 8547 ska vidta följande försiktighetsmått för miljöfarlig verksamhet på fastigheten Håbo Viksjö 2:30: 1.</t>
  </si>
  <si>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t>
  </si>
  <si>
    <t>KRAV-AUTO-002070</t>
  </si>
  <si>
    <t>Absorberingsmedel ska finnas lättillgängligt och användas vid behov om spill eller läckage av flytande kemikalier och avfall inträffar.</t>
  </si>
  <si>
    <t>KRAV-AUTO-002071</t>
  </si>
  <si>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</si>
  <si>
    <t>http://localhost:8787/api/admin/requirements/documents/cmm4yunhm00ozcuqwjronl8jb/view</t>
  </si>
  <si>
    <t>KRAV-AUTO-002072</t>
  </si>
  <si>
    <t>ADMIN-INDEX-2026-02-27-00000000125C043F57453246863FE664CAFE6A3F0700950291EA24F0614FB6ACEDB12BF0E31D00000000010C0000950291EA24F0614FB6ACEDB12BF0E31D00002087B1910000</t>
  </si>
  <si>
    <t>cmm4yunhm00ozcuqwjronl8jb</t>
  </si>
  <si>
    <t>Habo</t>
  </si>
  <si>
    <t>Habo kommun</t>
  </si>
  <si>
    <t>M-2024-946 Samrådsredogöresel.pdf</t>
  </si>
  <si>
    <t>ljuskällor och batterier, kommer att utsorteras och hanteras med insamlat avfall på sortergården.</t>
  </si>
  <si>
    <t>KRAV-AUTO-002073</t>
  </si>
  <si>
    <t>Synpunkt: I tillståndsansökan bör följande särskilt beaktas och utredas: - Hantering av dagvatten och påverkan på vattenförekomsten.</t>
  </si>
  <si>
    <t>KRAV-AUTO-002074</t>
  </si>
  <si>
    <t>Efter att ha varit i kontakt med Peter Ekelund på June Avfall förstod vi att Habo kommun redan tidigare fattat beslut om att Sibbabo ”måste” stängas när sluttäckning av sista deponierna ska ske.</t>
  </si>
  <si>
    <t>http://localhost:8787/api/admin/requirements/documents/cmm4yunhi00owcuqwjd6negry/view</t>
  </si>
  <si>
    <t>KRAV-AUTO-002075</t>
  </si>
  <si>
    <t>cmm4yunhi00owcuqwjd6negry</t>
  </si>
  <si>
    <t>Kommunen har ett föreläggande av Länsstyrelsen om att sluttäcka Sibbabo avfallsdeponi.</t>
  </si>
  <si>
    <t>KRAV-AUTO-002076</t>
  </si>
  <si>
    <t>Det står dessutom i June avfalls samrådshandlingar att det ska kunna gå att cykla till sortergården.</t>
  </si>
  <si>
    <t>http://localhost:8787/api/admin/requirements/documents/cmm4yunhf00otcuqwiuy4tt26/view</t>
  </si>
  <si>
    <t>KRAV-AUTO-002077</t>
  </si>
  <si>
    <t>cmm4yunhf00otcuqwiuy4tt26</t>
  </si>
  <si>
    <t>Kontrollen bör bland annat innefatta kontroll av lagrade avfallsmängder, kontroll av att villkor följs, kontroll av funktion hos reningsanordningar och rutiner för provtagning, rutiner för riskanalys av verksamheten och rutiner för när bullerkontroll krävs.</t>
  </si>
  <si>
    <t>KRAV-AUTO-002078</t>
  </si>
  <si>
    <t>Flytande kemiska produkter och flytande farligt avfall kommer förvaras nederbördsskyddade och invallade.</t>
  </si>
  <si>
    <t>KRAV-AUTO-002079</t>
  </si>
  <si>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</si>
  <si>
    <t>http://localhost:8787/api/admin/requirements/documents/cmm4yunh600okcuqwxguxd8e3/view</t>
  </si>
  <si>
    <t>KRAV-AUTO-002080</t>
  </si>
  <si>
    <t>cmm4yunh600okcuqwxguxd8e3</t>
  </si>
  <si>
    <t>I de fall verksam- hetens buller karakteriseras av ofta återkommande impulser som vid nit- ningsarbete, lossning av metallskrot och liknande eller innehåller ljud med tydligt hörbara tonkomponenter bör värdena i Tabell 1 sänkas med 5 dBA.</t>
  </si>
  <si>
    <t>KRAV-AUTO-002081</t>
  </si>
  <si>
    <t>I de fall verksamhet- ens buller karakteriseras av ofta återkommande impulser som vid nitnings- arbete, lossning av metallskrot och liknande eller innehåller ljud med tydligt hörbara tonkomponenter bör värdena i Tabell 1 sänkas med 5 dBA.</t>
  </si>
  <si>
    <t>KRAV-AUTO-002082</t>
  </si>
  <si>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</si>
  <si>
    <t>http://localhost:8787/api/admin/requirements/documents/cmm4yunh400ohcuqwrlzimvcv/view</t>
  </si>
  <si>
    <t>KRAV-AUTO-002083</t>
  </si>
  <si>
    <t>cmm4yunh400ohcuqwrlzimvcv</t>
  </si>
  <si>
    <t>Om avfall som inte kan anses motsvara någon av de angivna avfallskategorierna ska hanteras, ska tillsynsmyndighetens godkännande inhämtas.</t>
  </si>
  <si>
    <t>KRAV-AUTO-002084</t>
  </si>
  <si>
    <t>Hanteringen av eventuella fraktioner med annan avfallskod, men som motsvarar någon av de angivna kategorierna, kommer att ske på motsvarande sätt som för liknande fraktioner med motsvarande egenskaper.</t>
  </si>
  <si>
    <t>http://localhost:8787/api/admin/requirements/documents/cmm4yunh100oecuqwm78a012e/view</t>
  </si>
  <si>
    <t>KRAV-AUTO-002085</t>
  </si>
  <si>
    <t>cmm4yunh100oecuqwm78a012e</t>
  </si>
  <si>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hämtning av avfall kommer lagrade mängder av farligt avfall att kunna hållas inom nivån för anmälningsplikt under den tid som krävs innan beslut kan erhållas om tillstånd för lagring av de anmälda mängderna av farligt avfall.</t>
  </si>
  <si>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t>
  </si>
  <si>
    <t>KRAV-AUTO-002086</t>
  </si>
  <si>
    <t>• Vid en eventuell brand kommer det att finnas en uppsamlingskapacitet för släckvatten och möjlighet att stänga av utloppet från dagvattendammen.</t>
  </si>
  <si>
    <t>KRAV-AUTO-002087</t>
  </si>
  <si>
    <t>Under den tid som sortergården drivs som anmälningspliktig verksamhet kommer ett avtal att upprättas med El-Kretsen som specificerar hur många el-burar, vitvaror, kyl &amp; frysar, behållare för lysrör samt ljuskällor som kan mellanlagras innan borttransport behöver ske.</t>
  </si>
  <si>
    <t>http://localhost:8787/api/admin/requirements/documents/cmm4yungv00o8cuqw12bz63zv/view</t>
  </si>
  <si>
    <t>KRAV-AUTO-002088</t>
  </si>
  <si>
    <t>ADMIN-INDEX-2026-02-27-00000000125C043F57453246863FE664CAFE6A3F0700950291EA24F0614FB6ACEDB12BF0E31D00000000010C0000950291EA24F0614FB6ACEDB12BF0E31D00002087B1940000</t>
  </si>
  <si>
    <t>cmm4yungv00o8cuqw12bz63zv</t>
  </si>
  <si>
    <t>MIL20241784pdf_976480.pdf</t>
  </si>
  <si>
    <t>KRAV-AUTO-002089</t>
  </si>
  <si>
    <t>http://localhost:8787/api/admin/requirements/documents/cmm4yungs00o5cuqw5uqy0nq2/view</t>
  </si>
  <si>
    <t>KRAV-AUTO-002090</t>
  </si>
  <si>
    <t>cmm4yungs00o5cuqw5uqy0nq2</t>
  </si>
  <si>
    <t>KRAV-AUTO-002091</t>
  </si>
  <si>
    <t>Uppskattad volym är cirka 590 ton.</t>
  </si>
  <si>
    <t>KRAV-AUTO-002092</t>
  </si>
  <si>
    <t>http://localhost:8787/api/admin/requirements/documents/cmm4yungp00o2cuqw0eipmng3/view</t>
  </si>
  <si>
    <t>KRAV-AUTO-002093</t>
  </si>
  <si>
    <t>cmm4yungp00o2cuqw0eipmng3</t>
  </si>
  <si>
    <t>KRAV-AUTO-002094</t>
  </si>
  <si>
    <t>Uppskattad volym är cirka 550 ton.</t>
  </si>
  <si>
    <t>KRAV-AUTO-002095</t>
  </si>
  <si>
    <t>http://localhost:8787/api/admin/requirements/documents/cmm4yungl00nzcuqw6vxpl3xs/view</t>
  </si>
  <si>
    <t>KRAV-AUTO-002096</t>
  </si>
  <si>
    <t>cmm4yungl00nzcuqw6vxpl3xs</t>
  </si>
  <si>
    <t>KRAV-AUTO-002097</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</si>
  <si>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Beslutsdatum Ärendenummer 2024-07-05 MIL.2024.1549 Postadress Telefon (Växel) Org.nummer Webbadress Enköpings kommun 0171-62 50 00 212000-0282 www.enkoping.se 745 80 Enköping E-post miljoavdelningen@enkoping.se Miljö- och byggnadsnämndens delegationsbeslut M DB 2024-942 Ärende: Anmälan om mellanlagring av slam Fastighetsbeteckning: Hjälsta-Brunnsta 3:6 och Vettesta 2:4.</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</si>
  <si>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t>
  </si>
  <si>
    <t>KRAV-AUTO-002098</t>
  </si>
  <si>
    <t>Uppskattad volym är cirka 560 ton.</t>
  </si>
  <si>
    <t>http://localhost:8787/api/admin/requirements/documents/cmm4yungi00nwcuqw56m8y8at/view</t>
  </si>
  <si>
    <t>KRAV-AUTO-002099</t>
  </si>
  <si>
    <t>cmm4yungi00nwcuqw56m8y8at</t>
  </si>
  <si>
    <t>KRAV-AUTO-002100</t>
  </si>
  <si>
    <t>http://localhost:8787/api/admin/requirements/documents/cmm4yungg00ntcuqwtnya0ayu/view</t>
  </si>
  <si>
    <t>KRAV-AUTO-002101</t>
  </si>
  <si>
    <t>ADMIN-INDEX-2026-02-27-00000000125C043F57453246863FE664CAFE6A3F0700950291EA24F0614FB6ACEDB12BF0E31D00000000010C0000950291EA24F0614FB6ACEDB12BF0E31D00002087B1950000</t>
  </si>
  <si>
    <t>cmm4yungg00ntcuqwtnya0ayu</t>
  </si>
  <si>
    <t>MIL20241501pdf_976472.pdf</t>
  </si>
  <si>
    <t>KRAV-AUTO-002102</t>
  </si>
  <si>
    <t>KRAV-AUTO-002103</t>
  </si>
  <si>
    <t>http://localhost:8787/api/admin/requirements/documents/cmm4yungc00nqcuqw6c4tl2dh/view</t>
  </si>
  <si>
    <t>KRAV-AUTO-002104</t>
  </si>
  <si>
    <t>cmm4yungc00nqcuqw6c4tl2dh</t>
  </si>
  <si>
    <t>KRAV-AUTO-002105</t>
  </si>
  <si>
    <t>KRAV-AUTO-002106</t>
  </si>
  <si>
    <t>Anmälan om mellanlagring av avloppsslam samt information om efterföljande spridning Malin Eriksson Vid spridning ska vi följa dessa skyddsavstång: 10 meter till vattenförande dike, 50 meter till vattentäkt eller bostäder och 2 meter till dräneringsbrunn.</t>
  </si>
  <si>
    <t>http://localhost:8787/api/admin/requirements/documents/cmm4yung900nncuqwb9l2kjhu/view</t>
  </si>
  <si>
    <t>KRAV-AUTO-002107</t>
  </si>
  <si>
    <t>cmm4yung900nncuqwb9l2kjhu</t>
  </si>
  <si>
    <t>KRAV-AUTO-002108</t>
  </si>
  <si>
    <t>KRAV-AUTO-002109</t>
  </si>
  <si>
    <t>http://localhost:8787/api/admin/requirements/documents/cmm4yung600nkcuqwen5alw55/view</t>
  </si>
  <si>
    <t>KRAV-AUTO-002110</t>
  </si>
  <si>
    <t>cmm4yung600nkcuqwen5alw55</t>
  </si>
  <si>
    <t>KRAV-AUTO-002111</t>
  </si>
  <si>
    <t>KRAV-AUTO-002112</t>
  </si>
  <si>
    <t>http://localhost:8787/api/admin/requirements/documents/cmm4yung400nhcuqwou7ycb5z/view</t>
  </si>
  <si>
    <t>KRAV-AUTO-002113</t>
  </si>
  <si>
    <t>cmm4yung400nhcuqwou7ycb5z</t>
  </si>
  <si>
    <t>KRAV-AUTO-002114</t>
  </si>
  <si>
    <t>Uppskattad volym är cirka 1260 ton.</t>
  </si>
  <si>
    <t>KRAV-AUTO-002115</t>
  </si>
  <si>
    <t>http://localhost:8787/api/admin/requirements/documents/cmm4yung100necuqw0m62sood/view</t>
  </si>
  <si>
    <t>KRAV-AUTO-002116</t>
  </si>
  <si>
    <t>ADMIN-INDEX-2026-02-27-00000000125C043F57453246863FE664CAFE6A3F0700950291EA24F0614FB6ACEDB12BF0E31D00000000010C0000950291EA24F0614FB6ACEDB12BF0E31D00002087B1960000</t>
  </si>
  <si>
    <t>cmm4yung100necuqw0m62sood</t>
  </si>
  <si>
    <t>MIL20241002pdf_976462.pdf</t>
  </si>
  <si>
    <t>KRAV-AUTO-002117</t>
  </si>
  <si>
    <t>KRAV-AUTO-002118</t>
  </si>
  <si>
    <t>http://localhost:8787/api/admin/requirements/documents/cmm4yunfz00nbcuqwohp2z3ei/view</t>
  </si>
  <si>
    <t>KRAV-AUTO-002119</t>
  </si>
  <si>
    <t>cmm4yunfz00nbcuqwohp2z3ei</t>
  </si>
  <si>
    <t>KRAV-AUTO-002120</t>
  </si>
  <si>
    <t>KRAV-AUTO-002121</t>
  </si>
  <si>
    <t>http://localhost:8787/api/admin/requirements/documents/cmm4yunfx00n8cuqwip626fan/view</t>
  </si>
  <si>
    <t>KRAV-AUTO-002122</t>
  </si>
  <si>
    <t>cmm4yunfx00n8cuqwip626fan</t>
  </si>
  <si>
    <t>KRAV-AUTO-002123</t>
  </si>
  <si>
    <t>KRAV-AUTO-002124</t>
  </si>
  <si>
    <t>http://localhost:8787/api/admin/requirements/documents/cmm4yunfu00n5cuqwoq3ecp4u/view</t>
  </si>
  <si>
    <t>KRAV-AUTO-002125</t>
  </si>
  <si>
    <t>cmm4yunfu00n5cuqwoq3ecp4u</t>
  </si>
  <si>
    <t>KRAV-AUTO-002126</t>
  </si>
  <si>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Treatment &amp; Detox AB andre.johansson@ragnsells.com Org.nr: 556076-8516 INX9067-005 Ragn-Sells Treatment &amp; Detox 831 90 Östersund Gerda Nilssons väg 2 emailfakturorR33@ragnsells.com 756 51 Uppsala Märk fakturan: sektion 40256, att.</t>
  </si>
  <si>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t>
  </si>
  <si>
    <t>KRAV-AUTO-002127</t>
  </si>
  <si>
    <t>http://localhost:8787/api/admin/requirements/documents/cmm4yunfr00n2cuqwdzvrmfwh/view</t>
  </si>
  <si>
    <t>KRAV-AUTO-002128</t>
  </si>
  <si>
    <t>cmm4yunfr00n2cuqwdzvrmfwh</t>
  </si>
  <si>
    <t>KRAV-AUTO-002129</t>
  </si>
  <si>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</si>
  <si>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t>
  </si>
  <si>
    <t>KRAV-AUTO-002130</t>
  </si>
  <si>
    <t>http://localhost:8787/api/admin/requirements/documents/cmm4yunfo00mzcuqw73fk9pto/view</t>
  </si>
  <si>
    <t>KRAV-AUTO-002131</t>
  </si>
  <si>
    <t>ADMIN-INDEX-2026-02-27-00000000125C043F57453246863FE664CAFE6A3F0700950291EA24F0614FB6ACEDB12BF0E31D00000000010C0000950291EA24F0614FB6ACEDB12BF0E31D00002087B1990000</t>
  </si>
  <si>
    <t>cmm4yunfo00mzcuqw73fk9pto</t>
  </si>
  <si>
    <t>MIL20252663pdf_976455.pdf</t>
  </si>
  <si>
    <t>KRAV-AUTO-002132</t>
  </si>
  <si>
    <t>KRAV-AUTO-002133</t>
  </si>
  <si>
    <t>http://localhost:8787/api/admin/requirements/documents/cmm4yunfm00mwcuqw94r9r4ig/view</t>
  </si>
  <si>
    <t>KRAV-AUTO-002134</t>
  </si>
  <si>
    <t>cmm4yunfm00mwcuqw94r9r4ig</t>
  </si>
  <si>
    <t>KRAV-AUTO-002135</t>
  </si>
  <si>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&amp; Detox AB stina.astrom@ragnsells.com Org.nr: 556076-8516 INX9067-005 Ragn-Sells Treatment &amp; Detox 831 90 Östersund Gerda Nilssons väg 2 emailfakturorR33@ragnsells.com 756 51 Uppsala Märk fakturan: sektion 40256, att.</t>
  </si>
  <si>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</si>
  <si>
    <t>KRAV-AUTO-002136</t>
  </si>
  <si>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 16:23:21 +0100 To: Miljöavdelningen Subject: VB: Kompletterande uppgifter i ärende MIL.2025.2647(Aspose.Email Evaluation) Attachments: Anmälan om mellanlagring Håmsta 2026.pdf, License.txt För registrering i ärende 2025-2647, tack.</t>
  </si>
  <si>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t>
  </si>
  <si>
    <t>http://localhost:8787/api/admin/requirements/documents/cmm4yunfj00mtcuqwg53u0uk2/view</t>
  </si>
  <si>
    <t>KRAV-AUTO-002137</t>
  </si>
  <si>
    <t>cmm4yunfj00mtcuqwg53u0uk2</t>
  </si>
  <si>
    <t>KRAV-AUTO-002138</t>
  </si>
  <si>
    <t>Totalt rör det sig om ca 1 485 ton avloppsslam som skall lagras.</t>
  </si>
  <si>
    <t>KRAV-AUTO-002139</t>
  </si>
  <si>
    <t>http://localhost:8787/api/admin/requirements/documents/cmm4yunfh00mqcuqwy7k3aijs/view</t>
  </si>
  <si>
    <t>KRAV-AUTO-002140</t>
  </si>
  <si>
    <t>cmm4yunfh00mqcuqwy7k3aijs</t>
  </si>
  <si>
    <t>KRAV-AUTO-002141</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</si>
  <si>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 Nov 2025 09:49:39 +0100 To: Miljöavdelningen Subject: VB: En kompletterande fråga angående mellanlagring av slam, ärende MIL.2025.2566(Aspose.Email Evaluation) Attachments: Stukanmälan_Oscarsons Lantbruk AB_2026.pdf, License.txt För registrering i ärende 2025-2566, tack!</t>
  </si>
  <si>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t>
  </si>
  <si>
    <t>KRAV-AUTO-002142</t>
  </si>
  <si>
    <t>Uppskattad volym är cirka 994 ton.</t>
  </si>
  <si>
    <t>http://localhost:8787/api/admin/requirements/documents/cmm4yunfd00mncuqwkmhxmw75/view</t>
  </si>
  <si>
    <t>KRAV-AUTO-002143</t>
  </si>
  <si>
    <t>cmm4yunfd00mncuqwkmhxmw75</t>
  </si>
  <si>
    <t>KRAV-AUTO-002144</t>
  </si>
  <si>
    <t>KRAV-AUTO-002145</t>
  </si>
  <si>
    <t>http://localhost:8787/api/admin/requirements/documents/cmm4yunfa00mkcuqwszi30pu4/view</t>
  </si>
  <si>
    <t>KRAV-AUTO-002146</t>
  </si>
  <si>
    <t>ADMIN-INDEX-2026-02-27-00000000125C043F57453246863FE664CAFE6A3F0700950291EA24F0614FB6ACEDB12BF0E31D00000000010C0000950291EA24F0614FB6ACEDB12BF0E31D00002087B19E0000</t>
  </si>
  <si>
    <t>cmm4yunfa00mkcuqwszi30pu4</t>
  </si>
  <si>
    <t>MIL2025161.pdf</t>
  </si>
  <si>
    <t>9§ miljöbalken, att vidta följande försiktighetsåtgärder vid återvinning av avfall som del av fyllnadsmassa: -Avfallet som ska användas som fyllnadsmassa bör vara mindre än ringa förorenat.</t>
  </si>
  <si>
    <t>KRAV-AUTO-002147</t>
  </si>
  <si>
    <t>GatuM sssssssessesesrrsessersseresernrr rn anna Avfallstyp* Typ av avfall" Avfallskod* Mängd” Avfallets ursprung” Jordart/marktyp” Belong a ABS TOO) |Ca 3-5kbm huse vane Lie z SendNeuurd [Hur ska avfallet användas?" Maa ne AS - exten = bs barn Igen ra AN afer kPING cen fred.</t>
  </si>
  <si>
    <t>KRAV-AUTO-002148</t>
  </si>
  <si>
    <t>-Avfallet ska täckas med 400-500mm av fraktion 0-18 från godkänd täkt.</t>
  </si>
  <si>
    <t>http://localhost:8787/api/admin/requirements/documents/cmm4yunf400mecuqwrcsam1kx/view</t>
  </si>
  <si>
    <t>KRAV-AUTO-002149</t>
  </si>
  <si>
    <t>cmm4yunf400mecuqwrcsam1kx</t>
  </si>
  <si>
    <t>Hälsoriskerna bedömer vi som låga, vi har möjlighet att begränsa spridningen av damm med vatten, maskinerna är utrustade med luftfilter och skyddsutrustning finns för personalen som måste komma i kontakt med jorden.</t>
  </si>
  <si>
    <t>http://localhost:8787/api/admin/requirements/documents/cmm4yunf100mbcuqwnj91q6k9/view</t>
  </si>
  <si>
    <t>KRAV-AUTO-002150</t>
  </si>
  <si>
    <t>ADMIN-INDEX-2026-02-27-00000000125C043F57453246863FE664CAFE6A3F0700950291EA24F0614FB6ACEDB12BF0E31D00000000010C0000950291EA24F0614FB6ACEDB12BF0E31D00002087B19F0000</t>
  </si>
  <si>
    <t>cmm4yunf100mbcuqwnj91q6k9</t>
  </si>
  <si>
    <t>MIL20252496pdf_976448.pdf</t>
  </si>
  <si>
    <t>KRAV-AUTO-002151</t>
  </si>
  <si>
    <t>KRAV-AUTO-002152</t>
  </si>
  <si>
    <t>http://localhost:8787/api/admin/requirements/documents/cmm4yunex00m8cuqwd4yhyz7u/view</t>
  </si>
  <si>
    <t>KRAV-AUTO-002153</t>
  </si>
  <si>
    <t>cmm4yunex00m8cuqwd4yhyz7u</t>
  </si>
  <si>
    <t>KRAV-AUTO-002154</t>
  </si>
  <si>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</si>
  <si>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</si>
  <si>
    <t>KRAV-AUTO-002155</t>
  </si>
  <si>
    <t>http://localhost:8787/api/admin/requirements/documents/cmm4yuneu00m5cuqwiblbfpdo/view</t>
  </si>
  <si>
    <t>KRAV-AUTO-002156</t>
  </si>
  <si>
    <t>cmm4yuneu00m5cuqwiblbfpdo</t>
  </si>
  <si>
    <t>KRAV-AUTO-002157</t>
  </si>
  <si>
    <t>KRAV-AUTO-002158</t>
  </si>
  <si>
    <t>http://localhost:8787/api/admin/requirements/documents/cmm4yuner00m2cuqwh9mjdnzs/view</t>
  </si>
  <si>
    <t>KRAV-AUTO-002159</t>
  </si>
  <si>
    <t>cmm4yuner00m2cuqwh9mjdnzs</t>
  </si>
  <si>
    <t>KRAV-AUTO-002160</t>
  </si>
  <si>
    <t>KRAV-AUTO-002161</t>
  </si>
  <si>
    <t>http://localhost:8787/api/admin/requirements/documents/cmm4yunen00lzcuqw1rk6suyg/view</t>
  </si>
  <si>
    <t>KRAV-AUTO-002162</t>
  </si>
  <si>
    <t>cmm4yunen00lzcuqw1rk6suyg</t>
  </si>
  <si>
    <t>KRAV-AUTO-002163</t>
  </si>
  <si>
    <t>KRAV-AUTO-002164</t>
  </si>
  <si>
    <t>http://localhost:8787/api/admin/requirements/documents/cmm4yunek00lwcuqwvgwjc3hk/view</t>
  </si>
  <si>
    <t>KRAV-AUTO-002165</t>
  </si>
  <si>
    <t>ADMIN-INDEX-2026-02-27-00000000125C043F57453246863FE664CAFE6A3F0700950291EA24F0614FB6ACEDB12BF0E31D00000000010C0000950291EA24F0614FB6ACEDB12BF0E31D00002087B1A00000</t>
  </si>
  <si>
    <t>cmm4yunek00lwcuqwvgwjc3hk</t>
  </si>
  <si>
    <t>MIL20252312pdf_976442.pdf</t>
  </si>
  <si>
    <t>KRAV-AUTO-002166</t>
  </si>
  <si>
    <t>Uppskattad volym är cirka 250 ton.</t>
  </si>
  <si>
    <t>KRAV-AUTO-002167</t>
  </si>
  <si>
    <t>http://localhost:8787/api/admin/requirements/documents/cmm4yuneh00ltcuqwswd7tmol/view</t>
  </si>
  <si>
    <t>KRAV-AUTO-002168</t>
  </si>
  <si>
    <t>cmm4yuneh00ltcuqwswd7tmol</t>
  </si>
  <si>
    <t>KRAV-AUTO-002169</t>
  </si>
  <si>
    <t>KRAV-AUTO-002170</t>
  </si>
  <si>
    <t>http://localhost:8787/api/admin/requirements/documents/cmm4yunee00lqcuqwbqwfs4r1/view</t>
  </si>
  <si>
    <t>KRAV-AUTO-002171</t>
  </si>
  <si>
    <t>cmm4yunee00lqcuqwbqwfs4r1</t>
  </si>
  <si>
    <t>KRAV-AUTO-002172</t>
  </si>
  <si>
    <t>Uppskattad volym är cirka 1500 ton.</t>
  </si>
  <si>
    <t>KRAV-AUTO-002173</t>
  </si>
  <si>
    <t>http://localhost:8787/api/admin/requirements/documents/cmm4yunea00lncuqweiodxkwo/view</t>
  </si>
  <si>
    <t>KRAV-AUTO-002174</t>
  </si>
  <si>
    <t>cmm4yunea00lncuqweiodxkwo</t>
  </si>
  <si>
    <t>KRAV-AUTO-002175</t>
  </si>
  <si>
    <t>KRAV-AUTO-002176</t>
  </si>
  <si>
    <t>http://localhost:8787/api/admin/requirements/documents/cmm4yune800lkcuqwkwmew0us/view</t>
  </si>
  <si>
    <t>KRAV-AUTO-002177</t>
  </si>
  <si>
    <t>cmm4yune800lkcuqwkwmew0us</t>
  </si>
  <si>
    <t>KRAV-AUTO-002178</t>
  </si>
  <si>
    <t>KRAV-AUTO-002179</t>
  </si>
  <si>
    <t>http://localhost:8787/api/admin/requirements/documents/cmm4yune500lhcuqwffhmdwrd/view</t>
  </si>
  <si>
    <t>KRAV-AUTO-002180</t>
  </si>
  <si>
    <t>ADMIN-INDEX-2026-02-27-00000000125C043F57453246863FE664CAFE6A3F0700950291EA24F0614FB6ACEDB12BF0E31D00000000010C0000950291EA24F0614FB6ACEDB12BF0E31D00002087B1A10000</t>
  </si>
  <si>
    <t>cmm4yune500lhcuqwffhmdwrd</t>
  </si>
  <si>
    <t>Kiruna</t>
  </si>
  <si>
    <t>Kiruna kommun</t>
  </si>
  <si>
    <t>M-2026-22.pdf</t>
  </si>
  <si>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organiska park och trädgårdsavfallet det kommer på så viss inte bli några netto utsläpp av lakvatten från lagringsytan.</t>
  </si>
  <si>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t>
  </si>
  <si>
    <t>http://localhost:8787/api/admin/requirements/documents/cmm4yune100lecuqwdw9f3y24/view</t>
  </si>
  <si>
    <t>KRAV-AUTO-002181</t>
  </si>
  <si>
    <t>cmm4yune100lecuqwdw9f3y24</t>
  </si>
  <si>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handläggning av ärendet.</t>
  </si>
  <si>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t>
  </si>
  <si>
    <t>KRAV-AUTO-002182</t>
  </si>
  <si>
    <t>Verksamheten ska föra anteckningar om icke-farligt avfall enligt 7 kap.</t>
  </si>
  <si>
    <t>http://localhost:8787/api/admin/requirements/documents/cmm4yundy00lbcuqw3h8yvt6u/view</t>
  </si>
  <si>
    <t>KRAV-AUTO-002183</t>
  </si>
  <si>
    <t>cmm4yundy00lbcuqw3h8yvt6u</t>
  </si>
  <si>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Se provtagningsplan, Samlingsprover 24TSP1-5 på schakt på 24T09 har tagits.</t>
  </si>
  <si>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t>
  </si>
  <si>
    <t>KRAV-AUTO-002184</t>
  </si>
  <si>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Som en förberedelse inför saneringen av Bandel 1:55- och 1:56 i Abisko togs nya prover på högarna.</t>
  </si>
  <si>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t>
  </si>
  <si>
    <t>KRAV-AUTO-002185</t>
  </si>
  <si>
    <t>Se figur 1 som visar en översiktskarta över provtagningsområdet.</t>
  </si>
  <si>
    <t>http://localhost:8787/api/admin/requirements/documents/cmm4yundv00l8cuqwrz4w4d1v/view</t>
  </si>
  <si>
    <t>KRAV-AUTO-002186</t>
  </si>
  <si>
    <t>cmm4yundv00l8cuqwrz4w4d1v</t>
  </si>
  <si>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handläggning av ärendet.</t>
  </si>
  <si>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t>
  </si>
  <si>
    <t>KRAV-AUTO-002187</t>
  </si>
  <si>
    <t>Historiska kartor Se om det finns historiska kartor nära den valda positionen IZl Historiska kartor webbP.lats Dela ( Stäng -- 4 of 4 --</t>
  </si>
  <si>
    <t>http://localhost:8787/api/admin/requirements/documents/cmm4yundq00l2cuqw6y3wndak/view</t>
  </si>
  <si>
    <t>KRAV-AUTO-002188</t>
  </si>
  <si>
    <t>cmm4yundq00l2cuqw6y3wndak</t>
  </si>
  <si>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handläggning av ärendet.</t>
  </si>
  <si>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t>
  </si>
  <si>
    <t>KRAV-AUTO-002189</t>
  </si>
  <si>
    <t>http://localhost:8787/api/admin/requirements/documents/cmm4yundl00kwcuqwvx1cwam0/view</t>
  </si>
  <si>
    <t>KRAV-AUTO-002190</t>
  </si>
  <si>
    <t>cmm4yundl00kwcuqwvx1cwam0</t>
  </si>
  <si>
    <t>Miljökontoret är inte av någon annan åsikt utan anser att överskottsmassorna bör vara lämpliga att återvinna för anläggningsändamål för att på så vis minska mängden avfall och användandet av jungfruligt material.</t>
  </si>
  <si>
    <t>KRAV-AUTO-002191</t>
  </si>
  <si>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-- 13 of 21 -- Sida Ordernummer Kund ST2322997 ÅF Infrastructure AB : : : 3 av 28 Etapp2_02 Provbeteckning Matris: JORD Laboratoriets provnummer ST2322997-002 2023-06-27 Provtagningsdatum / tid Parameter Resultat MU Enhet LOR Analyspaket Metod Utf.</t>
  </si>
  <si>
    <t>KRAV-AUTO-002192</t>
  </si>
  <si>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Projektgruppen Malmfälten AB Anmälan om återvinning av avfall i anläggningsändamål enligt 29 kap 35 § miljöprövningsförordningen (2013:251), kod 90.141 Fastighetsbeteckning Del av Luossavaara 1:2 Kommun Kiruna Fastighetsägare Luossavaara Kiirunavaara AB Organisationsnummer 556001-5835 Verksamhetsutövare Tekniska Verken i Kiruna AB Adress Värmeverksvägen 12, 981 85 Kiruna Org.</t>
  </si>
  <si>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t>
  </si>
  <si>
    <t>http://localhost:8787/api/admin/requirements/documents/cmm4yundi00ktcuqwvjlbmpum/view</t>
  </si>
  <si>
    <t>KRAV-AUTO-002193</t>
  </si>
  <si>
    <t>ADMIN-INDEX-2026-02-27-00000000125C043F57453246863FE664CAFE6A3F0700950291EA24F0614FB6ACEDB12BF0E31D00000000010C0000950291EA24F0614FB6ACEDB12BF0E31D00002087B1A20000</t>
  </si>
  <si>
    <t>cmm4yundi00ktcuqwvjlbmpum</t>
  </si>
  <si>
    <t>MIL20252223pdf_976436.pdf</t>
  </si>
  <si>
    <t>KRAV-AUTO-002194</t>
  </si>
  <si>
    <t>KRAV-AUTO-002195</t>
  </si>
  <si>
    <t>http://localhost:8787/api/admin/requirements/documents/cmm4yundf00kqcuqw3i5tmxz5/view</t>
  </si>
  <si>
    <t>KRAV-AUTO-002196</t>
  </si>
  <si>
    <t>cmm4yundf00kqcuqw3i5tmxz5</t>
  </si>
  <si>
    <t>KRAV-AUTO-002197</t>
  </si>
  <si>
    <t>KRAV-AUTO-002198</t>
  </si>
  <si>
    <t>http://localhost:8787/api/admin/requirements/documents/cmm4yundc00kncuqwamdo1upw/view</t>
  </si>
  <si>
    <t>KRAV-AUTO-002199</t>
  </si>
  <si>
    <t>cmm4yundc00kncuqwamdo1upw</t>
  </si>
  <si>
    <t>KRAV-AUTO-002200</t>
  </si>
  <si>
    <t>Uppskattad volym är cirka 833 ton.</t>
  </si>
  <si>
    <t>KRAV-AUTO-002201</t>
  </si>
  <si>
    <t>http://localhost:8787/api/admin/requirements/documents/cmm4yund900kkcuqw5fb0vkrj/view</t>
  </si>
  <si>
    <t>KRAV-AUTO-002202</t>
  </si>
  <si>
    <t>cmm4yund900kkcuqw5fb0vkrj</t>
  </si>
  <si>
    <t>KRAV-AUTO-002203</t>
  </si>
  <si>
    <t>KRAV-AUTO-002204</t>
  </si>
  <si>
    <t>http://localhost:8787/api/admin/requirements/documents/cmm4yund600khcuqwiu7tvxkx/view</t>
  </si>
  <si>
    <t>KRAV-AUTO-002205</t>
  </si>
  <si>
    <t>cmm4yund600khcuqwiu7tvxkx</t>
  </si>
  <si>
    <t>KRAV-AUTO-002206</t>
  </si>
  <si>
    <t>KRAV-AUTO-002207</t>
  </si>
  <si>
    <t>http://localhost:8787/api/admin/requirements/documents/cmm4yund300kecuqwfso38qa5/view</t>
  </si>
  <si>
    <t>KRAV-AUTO-002208</t>
  </si>
  <si>
    <t>ADMIN-INDEX-2026-02-27-00000000125C043F57453246863FE664CAFE6A3F0700950291EA24F0614FB6ACEDB12BF0E31D00000000010C0000950291EA24F0614FB6ACEDB12BF0E31D00002087B1A30000</t>
  </si>
  <si>
    <t>cmm4yund300kecuqwfso38qa5</t>
  </si>
  <si>
    <t>MIL20251805pdf_976430.pdf</t>
  </si>
  <si>
    <t>KRAV-AUTO-002209</t>
  </si>
  <si>
    <t>KRAV-AUTO-002210</t>
  </si>
  <si>
    <t>http://localhost:8787/api/admin/requirements/documents/cmm4yund000kbcuqwc45lecot/view</t>
  </si>
  <si>
    <t>KRAV-AUTO-002211</t>
  </si>
  <si>
    <t>cmm4yund000kbcuqwc45lecot</t>
  </si>
  <si>
    <t>KRAV-AUTO-002212</t>
  </si>
  <si>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</si>
  <si>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t>
  </si>
  <si>
    <t>KRAV-AUTO-002213</t>
  </si>
  <si>
    <t>http://localhost:8787/api/admin/requirements/documents/cmm4yuncx00k8cuqwcyntrpp8/view</t>
  </si>
  <si>
    <t>KRAV-AUTO-002214</t>
  </si>
  <si>
    <t>cmm4yuncx00k8cuqwcyntrpp8</t>
  </si>
  <si>
    <t>KRAV-AUTO-002215</t>
  </si>
  <si>
    <t>KRAV-AUTO-002216</t>
  </si>
  <si>
    <t>http://localhost:8787/api/admin/requirements/documents/cmm4yuncv00k5cuqwzqzxqt2i/view</t>
  </si>
  <si>
    <t>KRAV-AUTO-002217</t>
  </si>
  <si>
    <t>cmm4yuncv00k5cuqwzqzxqt2i</t>
  </si>
  <si>
    <t>KRAV-AUTO-002218</t>
  </si>
  <si>
    <t>Uppskattad volym är cirka 1250 ton.</t>
  </si>
  <si>
    <t>KRAV-AUTO-002219</t>
  </si>
  <si>
    <t>http://localhost:8787/api/admin/requirements/documents/cmm4yuncs00k2cuqwk9t5k26b/view</t>
  </si>
  <si>
    <t>KRAV-AUTO-002220</t>
  </si>
  <si>
    <t>cmm4yuncs00k2cuqwk9t5k26b</t>
  </si>
  <si>
    <t>KRAV-AUTO-002221</t>
  </si>
  <si>
    <t>KRAV-AUTO-002222</t>
  </si>
  <si>
    <t>http://localhost:8787/api/admin/requirements/documents/cmm4yuncm00jwcuqwryebpuil/view</t>
  </si>
  <si>
    <t>KRAV-AUTO-002223</t>
  </si>
  <si>
    <t>ADMIN-INDEX-2026-02-27-00000000125C043F57453246863FE664CAFE6A3F0700950291EA24F0614FB6ACEDB12BF0E31D00000000010C0000950291EA24F0614FB6ACEDB12BF0E31D00002087B1B00000</t>
  </si>
  <si>
    <t>cmm4yuncm00jwcuqwryebpuil</t>
  </si>
  <si>
    <t>MIL20251366pdf_976418.pdf</t>
  </si>
  <si>
    <t>KRAV-AUTO-002224</t>
  </si>
  <si>
    <t>KRAV-AUTO-002225</t>
  </si>
  <si>
    <t>http://localhost:8787/api/admin/requirements/documents/cmm4yuncj00jtcuqwbz4bknzi/view</t>
  </si>
  <si>
    <t>KRAV-AUTO-002226</t>
  </si>
  <si>
    <t>cmm4yuncj00jtcuqwbz4bknzi</t>
  </si>
  <si>
    <t>KRAV-AUTO-002227</t>
  </si>
  <si>
    <t>KRAV-AUTO-002228</t>
  </si>
  <si>
    <t>http://localhost:8787/api/admin/requirements/documents/cmm4yuncg00jqcuqwwzwj52y6/view</t>
  </si>
  <si>
    <t>KRAV-AUTO-002229</t>
  </si>
  <si>
    <t>cmm4yuncg00jqcuqwwzwj52y6</t>
  </si>
  <si>
    <t>KRAV-AUTO-002230</t>
  </si>
  <si>
    <t>Uppskattad volym är cirka 900 ton.</t>
  </si>
  <si>
    <t>KRAV-AUTO-002231</t>
  </si>
  <si>
    <t>http://localhost:8787/api/admin/requirements/documents/cmm4yunce00jncuqwbtgdr9dw/view</t>
  </si>
  <si>
    <t>KRAV-AUTO-002232</t>
  </si>
  <si>
    <t>cmm4yunce00jncuqwbtgdr9dw</t>
  </si>
  <si>
    <t>KRAV-AUTO-002233</t>
  </si>
  <si>
    <t>Uppskattad volym är cirka 1050 ton.</t>
  </si>
  <si>
    <t>KRAV-AUTO-002234</t>
  </si>
  <si>
    <t>http://localhost:8787/api/admin/requirements/documents/cmm4yunca00jkcuqwgrx048jk/view</t>
  </si>
  <si>
    <t>KRAV-AUTO-002235</t>
  </si>
  <si>
    <t>cmm4yunca00jkcuqwgrx048jk</t>
  </si>
  <si>
    <t>KRAV-AUTO-002236</t>
  </si>
  <si>
    <t>KRAV-AUTO-002237</t>
  </si>
  <si>
    <t>http://localhost:8787/api/admin/requirements/documents/cmm4yunc600jhcuqwnyewlxum/view</t>
  </si>
  <si>
    <t>KRAV-AUTO-002238</t>
  </si>
  <si>
    <t>ADMIN-INDEX-2026-02-27-00000000125C043F57453246863FE664CAFE6A3F0700950291EA24F0614FB6ACEDB12BF0E31D00000000010C0000950291EA24F0614FB6ACEDB12BF0E31D00002087B1B10000</t>
  </si>
  <si>
    <t>cmm4yunc600jhcuqwnyewlxum</t>
  </si>
  <si>
    <t>MIL20251175pdf_976410.pdf</t>
  </si>
  <si>
    <t>KRAV-AUTO-002239</t>
  </si>
  <si>
    <t>KRAV-AUTO-002240</t>
  </si>
  <si>
    <t>http://localhost:8787/api/admin/requirements/documents/cmm4yunc200jecuqwfd3cj3tk/view</t>
  </si>
  <si>
    <t>KRAV-AUTO-002241</t>
  </si>
  <si>
    <t>cmm4yunc200jecuqwfd3cj3tk</t>
  </si>
  <si>
    <t>KRAV-AUTO-002242</t>
  </si>
  <si>
    <t>KRAV-AUTO-002243</t>
  </si>
  <si>
    <t>http://localhost:8787/api/admin/requirements/documents/cmm4yunbz00jbcuqwnogcx92m/view</t>
  </si>
  <si>
    <t>KRAV-AUTO-002244</t>
  </si>
  <si>
    <t>cmm4yunbz00jbcuqwnogcx92m</t>
  </si>
  <si>
    <t>KRAV-AUTO-002245</t>
  </si>
  <si>
    <t>KRAV-AUTO-002246</t>
  </si>
  <si>
    <t>http://localhost:8787/api/admin/requirements/documents/cmm4yunbw00j8cuqw3of8otrr/view</t>
  </si>
  <si>
    <t>KRAV-AUTO-002247</t>
  </si>
  <si>
    <t>cmm4yunbw00j8cuqw3of8otrr</t>
  </si>
  <si>
    <t>KRAV-AUTO-002248</t>
  </si>
  <si>
    <t>Uppskattad volym är cirka 575 ton.</t>
  </si>
  <si>
    <t>KRAV-AUTO-002249</t>
  </si>
  <si>
    <t>http://localhost:8787/api/admin/requirements/documents/cmm4yunbt00j5cuqweys2bjsv/view</t>
  </si>
  <si>
    <t>KRAV-AUTO-002250</t>
  </si>
  <si>
    <t>cmm4yunbt00j5cuqweys2bjsv</t>
  </si>
  <si>
    <t>KRAV-AUTO-002251</t>
  </si>
  <si>
    <t>KRAV-AUTO-002252</t>
  </si>
  <si>
    <t>http://localhost:8787/api/admin/requirements/documents/cmm4yunbq00j2cuqwgbsnihxf/view</t>
  </si>
  <si>
    <t>KRAV-AUTO-002253</t>
  </si>
  <si>
    <t>ADMIN-INDEX-2026-02-27-00000000125C043F57453246863FE664CAFE6A3F0700950291EA24F0614FB6ACEDB12BF0E31D00000000010C0000950291EA24F0614FB6ACEDB12BF0E31D00002087B1B60000</t>
  </si>
  <si>
    <t>cmm4yunbq00j2cuqwgbsnihxf</t>
  </si>
  <si>
    <t>Tallbacken1.pdf</t>
  </si>
  <si>
    <t>Invallningen ska vara nederbördsskyddad.</t>
  </si>
  <si>
    <t>KRAV-AUTO-002254</t>
  </si>
  <si>
    <t>Behållare med flytande farligt avfall samt övriga kemikalier ska förvaras i ett uppsamlingskärl eller placeras i ett avloppslöst förvaringsutrymme så att ett eventuellt läckage kan förhindras.</t>
  </si>
  <si>
    <t>KRAV-AUTO-002255</t>
  </si>
  <si>
    <t>Använt absorptionsmedel ska hanteras som farligt avfall.</t>
  </si>
  <si>
    <t>http://localhost:8787/api/admin/requirements/documents/cmm4yunbm00izcuqwfodte9un/view</t>
  </si>
  <si>
    <t>KRAV-AUTO-002256</t>
  </si>
  <si>
    <t>cmm4yunbm00izcuqwfodte9un</t>
  </si>
  <si>
    <t>All hantering av avfall ska ske nederbördsskyddat samt på täta, asfalterade ytor som är beständiga mot de avfallsslag som hanteras.</t>
  </si>
  <si>
    <t>KRAV-AUTO-002257</t>
  </si>
  <si>
    <t>Utsläpp av dagvatten från verksamhetsområdet får inte avvika från normal regnvattens kvalitet eller negativt påverka mottagande recipient.</t>
  </si>
  <si>
    <t>KRAV-AUTO-002258</t>
  </si>
  <si>
    <t>http://localhost:8787/api/admin/requirements/documents/cmm4yunbj00iwcuqw4yabxmjg/view</t>
  </si>
  <si>
    <t>KRAV-AUTO-002259</t>
  </si>
  <si>
    <t>ADMIN-INDEX-2026-02-27-00000000125C043F57453246863FE664CAFE6A3F0700950291EA24F0614FB6ACEDB12BF0E31D00000000010C0000950291EA24F0614FB6ACEDB12BF0E31D00002087B1B70000</t>
  </si>
  <si>
    <t>cmm4yunbj00iwcuqw4yabxmjg</t>
  </si>
  <si>
    <t>pdf Diariekort Torsby</t>
  </si>
  <si>
    <t>pdf Diariekort Torsby kommun</t>
  </si>
  <si>
    <t>Ärende 2024-93.pdf</t>
  </si>
  <si>
    <t>I det här fallet tror jag Trafikverket redan provtagit massorna.De delar av massorna som betecknas KM ska läggas på delen närmast vägen och som blir kvar även efter att täkten lagts ner.</t>
  </si>
  <si>
    <t>KRAV-AUTO-002260</t>
  </si>
  <si>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2024-02-28 ÖVR Inkommande Delgivningskvitto MBR-2024-93:5 2024-02-28 ANMBN Upprättad Anmälan av delegationsbeslut till nämnden -- 1 of 1 --</t>
  </si>
  <si>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t>
  </si>
  <si>
    <t>http://localhost:8787/api/admin/requirements/documents/cmm4yunbg00itcuqw517f1gbl/view</t>
  </si>
  <si>
    <t>KRAV-AUTO-002261</t>
  </si>
  <si>
    <t>ADMIN-INDEX-2026-02-27-00000000125C043F57453246863FE664CAFE6A3F0700950291EA24F0614FB6ACEDB12BF0E31D00000000010C0000950291EA24F0614FB6ACEDB12BF0E31D00002087B1B80000</t>
  </si>
  <si>
    <t>cmm4yunbg00itcuqw517f1gbl</t>
  </si>
  <si>
    <t>MF In 2025-12-22 Sv_ Ändringsanmälan Dalby_ Rälsen 3.pdf</t>
  </si>
  <si>
    <t>Bifogar förslag till kontrollprogram för förklassificering av avfall samt förslag på utformning av dagvattensystem som skall godkännas av tillsynsmyndigheten innan vi tar tillståndet i anspråk.</t>
  </si>
  <si>
    <t>KRAV-AUTO-002262</t>
  </si>
  <si>
    <t>I detta försiktighetsmått så tolkar vi det som att det är när vi produktifierar ett avfall som vi skall ha full spårbarhet till kund är det korrekt?</t>
  </si>
  <si>
    <t>KRAV-AUTO-002263</t>
  </si>
  <si>
    <t>För att ta emot oklassade massor krävs det att man har tillstånd för att ta emot farligt avfall.</t>
  </si>
  <si>
    <t>http://localhost:8787/api/admin/requirements/documents/cmm4yunb900incuqw2x0bnzqi/view</t>
  </si>
  <si>
    <t>KRAV-AUTO-002264</t>
  </si>
  <si>
    <t>cmm4yunb900incuqw2x0bnzqi</t>
  </si>
  <si>
    <t>Vallarna bromsar också upp vattenhastigheten vilket gyn- nar sedimenteringen och minskar risken att redan sedimenterat material rörs upp igen vid kraftig nederbörd.</t>
  </si>
  <si>
    <t>KRAV-AUTO-002265</t>
  </si>
  <si>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</si>
  <si>
    <t>http://localhost:8787/api/admin/requirements/documents/cmm4yunb000ihcuqwwu7vr3u0/view</t>
  </si>
  <si>
    <t>KRAV-AUTO-002266</t>
  </si>
  <si>
    <t>cmm4yunb000ihcuqwwu7vr3u0</t>
  </si>
  <si>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VG+45,10 TB 400 D200 TAK ÖVER AVFALLSFICKOR BREDDAS UT 1m ÖVER DAMMBOTTEN D160 PROVTAGNINGSBRUNN TB 600 D160 VG+43,40 TB 600 ÖVERSILNINGSYTA, D250 VG+43,50 TB 600 D250 31 VG+42,63, Pumpvägen VG+42,24 VG+42,42 VG+42,69 VG+43,31 VG+42,54 SKALA 1:400 TECKENFÖRKLARING FASTIGHETSGRÄNS KVARTERSGRÄNS DAGVATTEN TILLSYNSBRUNN M.</t>
  </si>
  <si>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t>
  </si>
  <si>
    <t>http://localhost:8787/api/admin/requirements/documents/cmm4yunas00ibcuqwea29inrk/view</t>
  </si>
  <si>
    <t>KRAV-AUTO-002267</t>
  </si>
  <si>
    <t>cmm4yunas00ibcuqwea29inrk</t>
  </si>
  <si>
    <t>http://localhost:8787/api/admin/requirements/documents/cmm4yunah00i2cuqwftak3kam/view</t>
  </si>
  <si>
    <t>KRAV-AUTO-002268</t>
  </si>
  <si>
    <t>cmm4yunah00i2cuqwftak3kam</t>
  </si>
  <si>
    <t>Hur dagvattensystemet ska utformas, förslag på riktvärden för utgående vatten samt provtagningsplan kommer att skickas till tillsynsmyndigheten senast 2025-10-31 och anläggningen ska vara färdigställd till 2025-12-31.</t>
  </si>
  <si>
    <t>KRAV-AUTO-002269</t>
  </si>
  <si>
    <t>Ett dagvattensystem ska anläggas där man samlar in dagvatten från asfalterade ytor.</t>
  </si>
  <si>
    <t>KRAV-AUTO-002270</t>
  </si>
  <si>
    <t>För att säkerställa att ytvattnet inte påverkas negativt ska dagvattnet som samlas upp renas genom sedimentering i en dagvattendamm.</t>
  </si>
  <si>
    <t>http://localhost:8787/api/admin/requirements/documents/cmm4yunae00hzcuqwnui6ixvv/view</t>
  </si>
  <si>
    <t>KRAV-AUTO-002271</t>
  </si>
  <si>
    <t>ADMIN-INDEX-2026-02-27-00000000125C043F57453246863FE664CAFE6A3F0700950291EA24F0614FB6ACEDB12BF0E31D00000000010C0000950291EA24F0614FB6ACEDB12BF0E31D00002087B1B90000</t>
  </si>
  <si>
    <t>cmm4yunae00hzcuqwnui6ixvv</t>
  </si>
  <si>
    <t>pdf Postadress Härnösands</t>
  </si>
  <si>
    <t>pdf Postadress Härnösands kommun</t>
  </si>
  <si>
    <t>SAM-2025-1751.3227..pdf</t>
  </si>
  <si>
    <t>Däremot kan asfalten klassas som avfall om det mellanlagras och sorteras av NCC Industry AB för att senare bearbetas och återvinns eller om asfalten återanvänds inom helt andra projekt långt bort i framtiden.</t>
  </si>
  <si>
    <t>KRAV-AUTO-002272</t>
  </si>
  <si>
    <t>Samhällsförvaltningen tolkar anmälan som att asfalt som inte klassas som avfall alltså inte heller bör omfattas av verksamhetens verksamhetskod och inte heller restriktioner på årlig mängd hantering av massor.</t>
  </si>
  <si>
    <t>KRAV-AUTO-002273</t>
  </si>
  <si>
    <t>Samhällsförvaltningen håller med om att viss asfalt som hanteras av verksamheten inte bör klassas som avfall.</t>
  </si>
  <si>
    <t>http://localhost:8787/api/admin/requirements/documents/cmm4yunab00hwcuqwz94gvtyf/view</t>
  </si>
  <si>
    <t>KRAV-AUTO-002274</t>
  </si>
  <si>
    <t>cmm4yunab00hwcuqwz94gvtyf</t>
  </si>
  <si>
    <t>Användande av avfallsmassorna bedöms vara i linje med miljöbalkens hänsynsregel 2 kap 5 § som inledningsvis anger att alla som bedriver en verksamhet eller vidtar en åtgärd ska hushålla med råvaror och energi samt utnyttja möjligheterna att minska mängden avfall.</t>
  </si>
  <si>
    <t>KRAV-AUTO-002275</t>
  </si>
  <si>
    <t>att det organisatoriska ansvaret ska vara fastställt och dokumenterat samt att rutiner ska finnas att till exempel utrustning hålls i gott skick.</t>
  </si>
  <si>
    <t>KRAV-AUTO-002276</t>
  </si>
  <si>
    <t>Massorna ska vara kvalitetssäkrade så att föroreningsrisken är ringa vilket innebär att enbart massor som har en föroreningshalt understigande riktlinjerna för MKM (Mindre Känslig Markanvändning) får användas.</t>
  </si>
  <si>
    <t>http://localhost:8787/api/admin/requirements/documents/cmm4yuna800htcuqw71t1am01/view</t>
  </si>
  <si>
    <t>KRAV-AUTO-002277</t>
  </si>
  <si>
    <t>ADMIN-INDEX-2026-02-27-00000000125C043F57453246863FE664CAFE6A3F0700950291EA24F0614FB6ACEDB12BF0E31D00000000010C0000950291EA24F0614FB6ACEDB12BF0E31D00002087B1C20000</t>
  </si>
  <si>
    <t>cmm4yuna800htcuqw71t1am01</t>
  </si>
  <si>
    <t>260201-Massor.pdf</t>
  </si>
  <si>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2025-12-23 2025-12-08 Analyserna påbörjades: Provmärkning: 177-2025-09150453 Provtagningsplats: E6 Getinge Analys Resultat Enhet Metod/ref Mäto.</t>
  </si>
  <si>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t>
  </si>
  <si>
    <t>KRAV-AUTO-002278</t>
  </si>
  <si>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2025-12-23 2025-12-08 Analyserna påbörjades: Provmärkning: 177-2025-09150183 Provtagningsplats: E6 Getinge Analys Resultat Enhet Metod/ref Mäto.</t>
  </si>
  <si>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t>
  </si>
  <si>
    <t>KRAV-AUTO-002279</t>
  </si>
  <si>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2025-12-18 2025-12-08 Analyserna påbörjades: Provmärkning: 177-2025-09150187 Provtagningsplats: E6 Getinge Analys Resultat Enhet Metod/ref Mäto.</t>
  </si>
  <si>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t>
  </si>
  <si>
    <t>http://localhost:8787/api/admin/requirements/documents/cmm4yuna500hqcuqwiwz0p0n0/view</t>
  </si>
  <si>
    <t>KRAV-AUTO-002280</t>
  </si>
  <si>
    <t>cmm4yuna500hqcuqwiwz0p0n0</t>
  </si>
  <si>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Sally Johansson Falkenbergs Miljö- och hälsoskyddsnämnd 2026-02-01 Dnr M-2026-318/1 -- 1 of 14 -- Miljöteknisk markundersökning E6, Getinge Sid 2(14) Innehållsförteckning 1 Bakgrund och syfte .......................................................................................................................</t>
  </si>
  <si>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t>
  </si>
  <si>
    <t>KRAV-AUTO-002281</t>
  </si>
  <si>
    <t>Kärnborrprov av betong från delområde 1 Figur 6.</t>
  </si>
  <si>
    <t>KRAV-AUTO-002282</t>
  </si>
  <si>
    <t>Borrkärnor där asfalt påträffats mellan betong och CG.</t>
  </si>
  <si>
    <t>http://localhost:8787/api/admin/requirements/documents/cmm4yuna200hncuqw9alj1tby/view</t>
  </si>
  <si>
    <t>KRAV-AUTO-002283</t>
  </si>
  <si>
    <t>cmm4yuna200hncuqw9alj1tby</t>
  </si>
  <si>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Analyserna påbörjades: Provmärkning: B14 Provtagningsplats: E6 Getinge Analys Resultat Enhet Metod/ref Mäto.</t>
  </si>
  <si>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t>
  </si>
  <si>
    <t>KRAV-AUTO-002284</t>
  </si>
  <si>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Analyserna påbörjades: Provmärkning: B16 Provtagningsplats: E6 Getinge Analys Resultat Enhet Metod/ref Mäto.</t>
  </si>
  <si>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t>
  </si>
  <si>
    <t>KRAV-AUTO-002285</t>
  </si>
  <si>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Analyserna påbörjades: Provmärkning: B17 Provtagningsplats: E6 Getinge Analys Resultat Enhet Metod/ref Mäto.</t>
  </si>
  <si>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t>
  </si>
  <si>
    <t>http://localhost:8787/api/admin/requirements/documents/cmm4yun9l00h8cuqwm8j5v56n/view</t>
  </si>
  <si>
    <t>KRAV-AUTO-002286</t>
  </si>
  <si>
    <t>cmm4yun9l00h8cuqwm8j5v56n</t>
  </si>
  <si>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</si>
  <si>
    <t>KRAV-AUTO-002287</t>
  </si>
  <si>
    <t>Avfallets innehåll Betong: 17 01 01 Volym (m3) 19000 Vikt (ton) 30000 Beskrivning av återvinningen Beskriv syftet av återvinningen Skapa hårdgjord yta på fastigheten som ej blev färdigställd i tidigare skede.</t>
  </si>
  <si>
    <t>KRAV-AUTO-002288</t>
  </si>
  <si>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</si>
  <si>
    <t>http://localhost:8787/api/admin/requirements/documents/cmm4yun8t00gkcuqw5rjsk96c/view</t>
  </si>
  <si>
    <t>KRAV-AUTO-002289</t>
  </si>
  <si>
    <t>ADMIN-INDEX-2026-02-27-00000000125C043F57453246863FE664CAFE6A3F0700950291EA24F0614FB6ACEDB12BF0E31D00000000010C0000950291EA24F0614FB6ACEDB12BF0E31D00002087B1C90000</t>
  </si>
  <si>
    <t>cmm4yun8t00gkcuqw5rjsk96c</t>
  </si>
  <si>
    <t>se Postadress Falkenbergs</t>
  </si>
  <si>
    <t>se Postadress Falkenbergs kommun</t>
  </si>
  <si>
    <t>M-2025-1682_2025-05-16_Beslut (MHF MHN)_Skogstorp 4 148.pdf</t>
  </si>
  <si>
    <t>Enligt 27a § förordning om miljöfarlig verksamhet och hälsoskydd ska ett anmälningsärende gällande behandling av avfall innehålla ett föreläggande om bland annat vilka typer, mänger och metoder för behandling av avfallet som får förekomma.</t>
  </si>
  <si>
    <t>KRAV-AUTO-002290</t>
  </si>
  <si>
    <t>Massorna ska genomgå kontroll innan de används, och det innehåll som inte är klassat som fyllnadsmaterial, eller annat oönskat eller ej miljömässigt godtagbart avfallsinnehåll såsom plast och asfalt, ska sorteras ut och får inte användas i anläggningen.</t>
  </si>
  <si>
    <t>KRAV-AUTO-002291</t>
  </si>
  <si>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</si>
  <si>
    <t>http://localhost:8787/api/admin/requirements/documents/cmm4yun8q00ghcuqwd26bvcai/view</t>
  </si>
  <si>
    <t>KRAV-AUTO-002292</t>
  </si>
  <si>
    <t>cmm4yun8q00ghcuqwd26bvcai</t>
  </si>
  <si>
    <t>Bilagor: Bullervall mått.pdf, Skanska provtagning 2025.pdf, Anmälan om återvining av icke- farlig avfall för anläggningsändamål 09.05.2025.pdf Hej Hilde.</t>
  </si>
  <si>
    <t>http://localhost:8787/api/admin/requirements/documents/cmm4yun8700g2cuqw2kttlikj/view</t>
  </si>
  <si>
    <t>KRAV-AUTO-002293</t>
  </si>
  <si>
    <t>cmm4yun8700g2cuqw2kttlikj</t>
  </si>
  <si>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</si>
  <si>
    <t>KRAV-AUTO-002294</t>
  </si>
  <si>
    <t>Genom att använda bergkross minskar man även risken för att förorena ett område som idag bedöms vara utan föroreningar.</t>
  </si>
  <si>
    <t>KRAV-AUTO-002295</t>
  </si>
  <si>
    <t>Bergkross uppvisar generellt högre och mer jämn teknisk kvalitet, bättre dränerings- och bärighetsegenskaper samt en lägre miljörisk över tid.</t>
  </si>
  <si>
    <t>http://localhost:8787/api/admin/requirements/documents/cmm4yun7a00fecuqwkvyp4adf/view</t>
  </si>
  <si>
    <t>KRAV-AUTO-002296</t>
  </si>
  <si>
    <t>cmm4yun7a00fecuqwkvyp4adf</t>
  </si>
  <si>
    <t>KRAV-AUTO-002297</t>
  </si>
  <si>
    <t>11 § Den som hanterar avfall ska se till att hanteringen inte skadar eller orsakar risk för skada på människors hälsa eller miljön.</t>
  </si>
  <si>
    <t>KRAV-AUTO-002298</t>
  </si>
  <si>
    <t>Verksamheten uppger att avfallsmassorna som ska återvinnas är betong- och tegelkross som kommer från rivning av de hus som har funnits på fastigheterna Ullared 1:92 och Ullared 8:12.</t>
  </si>
  <si>
    <t>http://localhost:8787/api/admin/requirements/documents/cmm4yun6j00etcuqwhdlqrqoa/view</t>
  </si>
  <si>
    <t>KRAV-AUTO-002299</t>
  </si>
  <si>
    <t>ADMIN-INDEX-2026-02-27-00000000125C043F57453246863FE664CAFE6A3F0700950291EA24F0614FB6ACEDB12BF0E31D00000000010C0000950291EA24F0614FB6ACEDB12BF0E31D00002087B1CA0000</t>
  </si>
  <si>
    <t>cmm4yun6j00etcuqwhdlqrqoa</t>
  </si>
  <si>
    <t>M-2024-2848_2025-01-02_Beslut (MHF MHN)_Magasinet 1.pdf</t>
  </si>
  <si>
    <t>Betongen ska användas till anläggningen på fastigheten Motorn 18 och får inte överskrida 700 ton.</t>
  </si>
  <si>
    <t>KRAV-AUTO-002300</t>
  </si>
  <si>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Falkenbergs Terminal AB:s anmälan om återvinning av icke-farligt avfall för anläggningsändamål.</t>
  </si>
  <si>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t>
  </si>
  <si>
    <t>KRAV-AUTO-002301</t>
  </si>
  <si>
    <t>http://localhost:8787/api/admin/requirements/documents/cmm4yun6g00eqcuqw6zi2adha/view</t>
  </si>
  <si>
    <t>KRAV-AUTO-002302</t>
  </si>
  <si>
    <t>cmm4yun6g00eqcuqw6zi2adha</t>
  </si>
  <si>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</si>
  <si>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t>
  </si>
  <si>
    <t>KRAV-AUTO-002303</t>
  </si>
  <si>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komplettering på följande parametrar: Gällande betong, totalhalter för metaller (minst arsenik, bly, kadmium, koppar, krom tot., sexvärt krom, kvicksilver, nickel och zink).</t>
  </si>
  <si>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t>
  </si>
  <si>
    <t>KRAV-AUTO-002304</t>
  </si>
  <si>
    <t>Analys av avfallet ska utföras av sakkunnig på laboratorium.</t>
  </si>
  <si>
    <t>http://localhost:8787/api/admin/requirements/documents/cmm4yun5p00dzcuqwg1zuhcr1/view</t>
  </si>
  <si>
    <t>KRAV-AUTO-002305</t>
  </si>
  <si>
    <t>cmm4yun5p00dzcuqwg1zuhcr1</t>
  </si>
  <si>
    <t>KRAV-AUTO-002306</t>
  </si>
  <si>
    <t>Vi bedömer det som rimligt att förbjuda er att påbörja den anmälda åtgärden fram tills vi tagit del av resultat från provtagning av avfallet och att vi har haft möjlighet att göra en bedömning av detta.</t>
  </si>
  <si>
    <t>KRAV-AUTO-002307</t>
  </si>
  <si>
    <t>Avfallets lakegenskaper visar på höga halter av sulfat och klorid vilket kan påverkar kringliggande markmiljö negativt, specifikt skadligt är det för vattenlevande organismer.</t>
  </si>
  <si>
    <t>http://localhost:8787/api/admin/requirements/documents/cmm4yun5l00dwcuqwbtxe8zxq/view</t>
  </si>
  <si>
    <t>KRAV-AUTO-002308</t>
  </si>
  <si>
    <t>cmm4yun5l00dwcuqwbtxe8zxq</t>
  </si>
  <si>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</si>
  <si>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t>
  </si>
  <si>
    <t>KRAV-AUTO-002309</t>
  </si>
  <si>
    <t>KRAV-AUTO-002310</t>
  </si>
  <si>
    <t>Vi har bedömt att anmälan behöver kompletteras med beräkningar för de mängder avfall som ska användas till den planerade skogsvägen och analysresultat från provtagning av avfallet.</t>
  </si>
  <si>
    <t>http://localhost:8787/api/admin/requirements/documents/cmm4yun5j00dtcuqwjns2ijlr/view</t>
  </si>
  <si>
    <t>KRAV-AUTO-002311</t>
  </si>
  <si>
    <t>cmm4yun5j00dtcuqwjns2ijlr</t>
  </si>
  <si>
    <t>För att bedöma avfallets lämplighet och eventuella risker med återvinningen av avfallet krävs kunskap om både halt och utlakning.</t>
  </si>
  <si>
    <t>KRAV-AUTO-002312</t>
  </si>
  <si>
    <t>KRAV-AUTO-002313</t>
  </si>
  <si>
    <t>http://localhost:8787/api/admin/requirements/documents/cmm4yun4m00cwcuqwobgswces/view</t>
  </si>
  <si>
    <t>KRAV-AUTO-002314</t>
  </si>
  <si>
    <t>ADMIN-INDEX-2026-02-27-00000000125C043F57453246863FE664CAFE6A3F0700950291EA24F0614FB6ACEDB12BF0E31D00000000010C0000950291EA24F0614FB6ACEDB12BF0E31D00002087B1CB0000</t>
  </si>
  <si>
    <t>cmm4yun4m00cwcuqwobgswces</t>
  </si>
  <si>
    <t>pdf Falkenbergs</t>
  </si>
  <si>
    <t>pdf Falkenbergs kommun</t>
  </si>
  <si>
    <t>Slutrapport.pdf</t>
  </si>
  <si>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</si>
  <si>
    <t>http://localhost:8787/api/admin/requirements/documents/cmm4yun4j00ctcuqwruf15eko/view</t>
  </si>
  <si>
    <t>KRAV-AUTO-002315</t>
  </si>
  <si>
    <t>cmm4yun4j00ctcuqwruf15eko</t>
  </si>
  <si>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</si>
  <si>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</si>
  <si>
    <t>KRAV-AUTO-002316</t>
  </si>
  <si>
    <t>KRAV-AUTO-002317</t>
  </si>
  <si>
    <t>Verksamheten ska hantera avfallsmassorna så att risken för damning minimeras och så att olägenhet förebyggs i så stor utsträckning som möjligt.</t>
  </si>
  <si>
    <t>http://localhost:8787/api/admin/requirements/documents/cmm4yun4900chcuqw0j0z4pc8/view</t>
  </si>
  <si>
    <t>KRAV-AUTO-002318</t>
  </si>
  <si>
    <t>cmm4yun4900chcuqw0j0z4pc8</t>
  </si>
  <si>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Kommentar Provet har malts före analys.</t>
  </si>
  <si>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</si>
  <si>
    <t>KRAV-AUTO-002319</t>
  </si>
  <si>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Angiven mätosäkerhet är beräknad med täckningsfaktor k = 2.</t>
  </si>
  <si>
    <t>http://localhost:8787/api/admin/requirements/documents/cmm4yun4600cecuqwsjl7bv27/view</t>
  </si>
  <si>
    <t>KRAV-AUTO-002320</t>
  </si>
  <si>
    <t>cmm4yun4600cecuqwsjl7bv27</t>
  </si>
  <si>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 2200 Ansättningsdatum : 2024-03-27 Laboratorieaktivitet startad : 2024-03-27 Angiven mätosäkerhet är beräknad med täckningsfaktor k = 2.</t>
  </si>
  <si>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t>
  </si>
  <si>
    <t>http://localhost:8787/api/admin/requirements/documents/cmm4yun4300cbcuqwx4ui99cs/view</t>
  </si>
  <si>
    <t>KRAV-AUTO-002321</t>
  </si>
  <si>
    <t>cmm4yun4300cbcuqwx4ui99cs</t>
  </si>
  <si>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 2200 Ansättningsdatum : 2024-03-27 Laboratorieaktivitet startad : 2024-03-27 Angiven mätosäkerhet är beräknad med täckningsfaktor k = 2.</t>
  </si>
  <si>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t>
  </si>
  <si>
    <t>http://localhost:8787/api/admin/requirements/documents/cmm4yun3x00c5cuqw9bb1jqwy/view</t>
  </si>
  <si>
    <t>KRAV-AUTO-002322</t>
  </si>
  <si>
    <t>cmm4yun3x00c5cuqw9bb1jqwy</t>
  </si>
  <si>
    <t>Varbergsvägen.pdf, Bilaga 3 - Analysprotokoll, jord.pdf, Bilaga 4 - Sammanställning analysresultat, j....pdf, Skanska.pdf Hej Bifogat Anmälan om återvinning av icke-farlig avfall för anläggningsändamål.</t>
  </si>
  <si>
    <t>http://localhost:8787/api/admin/requirements/documents/cmm4yun3u00c2cuqwu9zupaj6/view</t>
  </si>
  <si>
    <t>KRAV-AUTO-002323</t>
  </si>
  <si>
    <t>cmm4yun3u00c2cuqwu9zupaj6</t>
  </si>
  <si>
    <t>Enligt 27a § förordning om miljöfarlig verksamhet och hälsoskydd ska ett anmälningsärende gällande behandling av avfall innehålla ett föreläggande om vilka typer, mänger och metoder för behandling av avfallet som får förekomma.</t>
  </si>
  <si>
    <t>KRAV-AUTO-002324</t>
  </si>
  <si>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Elektrikern 2.</t>
  </si>
  <si>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t>
  </si>
  <si>
    <t>KRAV-AUTO-002325</t>
  </si>
  <si>
    <t>http://localhost:8787/api/admin/requirements/documents/cmm4yun3p00bwcuqwfdwfommj/view</t>
  </si>
  <si>
    <t>KRAV-AUTO-002326</t>
  </si>
  <si>
    <t>cmm4yun3p00bwcuqwfdwfommj</t>
  </si>
  <si>
    <t>Räddningstaktiska förutsättningar • Släckvatten: Det finns brandpost på insidan av staketet mot Åkarevägen.</t>
  </si>
  <si>
    <t>http://localhost:8787/api/admin/requirements/documents/cmm4yun3m00btcuqwilhaveqs/view</t>
  </si>
  <si>
    <t>KRAV-AUTO-002327</t>
  </si>
  <si>
    <t>cmm4yun3m00btcuqwilhaveqs</t>
  </si>
  <si>
    <t>Skall lagring ske närmare så måste brandskydd av någon form byggas upp mot angränsande fastighet.</t>
  </si>
  <si>
    <t>KRAV-AUTO-002328</t>
  </si>
  <si>
    <t>• Det skall finnas en i ordninggjord yta där material kan lämpas vid en eventuell brand som motsvarar arean på anläggningens största stack.</t>
  </si>
  <si>
    <t>KRAV-AUTO-002329</t>
  </si>
  <si>
    <t>Där skall till exempel framgå körvägar inne på området, lämplig slangdragning för att inte hindra lastmaskiner att komma åt brinnande hög, om det finns vattentag/brandpost på området eller i dess närhet med mera.</t>
  </si>
  <si>
    <t>http://localhost:8787/api/admin/requirements/documents/cmm4yun3d00bkcuqwkkr9qv3d/view</t>
  </si>
  <si>
    <t>KRAV-AUTO-002330</t>
  </si>
  <si>
    <t>cmm4yun3d00bkcuqwkkr9qv3d</t>
  </si>
  <si>
    <t>Vilka skyddsåtgärder planeras för att minska risken för buller i närområdet?</t>
  </si>
  <si>
    <t>KRAV-AUTO-002331</t>
  </si>
  <si>
    <t>Hur tänker ni kring lagring av krossat/flisat material- sker någon skyddsåtgärd för att minska risken för damning i närområdet/mot närliggande bostäder?</t>
  </si>
  <si>
    <t>http://localhost:8787/api/admin/requirements/documents/cmm4yun3a00bhcuqwc78sqzaq/view</t>
  </si>
  <si>
    <t>KRAV-AUTO-002332</t>
  </si>
  <si>
    <t>cmm4yun3a00bhcuqwc78sqzaq</t>
  </si>
  <si>
    <t>Trämaterial som inte kan återanvändas ska hanteras enligt miljökrav och avfallslagstiftning.</t>
  </si>
  <si>
    <t>KRAV-AUTO-002333</t>
  </si>
  <si>
    <t>• Dokumentation av krossningens kapacitet och produktivitet: Registrering av mängden bearbetat trä för att övervaka och optimera produktionskapaciteten.</t>
  </si>
  <si>
    <t>http://localhost:8787/api/admin/requirements/documents/cmm4yun3500bbcuqwhp7aoi3c/view</t>
  </si>
  <si>
    <t>KRAV-AUTO-002334</t>
  </si>
  <si>
    <t>cmm4yun3500bbcuqwhp7aoi3c</t>
  </si>
  <si>
    <t>Avfallstyper inklusive farligt avfall Avfallstyp Avfallskoder* Mängd per år Maximal mängd samtidigt Beskriv hur respektive avfallstyp lagras (inne/ute, på vilket underlag, skydd för nederbörd, invallat etc) * Enligt avfallsförordningen (2020:614) 4b.</t>
  </si>
  <si>
    <t>KRAV-AUTO-002335</t>
  </si>
  <si>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kemikalier, avfall, cisterner, golvbrunnar, dagvatten och processut- rustning markeras Reningsmetod för utgående vatten Säkerhetsdatablad för kemiska produkter Annan/Övrigt Information Avgifter Verksamheten får betala en avgift för handläggning av anmälan utifrån en taxa som beslutas av kommunfullmäktige.</t>
  </si>
  <si>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t>
  </si>
  <si>
    <t>KRAV-AUTO-002336</t>
  </si>
  <si>
    <t>Observera att detta avsnitt bara ska fyllas i om verksamheten omfattas av 29 kap miljöprövningsförordningen Beskriv de metoder ni använder vid behandling av avfall.</t>
  </si>
  <si>
    <t>http://localhost:8787/api/admin/requirements/documents/cmm4yun3200b8cuqwyj8bqt6u/view</t>
  </si>
  <si>
    <t>KRAV-AUTO-002337</t>
  </si>
  <si>
    <t>cmm4yun3200b8cuqwyj8bqt6u</t>
  </si>
  <si>
    <t>Genom denna process säkerställer Erico att pallar och träemballage återanvänds och återvinns på ett hållbart sätt, vilket minskar avfallsmängder och koldioxidutsläpp i leveranskedjan.</t>
  </si>
  <si>
    <t>KRAV-AUTO-002338</t>
  </si>
  <si>
    <t>Genom att återanvända pallar minskar behovet av att producera nya, vilket sparar resurser och minskar avfall.</t>
  </si>
  <si>
    <t>http://localhost:8787/api/admin/requirements/documents/cmm4yun2p00awcuqwzeoe9qe9/view</t>
  </si>
  <si>
    <t>KRAV-AUTO-002339</t>
  </si>
  <si>
    <t>ADMIN-INDEX-2026-02-27-00000000125C043F57453246863FE664CAFE6A3F0700950291EA24F0614FB6ACEDB12BF0E31D00000000010C0000950291EA24F0614FB6ACEDB12BF0E31D00002087B1CC0000</t>
  </si>
  <si>
    <t>cmm4yun2p00awcuqwzeoe9qe9</t>
  </si>
  <si>
    <t>Beslut Älvenäs.pdf</t>
  </si>
  <si>
    <t>Lars förklarade att de under arbetets gång fått större kännedom om hur mycket berg som behöver tas bort och att det från början var svårt att uppskatta bland annat mängden berg och mängden jord ovanpå berg.</t>
  </si>
  <si>
    <t>KRAV-AUTO-002340</t>
  </si>
  <si>
    <t>Det är svårt att veta hur mycket ytterligare berg som behöver tas bort, men maximalt 200 000 ton.</t>
  </si>
  <si>
    <t>KRAV-AUTO-002341</t>
  </si>
  <si>
    <t>Egenkontrollen ska innehåll bland annat följande:  En fördelning av det organisatoriska ansvaret för miljöfrågor.</t>
  </si>
  <si>
    <t>http://localhost:8787/api/admin/requirements/documents/cmm4yun2m00atcuqwuhkm1gwg/view</t>
  </si>
  <si>
    <t>KRAV-AUTO-002342</t>
  </si>
  <si>
    <t>ADMIN-INDEX-2026-02-27-00000000125C043F57453246863FE664CAFE6A3F0700950291EA24F0614FB6ACEDB12BF0E31D00000000010C0000950291EA24F0614FB6ACEDB12BF0E31D00002087B1CD0000</t>
  </si>
  <si>
    <t>cmm4yun2m00atcuqwuhkm1gwg</t>
  </si>
  <si>
    <t>com Postadress Falkenbergs</t>
  </si>
  <si>
    <t>com Postadress Falkenbergs kommun</t>
  </si>
  <si>
    <t>M-2024-2114_2024-09-27_Beslut (MHF MHN)_Vinberg 2 82.pdf</t>
  </si>
  <si>
    <t>Vi har fått återkoppling om att ni prioriterar att minska mängden avfallsslam på er industrimark, att ni har börjat att transportera bort en del av materialet samt att ni fokuserar på att hitta nya användningsområden och intressenter för det aktuella materialet.</t>
  </si>
  <si>
    <t>KRAV-AUTO-002343</t>
  </si>
  <si>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 Besöksadress Stadshuset, Kuben Rådhustorget 3C Telefon 0346-88 60 00 E-post miljo.halsa@falkenberg.se Hemsida kommun.falkenberg.se Krav på redovisning av handlingsplan för bortskaffande av avfall Vinberg 2:82 Beslut Miljö- och hälsoskyddsförvaltningen beslutar att Heidelberg Materials Precast Abetong AB med org.nr.</t>
  </si>
  <si>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t>
  </si>
  <si>
    <t>KRAV-AUTO-002344</t>
  </si>
  <si>
    <t>En upplagsplats för avfall som lagras i mer än tre år innan det återvinns eller i mer än ett år innan det bortskaffas är att betrakta som en deponi enligt 15 kap 5 a § i miljöbalken.</t>
  </si>
  <si>
    <t>http://localhost:8787/api/admin/requirements/documents/cmm4yun2k00aqcuqwxbalrbv9/view</t>
  </si>
  <si>
    <t>KRAV-AUTO-002345</t>
  </si>
  <si>
    <t>cmm4yun2k00aqcuqwxbalrbv9</t>
  </si>
  <si>
    <t>Massorna ska genomgå kontroll innan de används, och det innehåll som inte är klassat som fyllnadsmaterial, eller annat oönskat eller ej miljömässigt godtagbart avfallsinnehåll, ska sorteras ut och får inte användas i anläggningen.</t>
  </si>
  <si>
    <t>KRAV-AUTO-002346</t>
  </si>
  <si>
    <t>KRAV-AUTO-002347</t>
  </si>
  <si>
    <t>http://localhost:8787/api/admin/requirements/documents/cmm4yun2000a5cuqwks4tk3ki/view</t>
  </si>
  <si>
    <t>KRAV-AUTO-002348</t>
  </si>
  <si>
    <t>cmm4yun2000a5cuqwks4tk3ki</t>
  </si>
  <si>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Provtagningsfakta har lämnats av kund.</t>
  </si>
  <si>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</si>
  <si>
    <t>KRAV-AUTO-002349</t>
  </si>
  <si>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Laboratorieaktivitet startad : 2024-12-06 Provtagningsfakta har lämnats av kund.</t>
  </si>
  <si>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
  </si>
  <si>
    <t>KRAV-AUTO-002350</t>
  </si>
  <si>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Angiven mätosäkerhet är beräknad med täckningsfaktor k = 2.</t>
  </si>
  <si>
    <t>http://localhost:8787/api/admin/requirements/documents/cmm4yun1x00a2cuqw7fz8h0sj/view</t>
  </si>
  <si>
    <t>KRAV-AUTO-002351</t>
  </si>
  <si>
    <t>cmm4yun1x00a2cuqw7fz8h0sj</t>
  </si>
  <si>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Adress Falkenbergsvägen 59 Postnummer 311 50 Ort Falkenberg E-post mwintvik@gmail.com Mobil 46708439330 Telefon 0708439330 Fakturamottagare Samma person som ovan Vem utför arbetet?</t>
  </si>
  <si>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t>
  </si>
  <si>
    <t>http://localhost:8787/api/admin/requirements/documents/cmm4yun1u009zcuqwwzydnusm/view</t>
  </si>
  <si>
    <t>KRAV-AUTO-002352</t>
  </si>
  <si>
    <t>cmm4yun1u009zcuqwwzydnusm</t>
  </si>
  <si>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Heidelberg Materials Precast Abetong AB:s anmälan om återvinning av icke-farligt avfall för anläggningsändamål.</t>
  </si>
  <si>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t>
  </si>
  <si>
    <t>KRAV-AUTO-002353</t>
  </si>
  <si>
    <t>Verksamheten kompletterade med planerade åtgärder för att minska påverkan av dagvatten till området vid anläggandet av område D-E, samt en tidsplan för det hela anmälda projektet med start 19 april 2024 och senast klara vecka 26 samma år.</t>
  </si>
  <si>
    <t>KRAV-AUTO-002354</t>
  </si>
  <si>
    <t>Följande områden får inte överskrida de mängder som uppgetts i anmälan: Område Beräkning Mängd avfall m3 B L= 11m, B= 10m, D= 1m.</t>
  </si>
  <si>
    <t>http://localhost:8787/api/admin/requirements/documents/cmm4yun1p009tcuqwhuirfd9u/view</t>
  </si>
  <si>
    <t>KRAV-AUTO-002355</t>
  </si>
  <si>
    <t>cmm4yun1p009tcuqwhuirfd9u</t>
  </si>
  <si>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backa in i parkeringsrutan jag med.</t>
  </si>
  <si>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</si>
  <si>
    <t>http://localhost:8787/api/admin/requirements/documents/cmm4yun1i009ncuqwivhz0hgk/view</t>
  </si>
  <si>
    <t>KRAV-AUTO-002356</t>
  </si>
  <si>
    <t>cmm4yun1i009ncuqwivhz0hgk</t>
  </si>
  <si>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Falkenbergs Konvertering AB Vindakersvägen Rörväg</t>
  </si>
  <si>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t>
  </si>
  <si>
    <t>http://localhost:8787/api/admin/requirements/documents/cmm4yun1c009hcuqww44wzixf/view</t>
  </si>
  <si>
    <t>KRAV-AUTO-002357</t>
  </si>
  <si>
    <t>cmm4yun1c009hcuqww44wzixf</t>
  </si>
  <si>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2023-07-17 Angiven mätosäkerhet är beräknad med täckningsfaktor k = 2.</t>
  </si>
  <si>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t>
  </si>
  <si>
    <t>KRAV-AUTO-002358</t>
  </si>
  <si>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2023-07-18 Angiven mätosäkerhet är beräknad med täckningsfaktor k = 2.</t>
  </si>
  <si>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t>
  </si>
  <si>
    <t>KRAV-AUTO-002359</t>
  </si>
  <si>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Angiven mätosäkerhet är beräknad med täckningsfaktor k = 2.</t>
  </si>
  <si>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t>
  </si>
  <si>
    <t>http://localhost:8787/api/admin/requirements/documents/cmm4yun100095cuqwa7q19sxt/view</t>
  </si>
  <si>
    <t>KRAV-AUTO-002360</t>
  </si>
  <si>
    <t>ADMIN-INDEX-2026-02-27-00000000125C043F57453246863FE664CAFE6A3F0700950291EA24F0614FB6ACEDB12BF0E31D00000000010C0000950291EA24F0614FB6ACEDB12BF0E31D00002087B1D00000</t>
  </si>
  <si>
    <t>cmm4yun100095cuqwa7q19sxt</t>
  </si>
  <si>
    <t>Malmbäck Postadress Falkenbergs</t>
  </si>
  <si>
    <t>Malmbäck Postadress Falkenbergs kommun</t>
  </si>
  <si>
    <t>M-2025-671_2025-02-14_Beslut (MHF MHN)_Tröinge 6 70.pdf</t>
  </si>
  <si>
    <t>Mängden icke- farligt avfall som lagras vid något tillfälle får inte överstiga 200 ton.</t>
  </si>
  <si>
    <t>KRAV-AUTO-002361</t>
  </si>
  <si>
    <t>KRAV-AUTO-002362</t>
  </si>
  <si>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</si>
  <si>
    <t>http://localhost:8787/api/admin/requirements/documents/cmm4yun0j008ncuqwdpufk2zv/view</t>
  </si>
  <si>
    <t>KRAV-AUTO-002363</t>
  </si>
  <si>
    <t>cmm4yun0j008ncuqwdpufk2zv</t>
  </si>
  <si>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</si>
  <si>
    <t>KRAV-AUTO-002364</t>
  </si>
  <si>
    <t>KRAV-AUTO-002365</t>
  </si>
  <si>
    <t>Materialtyp, avfallskod och avfallsmängder ska framgå tydligt och i enlighet med avfallsförordningen (2020:614).</t>
  </si>
  <si>
    <t>http://localhost:8787/api/admin/requirements/documents/cmm4yun0g008kcuqwlvlb7oed/view</t>
  </si>
  <si>
    <t>KRAV-AUTO-002366</t>
  </si>
  <si>
    <t>cmm4yun0g008kcuqwlvlb7oed</t>
  </si>
  <si>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 och tack för snabb återkoppling!</t>
  </si>
  <si>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t>
  </si>
  <si>
    <t>KRAV-AUTO-002367</t>
  </si>
  <si>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</si>
  <si>
    <t>http://localhost:8787/api/admin/requirements/documents/cmm4yun0d008hcuqw8bb1y0kl/view</t>
  </si>
  <si>
    <t>KRAV-AUTO-002368</t>
  </si>
  <si>
    <t>cmm4yun0d008hcuqw8bb1y0kl</t>
  </si>
  <si>
    <t>http://localhost:8787/api/admin/requirements/documents/cmm4yun010085cuqw3orlahl4/view</t>
  </si>
  <si>
    <t>KRAV-AUTO-002369</t>
  </si>
  <si>
    <t>cmm4yun010085cuqw3orlahl4</t>
  </si>
  <si>
    <t>Den uppskattade årsvolymen är cirka 8000 ton/år.</t>
  </si>
  <si>
    <t>KRAV-AUTO-002370</t>
  </si>
  <si>
    <t>Ni ange i ansökan att ni ska hantera 9000 ton per år inom förhandsgodkännande.</t>
  </si>
  <si>
    <t>KRAV-AUTO-002371</t>
  </si>
  <si>
    <t>Avfallskoder: Plastavfall under 15 01 01, 19 12 04, 17 02 04 och 07 02 13 ska klassas enligt avfallstransportförordningen med Baselkoder tex.</t>
  </si>
  <si>
    <t>http://localhost:8787/api/admin/requirements/documents/cmm4yumzv007zcuqw9vtajgcn/view</t>
  </si>
  <si>
    <t>KRAV-AUTO-002372</t>
  </si>
  <si>
    <t>cmm4yumzv007zcuqw9vtajgcn</t>
  </si>
  <si>
    <t>Uppgift om de organisatoriska, tekniska eller finansiella arrangemang som säkerställer att förpackningsavfall från verksamheter återvinns, 4.</t>
  </si>
  <si>
    <t>KRAV-AUTO-002373</t>
  </si>
  <si>
    <t>Rapporteringen kravställs ytterligare av Naturvårdsverkets föreskrifter om skyldighet att lämna uppgifter om förpackningar och förpackningsavfall (NFS 2023:13) 13-14 §§, 18-30 §§.</t>
  </si>
  <si>
    <t>KRAV-AUTO-002374</t>
  </si>
  <si>
    <t>14 § andra stycket förpackningsförordningen ska den som driver systemet säkerställa att materialåtervinning eller annan behandling sker genom att själv behandla det förpackningsavfall som omfattas av systemet.</t>
  </si>
  <si>
    <t>http://localhost:8787/api/admin/requirements/documents/cmm4yumzr007wcuqw1nolrfax/view</t>
  </si>
  <si>
    <t>KRAV-AUTO-002375</t>
  </si>
  <si>
    <t>cmm4yumzr007wcuqw1nolrfax</t>
  </si>
  <si>
    <t>KRAV-AUTO-002376</t>
  </si>
  <si>
    <t>KRAV-AUTO-002377</t>
  </si>
  <si>
    <t>http://localhost:8787/api/admin/requirements/documents/cmm4yumzk007qcuqw58pqg3kz/view</t>
  </si>
  <si>
    <t>KRAV-AUTO-002378</t>
  </si>
  <si>
    <t>cmm4yumzk007qcuqw58pqg3kz</t>
  </si>
  <si>
    <t>KRAV-AUTO-002379</t>
  </si>
  <si>
    <t>KRAV-AUTO-002380</t>
  </si>
  <si>
    <t>Inkommande mängder och ursprung för varje avfallsslag (med tillhörande avfallskod) ska redovisas på ett överskådligt vis, samt den totala lagrade mängden under året per avfallskod.</t>
  </si>
  <si>
    <t>http://localhost:8787/api/admin/requirements/documents/cmm4yumz8007ecuqwtrjpv80c/view</t>
  </si>
  <si>
    <t>KRAV-AUTO-002381</t>
  </si>
  <si>
    <t>cmm4yumz8007ecuqwtrjpv80c</t>
  </si>
  <si>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verksamhet och säkerställa att den hanteras på ett miljömässigt godtagbart sätt och i enlighet med avfallshierarkin i miljöbalken.</t>
  </si>
  <si>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t>
  </si>
  <si>
    <t>KRAV-AUTO-002382</t>
  </si>
  <si>
    <t>KRAV-AUTO-002383</t>
  </si>
  <si>
    <t>Den som hanterar avfall ska se till så att hanteringen inte innebär risk för eller skadar människors hälsa eller miljön.</t>
  </si>
  <si>
    <t>http://localhost:8787/api/admin/requirements/documents/cmm4yumz5007bcuqwm52u0l4n/view</t>
  </si>
  <si>
    <t>KRAV-AUTO-002384</t>
  </si>
  <si>
    <t>cmm4yumz5007bcuqwm52u0l4n</t>
  </si>
  <si>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medföra risk för skada eller olägenhet av större betydelse för människors hälsa, miljön eller andra intressen som skyddas enligt miljöbalken.</t>
  </si>
  <si>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t>
  </si>
  <si>
    <t>KRAV-AUTO-002385</t>
  </si>
  <si>
    <t>Produkter för mark- och jordanvändning som innehåller animaliska beståndsdelar eller naturgödsel får inte riskera att hamna i foderkedjan eller sprida smitta.</t>
  </si>
  <si>
    <t>Pivot-start</t>
  </si>
  <si>
    <t>1) Markera cell i Verifiering</t>
  </si>
  <si>
    <t>2) Insert -&gt; PivotTable</t>
  </si>
  <si>
    <t>3) Rader: Kravkategori, Kravsubkategori</t>
  </si>
  <si>
    <t>4) Kolumner: Verifieringsstatus</t>
  </si>
  <si>
    <t>5) Varden: Count of RequirementId</t>
  </si>
  <si>
    <t>6) Filter: Kommun, Myndighet, Dokumenttyp, Kodningssakerhet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</si>
</sst>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16" fillId="0" borderId="0" xfId="0" applyFont="1"/>
    <xf numFmtId="0" fontId="18" fillId="0" borderId="0" xfId="42"/>
  </cellXfs>
  <cellStyles count="43">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Hyperlänk" xfId="42" builtinId="8"/>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0D3A-0A08-4302-92F3-014A86D50923}">
  <dimension ref="A1:A7"/>
  <sheetViews>
    <sheetView tabSelected="1" workbookViewId="0"/>
  </sheetViews>
  <sheetFormatPr defaultRowHeight="14.4" x14ac:dyDescent="0.3"/>
  <cols>
    <col min="1" max="1" width="90.77734375" customWidth="1"/>
  </cols>
  <sheetData>
    <row r="1" spans="1:1" x14ac:dyDescent="0.3">
      <c r="A1" s="1" t="s">
        <v>6363</v>
      </c>
    </row>
    <row r="2" spans="1:1" x14ac:dyDescent="0.3">
      <c r="A2" t="s">
        <v>6364</v>
      </c>
    </row>
    <row r="3" spans="1:1" x14ac:dyDescent="0.3">
      <c r="A3" t="s">
        <v>6365</v>
      </c>
    </row>
    <row r="4" spans="1:1" x14ac:dyDescent="0.3">
      <c r="A4" t="s">
        <v>6366</v>
      </c>
    </row>
    <row r="5" spans="1:1" x14ac:dyDescent="0.3">
      <c r="A5" t="s">
        <v>6367</v>
      </c>
    </row>
    <row r="6" spans="1:1" x14ac:dyDescent="0.3">
      <c r="A6" t="s">
        <v>6368</v>
      </c>
    </row>
    <row r="7" spans="1:1" x14ac:dyDescent="0.3">
      <c r="A7" t="s">
        <v>6369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44F6-6B1C-47E5-8C50-F393270C7292}">
  <dimension ref="A1:S2386"/>
  <sheetViews>
    <sheetView workbookViewId="0"/>
  </sheetViews>
  <sheetFormatPr defaultRowHeight="14.4" x14ac:dyDescent="0.3"/>
  <cols>
    <col min="1" max="1" width="12.77734375" customWidth="1"/>
    <col min="2" max="2" width="55.77734375" customWidth="1"/>
    <col min="10" max="11" width="20.77734375" customWidth="1"/>
    <col min="17" max="18" width="55.77734375" customWidth="1"/>
  </cols>
  <sheetData>
    <row r="1" spans="1:19"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t="str">
        <f>HYPERLINK(B2,"Oppna PDF")</f>
        <v>Oppna PDF</v>
      </c>
      <c r="B2" t="s">
        <v>19</v>
      </c>
      <c r="C2" t="s">
        <v>20</v>
      </c>
      <c r="D2" t="s">
        <v>21</v>
      </c>
      <c r="E2" t="s">
        <v>22</v>
      </c>
      <c r="F2" t="s">
        <v>23</v>
      </c>
      <c r="G2" t="s">
        <v>24</v>
      </c>
      <c r="H2" t="s">
        <v>25</v>
      </c>
      <c r="I2" t="s">
        <v>26</v>
      </c>
      <c r="J2" t="s">
        <v>27</v>
      </c>
      <c r="K2" t="s">
        <v>28</v>
      </c>
      <c r="L2" t="s">
        <v>29</v>
      </c>
      <c r="M2" t="s">
        <v>30</v>
      </c>
      <c r="N2" t="s">
        <v>31</v>
      </c>
      <c r="Q2" t="s">
        <v>32</v>
      </c>
      <c r="R2" t="s">
        <v>32</v>
      </c>
    </row>
    <row r="3" spans="1:19" x14ac:dyDescent="0.3">
      <c r="A3" s="2" t="str">
        <f>HYPERLINK(B3,"Oppna PDF")</f>
        <v>Oppna PDF</v>
      </c>
      <c r="B3" t="s">
        <v>19</v>
      </c>
      <c r="C3" t="s">
        <v>33</v>
      </c>
      <c r="D3" t="s">
        <v>21</v>
      </c>
      <c r="E3" t="s">
        <v>22</v>
      </c>
      <c r="F3" t="s">
        <v>23</v>
      </c>
      <c r="G3" t="s">
        <v>24</v>
      </c>
      <c r="H3" t="s">
        <v>25</v>
      </c>
      <c r="I3" t="s">
        <v>26</v>
      </c>
      <c r="J3" t="s">
        <v>34</v>
      </c>
      <c r="K3" t="s">
        <v>35</v>
      </c>
      <c r="L3" t="s">
        <v>29</v>
      </c>
      <c r="M3" t="s">
        <v>30</v>
      </c>
      <c r="N3" t="s">
        <v>31</v>
      </c>
      <c r="Q3" t="s">
        <v>36</v>
      </c>
      <c r="R3" t="s">
        <v>36</v>
      </c>
    </row>
    <row r="4" spans="1:19" x14ac:dyDescent="0.3">
      <c r="A4" s="2" t="str">
        <f>HYPERLINK(B4,"Oppna PDF")</f>
        <v>Oppna PDF</v>
      </c>
      <c r="B4" t="s">
        <v>19</v>
      </c>
      <c r="C4" t="s">
        <v>37</v>
      </c>
      <c r="D4" t="s">
        <v>21</v>
      </c>
      <c r="E4" t="s">
        <v>22</v>
      </c>
      <c r="F4" t="s">
        <v>23</v>
      </c>
      <c r="G4" t="s">
        <v>24</v>
      </c>
      <c r="H4" t="s">
        <v>25</v>
      </c>
      <c r="I4" t="s">
        <v>26</v>
      </c>
      <c r="J4" t="s">
        <v>38</v>
      </c>
      <c r="K4" t="s">
        <v>39</v>
      </c>
      <c r="L4" t="s">
        <v>29</v>
      </c>
      <c r="M4" t="s">
        <v>30</v>
      </c>
      <c r="N4" t="s">
        <v>31</v>
      </c>
      <c r="Q4" t="s">
        <v>40</v>
      </c>
      <c r="R4" t="s">
        <v>40</v>
      </c>
    </row>
    <row r="5" spans="1:19" x14ac:dyDescent="0.3">
      <c r="A5" s="2" t="str">
        <f>HYPERLINK(B5,"Oppna PDF")</f>
        <v>Oppna PDF</v>
      </c>
      <c r="B5" t="s">
        <v>41</v>
      </c>
      <c r="C5" t="s">
        <v>42</v>
      </c>
      <c r="D5" t="s">
        <v>21</v>
      </c>
      <c r="E5" t="s">
        <v>43</v>
      </c>
      <c r="F5" t="s">
        <v>23</v>
      </c>
      <c r="G5" t="s">
        <v>24</v>
      </c>
      <c r="H5" t="s">
        <v>25</v>
      </c>
      <c r="I5" t="s">
        <v>26</v>
      </c>
      <c r="J5" t="s">
        <v>27</v>
      </c>
      <c r="K5" t="s">
        <v>28</v>
      </c>
      <c r="L5" t="s">
        <v>29</v>
      </c>
      <c r="M5" t="s">
        <v>30</v>
      </c>
      <c r="N5" t="s">
        <v>31</v>
      </c>
      <c r="Q5" t="s">
        <v>44</v>
      </c>
      <c r="R5" t="s">
        <v>44</v>
      </c>
    </row>
    <row r="6" spans="1:19" x14ac:dyDescent="0.3">
      <c r="A6" s="2" t="str">
        <f>HYPERLINK(B6,"Oppna PDF")</f>
        <v>Oppna PDF</v>
      </c>
      <c r="B6" t="s">
        <v>45</v>
      </c>
      <c r="C6" t="s">
        <v>46</v>
      </c>
      <c r="D6" t="s">
        <v>21</v>
      </c>
      <c r="E6" t="s">
        <v>47</v>
      </c>
      <c r="F6" t="s">
        <v>23</v>
      </c>
      <c r="G6" t="s">
        <v>24</v>
      </c>
      <c r="H6" t="s">
        <v>25</v>
      </c>
      <c r="I6" t="s">
        <v>26</v>
      </c>
      <c r="J6" t="s">
        <v>48</v>
      </c>
      <c r="K6" t="s">
        <v>49</v>
      </c>
      <c r="L6" t="s">
        <v>29</v>
      </c>
      <c r="M6" t="s">
        <v>30</v>
      </c>
      <c r="N6" t="s">
        <v>31</v>
      </c>
      <c r="Q6" t="s">
        <v>50</v>
      </c>
      <c r="R6" t="s">
        <v>50</v>
      </c>
    </row>
    <row r="7" spans="1:19" x14ac:dyDescent="0.3">
      <c r="A7" s="2" t="str">
        <f>HYPERLINK(B7,"Oppna PDF")</f>
        <v>Oppna PDF</v>
      </c>
      <c r="B7" t="s">
        <v>45</v>
      </c>
      <c r="C7" t="s">
        <v>51</v>
      </c>
      <c r="D7" t="s">
        <v>21</v>
      </c>
      <c r="E7" t="s">
        <v>47</v>
      </c>
      <c r="F7" t="s">
        <v>23</v>
      </c>
      <c r="G7" t="s">
        <v>24</v>
      </c>
      <c r="H7" t="s">
        <v>25</v>
      </c>
      <c r="I7" t="s">
        <v>26</v>
      </c>
      <c r="J7" t="s">
        <v>48</v>
      </c>
      <c r="K7" t="s">
        <v>49</v>
      </c>
      <c r="L7" t="s">
        <v>29</v>
      </c>
      <c r="M7" t="s">
        <v>30</v>
      </c>
      <c r="N7" t="s">
        <v>31</v>
      </c>
      <c r="Q7" t="s">
        <v>52</v>
      </c>
      <c r="R7" t="s">
        <v>52</v>
      </c>
    </row>
    <row r="8" spans="1:19" x14ac:dyDescent="0.3">
      <c r="A8" s="2" t="str">
        <f>HYPERLINK(B8,"Oppna PDF")</f>
        <v>Oppna PDF</v>
      </c>
      <c r="B8" t="s">
        <v>45</v>
      </c>
      <c r="C8" t="s">
        <v>53</v>
      </c>
      <c r="D8" t="s">
        <v>21</v>
      </c>
      <c r="E8" t="s">
        <v>47</v>
      </c>
      <c r="F8" t="s">
        <v>23</v>
      </c>
      <c r="G8" t="s">
        <v>24</v>
      </c>
      <c r="H8" t="s">
        <v>25</v>
      </c>
      <c r="I8" t="s">
        <v>26</v>
      </c>
      <c r="J8" t="s">
        <v>38</v>
      </c>
      <c r="K8" t="s">
        <v>39</v>
      </c>
      <c r="L8" t="s">
        <v>29</v>
      </c>
      <c r="M8" t="s">
        <v>30</v>
      </c>
      <c r="N8" t="s">
        <v>31</v>
      </c>
      <c r="Q8" t="s">
        <v>54</v>
      </c>
      <c r="R8" t="s">
        <v>54</v>
      </c>
    </row>
    <row r="9" spans="1:19" x14ac:dyDescent="0.3">
      <c r="A9" s="2" t="str">
        <f>HYPERLINK(B9,"Oppna PDF")</f>
        <v>Oppna PDF</v>
      </c>
      <c r="B9" t="s">
        <v>55</v>
      </c>
      <c r="C9" t="s">
        <v>56</v>
      </c>
      <c r="D9" t="s">
        <v>57</v>
      </c>
      <c r="E9" t="s">
        <v>58</v>
      </c>
      <c r="F9" t="s">
        <v>59</v>
      </c>
      <c r="G9" t="s">
        <v>60</v>
      </c>
      <c r="H9" t="s">
        <v>61</v>
      </c>
      <c r="I9" t="s">
        <v>62</v>
      </c>
      <c r="J9" t="s">
        <v>38</v>
      </c>
      <c r="K9" t="s">
        <v>39</v>
      </c>
      <c r="L9" t="s">
        <v>29</v>
      </c>
      <c r="M9" t="s">
        <v>30</v>
      </c>
      <c r="N9" t="s">
        <v>31</v>
      </c>
      <c r="Q9" t="s">
        <v>63</v>
      </c>
      <c r="R9" t="s">
        <v>64</v>
      </c>
    </row>
    <row r="10" spans="1:19" x14ac:dyDescent="0.3">
      <c r="A10" s="2" t="str">
        <f>HYPERLINK(B10,"Oppna PDF")</f>
        <v>Oppna PDF</v>
      </c>
      <c r="B10" t="s">
        <v>55</v>
      </c>
      <c r="C10" t="s">
        <v>65</v>
      </c>
      <c r="D10" t="s">
        <v>57</v>
      </c>
      <c r="E10" t="s">
        <v>58</v>
      </c>
      <c r="F10" t="s">
        <v>59</v>
      </c>
      <c r="G10" t="s">
        <v>60</v>
      </c>
      <c r="H10" t="s">
        <v>61</v>
      </c>
      <c r="I10" t="s">
        <v>62</v>
      </c>
      <c r="J10" t="s">
        <v>38</v>
      </c>
      <c r="K10" t="s">
        <v>39</v>
      </c>
      <c r="L10" t="s">
        <v>29</v>
      </c>
      <c r="M10" t="s">
        <v>30</v>
      </c>
      <c r="N10" t="s">
        <v>31</v>
      </c>
      <c r="Q10" t="s">
        <v>66</v>
      </c>
      <c r="R10" t="s">
        <v>66</v>
      </c>
    </row>
    <row r="11" spans="1:19" x14ac:dyDescent="0.3">
      <c r="A11" s="2" t="str">
        <f>HYPERLINK(B11,"Oppna PDF")</f>
        <v>Oppna PDF</v>
      </c>
      <c r="B11" t="s">
        <v>55</v>
      </c>
      <c r="C11" t="s">
        <v>67</v>
      </c>
      <c r="D11" t="s">
        <v>57</v>
      </c>
      <c r="E11" t="s">
        <v>58</v>
      </c>
      <c r="F11" t="s">
        <v>59</v>
      </c>
      <c r="G11" t="s">
        <v>60</v>
      </c>
      <c r="H11" t="s">
        <v>61</v>
      </c>
      <c r="I11" t="s">
        <v>62</v>
      </c>
      <c r="J11" t="s">
        <v>38</v>
      </c>
      <c r="K11" t="s">
        <v>39</v>
      </c>
      <c r="L11" t="s">
        <v>29</v>
      </c>
      <c r="M11" t="s">
        <v>30</v>
      </c>
      <c r="N11" t="s">
        <v>31</v>
      </c>
      <c r="Q11" t="s">
        <v>68</v>
      </c>
      <c r="R11" t="s">
        <v>68</v>
      </c>
    </row>
    <row r="12" spans="1:19" x14ac:dyDescent="0.3">
      <c r="A12" s="2" t="str">
        <f>HYPERLINK(B12,"Oppna PDF")</f>
        <v>Oppna PDF</v>
      </c>
      <c r="B12" t="s">
        <v>69</v>
      </c>
      <c r="C12" t="s">
        <v>70</v>
      </c>
      <c r="D12" t="s">
        <v>21</v>
      </c>
      <c r="E12" t="s">
        <v>71</v>
      </c>
      <c r="F12" t="s">
        <v>23</v>
      </c>
      <c r="G12" t="s">
        <v>24</v>
      </c>
      <c r="H12" t="s">
        <v>25</v>
      </c>
      <c r="I12" t="s">
        <v>26</v>
      </c>
      <c r="J12" t="s">
        <v>48</v>
      </c>
      <c r="K12" t="s">
        <v>49</v>
      </c>
      <c r="L12" t="s">
        <v>29</v>
      </c>
      <c r="M12" t="s">
        <v>30</v>
      </c>
      <c r="N12" t="s">
        <v>31</v>
      </c>
      <c r="Q12" t="s">
        <v>72</v>
      </c>
      <c r="R12" t="s">
        <v>72</v>
      </c>
    </row>
    <row r="13" spans="1:19" x14ac:dyDescent="0.3">
      <c r="A13" s="2" t="str">
        <f>HYPERLINK(B13,"Oppna PDF")</f>
        <v>Oppna PDF</v>
      </c>
      <c r="B13" t="s">
        <v>69</v>
      </c>
      <c r="C13" t="s">
        <v>73</v>
      </c>
      <c r="D13" t="s">
        <v>21</v>
      </c>
      <c r="E13" t="s">
        <v>71</v>
      </c>
      <c r="F13" t="s">
        <v>23</v>
      </c>
      <c r="G13" t="s">
        <v>24</v>
      </c>
      <c r="H13" t="s">
        <v>25</v>
      </c>
      <c r="I13" t="s">
        <v>26</v>
      </c>
      <c r="J13" t="s">
        <v>48</v>
      </c>
      <c r="K13" t="s">
        <v>49</v>
      </c>
      <c r="L13" t="s">
        <v>29</v>
      </c>
      <c r="M13" t="s">
        <v>30</v>
      </c>
      <c r="N13" t="s">
        <v>31</v>
      </c>
      <c r="Q13" t="s">
        <v>74</v>
      </c>
      <c r="R13" t="s">
        <v>74</v>
      </c>
    </row>
    <row r="14" spans="1:19" x14ac:dyDescent="0.3">
      <c r="A14" s="2" t="str">
        <f>HYPERLINK(B14,"Oppna PDF")</f>
        <v>Oppna PDF</v>
      </c>
      <c r="B14" t="s">
        <v>69</v>
      </c>
      <c r="C14" t="s">
        <v>75</v>
      </c>
      <c r="D14" t="s">
        <v>21</v>
      </c>
      <c r="E14" t="s">
        <v>71</v>
      </c>
      <c r="F14" t="s">
        <v>23</v>
      </c>
      <c r="G14" t="s">
        <v>24</v>
      </c>
      <c r="H14" t="s">
        <v>25</v>
      </c>
      <c r="I14" t="s">
        <v>26</v>
      </c>
      <c r="J14" t="s">
        <v>48</v>
      </c>
      <c r="K14" t="s">
        <v>49</v>
      </c>
      <c r="L14" t="s">
        <v>29</v>
      </c>
      <c r="M14" t="s">
        <v>30</v>
      </c>
      <c r="N14" t="s">
        <v>31</v>
      </c>
      <c r="Q14" t="s">
        <v>76</v>
      </c>
      <c r="R14" t="s">
        <v>76</v>
      </c>
    </row>
    <row r="15" spans="1:19" x14ac:dyDescent="0.3">
      <c r="A15" s="2" t="str">
        <f>HYPERLINK(B15,"Oppna PDF")</f>
        <v>Oppna PDF</v>
      </c>
      <c r="B15" t="s">
        <v>77</v>
      </c>
      <c r="C15" t="s">
        <v>78</v>
      </c>
      <c r="D15" t="s">
        <v>21</v>
      </c>
      <c r="E15" t="s">
        <v>79</v>
      </c>
      <c r="F15" t="s">
        <v>23</v>
      </c>
      <c r="G15" t="s">
        <v>24</v>
      </c>
      <c r="H15" t="s">
        <v>25</v>
      </c>
      <c r="I15" t="s">
        <v>26</v>
      </c>
      <c r="J15" t="s">
        <v>38</v>
      </c>
      <c r="K15" t="s">
        <v>39</v>
      </c>
      <c r="L15" t="s">
        <v>29</v>
      </c>
      <c r="M15" t="s">
        <v>30</v>
      </c>
      <c r="N15" t="s">
        <v>31</v>
      </c>
      <c r="Q15" t="s">
        <v>54</v>
      </c>
      <c r="R15" t="s">
        <v>54</v>
      </c>
    </row>
    <row r="16" spans="1:19" x14ac:dyDescent="0.3">
      <c r="A16" s="2" t="str">
        <f>HYPERLINK(B16,"Oppna PDF")</f>
        <v>Oppna PDF</v>
      </c>
      <c r="B16" t="s">
        <v>77</v>
      </c>
      <c r="C16" t="s">
        <v>80</v>
      </c>
      <c r="D16" t="s">
        <v>21</v>
      </c>
      <c r="E16" t="s">
        <v>79</v>
      </c>
      <c r="F16" t="s">
        <v>23</v>
      </c>
      <c r="G16" t="s">
        <v>24</v>
      </c>
      <c r="H16" t="s">
        <v>25</v>
      </c>
      <c r="I16" t="s">
        <v>26</v>
      </c>
      <c r="J16" t="s">
        <v>48</v>
      </c>
      <c r="K16" t="s">
        <v>49</v>
      </c>
      <c r="L16" t="s">
        <v>29</v>
      </c>
      <c r="M16" t="s">
        <v>30</v>
      </c>
      <c r="N16" t="s">
        <v>31</v>
      </c>
      <c r="Q16" t="s">
        <v>81</v>
      </c>
      <c r="R16" t="s">
        <v>81</v>
      </c>
    </row>
    <row r="17" spans="1:18" x14ac:dyDescent="0.3">
      <c r="A17" s="2" t="str">
        <f>HYPERLINK(B17,"Oppna PDF")</f>
        <v>Oppna PDF</v>
      </c>
      <c r="B17" t="s">
        <v>77</v>
      </c>
      <c r="C17" t="s">
        <v>82</v>
      </c>
      <c r="D17" t="s">
        <v>21</v>
      </c>
      <c r="E17" t="s">
        <v>79</v>
      </c>
      <c r="F17" t="s">
        <v>23</v>
      </c>
      <c r="G17" t="s">
        <v>24</v>
      </c>
      <c r="H17" t="s">
        <v>25</v>
      </c>
      <c r="I17" t="s">
        <v>26</v>
      </c>
      <c r="J17" t="s">
        <v>38</v>
      </c>
      <c r="K17" t="s">
        <v>39</v>
      </c>
      <c r="L17" t="s">
        <v>29</v>
      </c>
      <c r="M17" t="s">
        <v>30</v>
      </c>
      <c r="N17" t="s">
        <v>31</v>
      </c>
      <c r="Q17" t="s">
        <v>83</v>
      </c>
      <c r="R17" t="s">
        <v>83</v>
      </c>
    </row>
    <row r="18" spans="1:18" x14ac:dyDescent="0.3">
      <c r="A18" s="2" t="str">
        <f>HYPERLINK(B18,"Oppna PDF")</f>
        <v>Oppna PDF</v>
      </c>
      <c r="B18" t="s">
        <v>84</v>
      </c>
      <c r="C18" t="s">
        <v>85</v>
      </c>
      <c r="D18" t="s">
        <v>57</v>
      </c>
      <c r="E18" t="s">
        <v>86</v>
      </c>
      <c r="F18" t="s">
        <v>59</v>
      </c>
      <c r="G18" t="s">
        <v>60</v>
      </c>
      <c r="H18" t="s">
        <v>61</v>
      </c>
      <c r="I18" t="s">
        <v>62</v>
      </c>
      <c r="J18" t="s">
        <v>87</v>
      </c>
      <c r="K18" t="s">
        <v>88</v>
      </c>
      <c r="L18" t="s">
        <v>29</v>
      </c>
      <c r="M18" t="s">
        <v>30</v>
      </c>
      <c r="N18" t="s">
        <v>31</v>
      </c>
      <c r="Q18" t="s">
        <v>89</v>
      </c>
      <c r="R18" t="s">
        <v>89</v>
      </c>
    </row>
    <row r="19" spans="1:18" x14ac:dyDescent="0.3">
      <c r="A19" s="2" t="str">
        <f>HYPERLINK(B19,"Oppna PDF")</f>
        <v>Oppna PDF</v>
      </c>
      <c r="B19" t="s">
        <v>84</v>
      </c>
      <c r="C19" t="s">
        <v>90</v>
      </c>
      <c r="D19" t="s">
        <v>57</v>
      </c>
      <c r="E19" t="s">
        <v>86</v>
      </c>
      <c r="F19" t="s">
        <v>59</v>
      </c>
      <c r="G19" t="s">
        <v>60</v>
      </c>
      <c r="H19" t="s">
        <v>61</v>
      </c>
      <c r="I19" t="s">
        <v>62</v>
      </c>
      <c r="J19" t="s">
        <v>91</v>
      </c>
      <c r="K19" t="s">
        <v>92</v>
      </c>
      <c r="L19" t="s">
        <v>29</v>
      </c>
      <c r="M19" t="s">
        <v>30</v>
      </c>
      <c r="N19" t="s">
        <v>31</v>
      </c>
      <c r="Q19" t="s">
        <v>93</v>
      </c>
      <c r="R19" t="s">
        <v>93</v>
      </c>
    </row>
    <row r="20" spans="1:18" x14ac:dyDescent="0.3">
      <c r="A20" s="2" t="str">
        <f>HYPERLINK(B20,"Oppna PDF")</f>
        <v>Oppna PDF</v>
      </c>
      <c r="B20" t="s">
        <v>84</v>
      </c>
      <c r="C20" t="s">
        <v>94</v>
      </c>
      <c r="D20" t="s">
        <v>57</v>
      </c>
      <c r="E20" t="s">
        <v>86</v>
      </c>
      <c r="F20" t="s">
        <v>59</v>
      </c>
      <c r="G20" t="s">
        <v>60</v>
      </c>
      <c r="H20" t="s">
        <v>61</v>
      </c>
      <c r="I20" t="s">
        <v>62</v>
      </c>
      <c r="J20" t="s">
        <v>38</v>
      </c>
      <c r="K20" t="s">
        <v>39</v>
      </c>
      <c r="L20" t="s">
        <v>29</v>
      </c>
      <c r="M20" t="s">
        <v>30</v>
      </c>
      <c r="N20" t="s">
        <v>31</v>
      </c>
      <c r="Q20" t="s">
        <v>95</v>
      </c>
      <c r="R20" t="s">
        <v>95</v>
      </c>
    </row>
    <row r="21" spans="1:18" x14ac:dyDescent="0.3">
      <c r="A21" s="2" t="str">
        <f>HYPERLINK(B21,"Oppna PDF")</f>
        <v>Oppna PDF</v>
      </c>
      <c r="B21" t="s">
        <v>96</v>
      </c>
      <c r="C21" t="s">
        <v>97</v>
      </c>
      <c r="D21" t="s">
        <v>57</v>
      </c>
      <c r="E21" t="s">
        <v>98</v>
      </c>
      <c r="F21" t="s">
        <v>59</v>
      </c>
      <c r="G21" t="s">
        <v>60</v>
      </c>
      <c r="H21" t="s">
        <v>61</v>
      </c>
      <c r="I21" t="s">
        <v>62</v>
      </c>
      <c r="J21" t="s">
        <v>38</v>
      </c>
      <c r="K21" t="s">
        <v>39</v>
      </c>
      <c r="L21" t="s">
        <v>29</v>
      </c>
      <c r="M21" t="s">
        <v>30</v>
      </c>
      <c r="N21" t="s">
        <v>31</v>
      </c>
      <c r="Q21" t="s">
        <v>99</v>
      </c>
      <c r="R21" t="s">
        <v>100</v>
      </c>
    </row>
    <row r="22" spans="1:18" x14ac:dyDescent="0.3">
      <c r="A22" s="2" t="str">
        <f>HYPERLINK(B22,"Oppna PDF")</f>
        <v>Oppna PDF</v>
      </c>
      <c r="B22" t="s">
        <v>96</v>
      </c>
      <c r="C22" t="s">
        <v>101</v>
      </c>
      <c r="D22" t="s">
        <v>57</v>
      </c>
      <c r="E22" t="s">
        <v>98</v>
      </c>
      <c r="F22" t="s">
        <v>59</v>
      </c>
      <c r="G22" t="s">
        <v>60</v>
      </c>
      <c r="H22" t="s">
        <v>61</v>
      </c>
      <c r="I22" t="s">
        <v>62</v>
      </c>
      <c r="J22" t="s">
        <v>38</v>
      </c>
      <c r="K22" t="s">
        <v>39</v>
      </c>
      <c r="L22" t="s">
        <v>29</v>
      </c>
      <c r="M22" t="s">
        <v>30</v>
      </c>
      <c r="N22" t="s">
        <v>31</v>
      </c>
      <c r="Q22" t="s">
        <v>95</v>
      </c>
      <c r="R22" t="s">
        <v>95</v>
      </c>
    </row>
    <row r="23" spans="1:18" x14ac:dyDescent="0.3">
      <c r="A23" s="2" t="str">
        <f>HYPERLINK(B23,"Oppna PDF")</f>
        <v>Oppna PDF</v>
      </c>
      <c r="B23" t="s">
        <v>96</v>
      </c>
      <c r="C23" t="s">
        <v>102</v>
      </c>
      <c r="D23" t="s">
        <v>57</v>
      </c>
      <c r="E23" t="s">
        <v>98</v>
      </c>
      <c r="F23" t="s">
        <v>59</v>
      </c>
      <c r="G23" t="s">
        <v>60</v>
      </c>
      <c r="H23" t="s">
        <v>61</v>
      </c>
      <c r="I23" t="s">
        <v>62</v>
      </c>
      <c r="J23" t="s">
        <v>38</v>
      </c>
      <c r="K23" t="s">
        <v>39</v>
      </c>
      <c r="L23" t="s">
        <v>29</v>
      </c>
      <c r="M23" t="s">
        <v>30</v>
      </c>
      <c r="N23" t="s">
        <v>31</v>
      </c>
      <c r="Q23" t="s">
        <v>103</v>
      </c>
      <c r="R23" t="s">
        <v>103</v>
      </c>
    </row>
    <row r="24" spans="1:18" x14ac:dyDescent="0.3">
      <c r="A24" s="2" t="str">
        <f>HYPERLINK(B24,"Oppna PDF")</f>
        <v>Oppna PDF</v>
      </c>
      <c r="B24" t="s">
        <v>104</v>
      </c>
      <c r="C24" t="s">
        <v>105</v>
      </c>
      <c r="D24" t="s">
        <v>106</v>
      </c>
      <c r="E24" t="s">
        <v>107</v>
      </c>
      <c r="H24" t="s">
        <v>61</v>
      </c>
      <c r="I24" t="s">
        <v>108</v>
      </c>
      <c r="J24" t="s">
        <v>38</v>
      </c>
      <c r="K24" t="s">
        <v>39</v>
      </c>
      <c r="L24" t="s">
        <v>29</v>
      </c>
      <c r="M24" t="s">
        <v>30</v>
      </c>
      <c r="N24" t="s">
        <v>31</v>
      </c>
      <c r="Q24" t="s">
        <v>109</v>
      </c>
      <c r="R24" t="s">
        <v>110</v>
      </c>
    </row>
    <row r="25" spans="1:18" x14ac:dyDescent="0.3">
      <c r="A25" s="2" t="str">
        <f>HYPERLINK(B25,"Oppna PDF")</f>
        <v>Oppna PDF</v>
      </c>
      <c r="B25" t="s">
        <v>104</v>
      </c>
      <c r="C25" t="s">
        <v>111</v>
      </c>
      <c r="D25" t="s">
        <v>106</v>
      </c>
      <c r="E25" t="s">
        <v>107</v>
      </c>
      <c r="H25" t="s">
        <v>61</v>
      </c>
      <c r="I25" t="s">
        <v>108</v>
      </c>
      <c r="J25" t="s">
        <v>91</v>
      </c>
      <c r="K25" t="s">
        <v>92</v>
      </c>
      <c r="L25" t="s">
        <v>29</v>
      </c>
      <c r="M25" t="s">
        <v>30</v>
      </c>
      <c r="N25" t="s">
        <v>31</v>
      </c>
      <c r="Q25" t="s">
        <v>112</v>
      </c>
      <c r="R25" t="s">
        <v>113</v>
      </c>
    </row>
    <row r="26" spans="1:18" x14ac:dyDescent="0.3">
      <c r="A26" s="2" t="str">
        <f>HYPERLINK(B26,"Oppna PDF")</f>
        <v>Oppna PDF</v>
      </c>
      <c r="B26" t="s">
        <v>114</v>
      </c>
      <c r="C26" t="s">
        <v>115</v>
      </c>
      <c r="D26" t="s">
        <v>116</v>
      </c>
      <c r="E26" t="s">
        <v>117</v>
      </c>
      <c r="F26" t="s">
        <v>118</v>
      </c>
      <c r="G26" t="s">
        <v>119</v>
      </c>
      <c r="H26" t="s">
        <v>61</v>
      </c>
      <c r="I26" t="s">
        <v>120</v>
      </c>
      <c r="J26" t="s">
        <v>34</v>
      </c>
      <c r="K26" t="s">
        <v>35</v>
      </c>
      <c r="L26" t="s">
        <v>29</v>
      </c>
      <c r="M26" t="s">
        <v>30</v>
      </c>
      <c r="N26" t="s">
        <v>31</v>
      </c>
      <c r="Q26" t="s">
        <v>121</v>
      </c>
      <c r="R26" t="s">
        <v>121</v>
      </c>
    </row>
    <row r="27" spans="1:18" x14ac:dyDescent="0.3">
      <c r="A27" s="2" t="str">
        <f>HYPERLINK(B27,"Oppna PDF")</f>
        <v>Oppna PDF</v>
      </c>
      <c r="B27" t="s">
        <v>114</v>
      </c>
      <c r="C27" t="s">
        <v>122</v>
      </c>
      <c r="D27" t="s">
        <v>116</v>
      </c>
      <c r="E27" t="s">
        <v>117</v>
      </c>
      <c r="F27" t="s">
        <v>118</v>
      </c>
      <c r="G27" t="s">
        <v>119</v>
      </c>
      <c r="H27" t="s">
        <v>61</v>
      </c>
      <c r="I27" t="s">
        <v>120</v>
      </c>
      <c r="J27" t="s">
        <v>27</v>
      </c>
      <c r="K27" t="s">
        <v>28</v>
      </c>
      <c r="L27" t="s">
        <v>29</v>
      </c>
      <c r="M27" t="s">
        <v>30</v>
      </c>
      <c r="N27" t="s">
        <v>31</v>
      </c>
      <c r="Q27" t="s">
        <v>123</v>
      </c>
      <c r="R27" t="s">
        <v>123</v>
      </c>
    </row>
    <row r="28" spans="1:18" x14ac:dyDescent="0.3">
      <c r="A28" s="2" t="str">
        <f>HYPERLINK(B28,"Oppna PDF")</f>
        <v>Oppna PDF</v>
      </c>
      <c r="B28" t="s">
        <v>114</v>
      </c>
      <c r="C28" t="s">
        <v>124</v>
      </c>
      <c r="D28" t="s">
        <v>116</v>
      </c>
      <c r="E28" t="s">
        <v>117</v>
      </c>
      <c r="F28" t="s">
        <v>118</v>
      </c>
      <c r="G28" t="s">
        <v>119</v>
      </c>
      <c r="H28" t="s">
        <v>61</v>
      </c>
      <c r="I28" t="s">
        <v>120</v>
      </c>
      <c r="J28" t="s">
        <v>91</v>
      </c>
      <c r="K28" t="s">
        <v>92</v>
      </c>
      <c r="L28" t="s">
        <v>29</v>
      </c>
      <c r="M28" t="s">
        <v>30</v>
      </c>
      <c r="N28" t="s">
        <v>31</v>
      </c>
      <c r="Q28" t="s">
        <v>125</v>
      </c>
      <c r="R28" t="s">
        <v>126</v>
      </c>
    </row>
    <row r="29" spans="1:18" x14ac:dyDescent="0.3">
      <c r="A29" s="2" t="str">
        <f>HYPERLINK(B29,"Oppna PDF")</f>
        <v>Oppna PDF</v>
      </c>
      <c r="B29" t="s">
        <v>127</v>
      </c>
      <c r="C29" t="s">
        <v>128</v>
      </c>
      <c r="D29" t="s">
        <v>21</v>
      </c>
      <c r="E29" t="s">
        <v>129</v>
      </c>
      <c r="F29" t="s">
        <v>23</v>
      </c>
      <c r="G29" t="s">
        <v>24</v>
      </c>
      <c r="H29" t="s">
        <v>25</v>
      </c>
      <c r="I29" t="s">
        <v>26</v>
      </c>
      <c r="J29" t="s">
        <v>38</v>
      </c>
      <c r="K29" t="s">
        <v>39</v>
      </c>
      <c r="L29" t="s">
        <v>29</v>
      </c>
      <c r="M29" t="s">
        <v>30</v>
      </c>
      <c r="N29" t="s">
        <v>31</v>
      </c>
      <c r="Q29" t="s">
        <v>130</v>
      </c>
      <c r="R29" t="s">
        <v>130</v>
      </c>
    </row>
    <row r="30" spans="1:18" x14ac:dyDescent="0.3">
      <c r="A30" s="2" t="str">
        <f>HYPERLINK(B30,"Oppna PDF")</f>
        <v>Oppna PDF</v>
      </c>
      <c r="B30" t="s">
        <v>127</v>
      </c>
      <c r="C30" t="s">
        <v>131</v>
      </c>
      <c r="D30" t="s">
        <v>21</v>
      </c>
      <c r="E30" t="s">
        <v>129</v>
      </c>
      <c r="F30" t="s">
        <v>23</v>
      </c>
      <c r="G30" t="s">
        <v>24</v>
      </c>
      <c r="H30" t="s">
        <v>25</v>
      </c>
      <c r="I30" t="s">
        <v>26</v>
      </c>
      <c r="J30" t="s">
        <v>87</v>
      </c>
      <c r="K30" t="s">
        <v>88</v>
      </c>
      <c r="L30" t="s">
        <v>29</v>
      </c>
      <c r="M30" t="s">
        <v>30</v>
      </c>
      <c r="N30" t="s">
        <v>31</v>
      </c>
      <c r="Q30" t="s">
        <v>132</v>
      </c>
      <c r="R30" t="s">
        <v>132</v>
      </c>
    </row>
    <row r="31" spans="1:18" x14ac:dyDescent="0.3">
      <c r="A31" s="2" t="str">
        <f>HYPERLINK(B31,"Oppna PDF")</f>
        <v>Oppna PDF</v>
      </c>
      <c r="B31" t="s">
        <v>127</v>
      </c>
      <c r="C31" t="s">
        <v>133</v>
      </c>
      <c r="D31" t="s">
        <v>21</v>
      </c>
      <c r="E31" t="s">
        <v>129</v>
      </c>
      <c r="F31" t="s">
        <v>23</v>
      </c>
      <c r="G31" t="s">
        <v>24</v>
      </c>
      <c r="H31" t="s">
        <v>25</v>
      </c>
      <c r="I31" t="s">
        <v>26</v>
      </c>
      <c r="J31" t="s">
        <v>87</v>
      </c>
      <c r="K31" t="s">
        <v>88</v>
      </c>
      <c r="L31" t="s">
        <v>29</v>
      </c>
      <c r="M31" t="s">
        <v>30</v>
      </c>
      <c r="N31" t="s">
        <v>31</v>
      </c>
      <c r="Q31" t="s">
        <v>134</v>
      </c>
      <c r="R31" t="s">
        <v>134</v>
      </c>
    </row>
    <row r="32" spans="1:18" x14ac:dyDescent="0.3">
      <c r="A32" s="2" t="str">
        <f>HYPERLINK(B32,"Oppna PDF")</f>
        <v>Oppna PDF</v>
      </c>
      <c r="B32" t="s">
        <v>135</v>
      </c>
      <c r="C32" t="s">
        <v>136</v>
      </c>
      <c r="D32" t="s">
        <v>57</v>
      </c>
      <c r="E32" t="s">
        <v>137</v>
      </c>
      <c r="F32" t="s">
        <v>59</v>
      </c>
      <c r="G32" t="s">
        <v>60</v>
      </c>
      <c r="H32" t="s">
        <v>61</v>
      </c>
      <c r="I32" t="s">
        <v>62</v>
      </c>
      <c r="J32" t="s">
        <v>27</v>
      </c>
      <c r="K32" t="s">
        <v>28</v>
      </c>
      <c r="L32" t="s">
        <v>29</v>
      </c>
      <c r="M32" t="s">
        <v>30</v>
      </c>
      <c r="N32" t="s">
        <v>31</v>
      </c>
      <c r="Q32" t="s">
        <v>138</v>
      </c>
      <c r="R32" t="s">
        <v>138</v>
      </c>
    </row>
    <row r="33" spans="1:18" x14ac:dyDescent="0.3">
      <c r="A33" s="2" t="str">
        <f>HYPERLINK(B33,"Oppna PDF")</f>
        <v>Oppna PDF</v>
      </c>
      <c r="B33" t="s">
        <v>135</v>
      </c>
      <c r="C33" t="s">
        <v>139</v>
      </c>
      <c r="D33" t="s">
        <v>57</v>
      </c>
      <c r="E33" t="s">
        <v>137</v>
      </c>
      <c r="F33" t="s">
        <v>59</v>
      </c>
      <c r="G33" t="s">
        <v>60</v>
      </c>
      <c r="H33" t="s">
        <v>61</v>
      </c>
      <c r="I33" t="s">
        <v>62</v>
      </c>
      <c r="J33" t="s">
        <v>27</v>
      </c>
      <c r="K33" t="s">
        <v>28</v>
      </c>
      <c r="L33" t="s">
        <v>29</v>
      </c>
      <c r="M33" t="s">
        <v>30</v>
      </c>
      <c r="N33" t="s">
        <v>31</v>
      </c>
      <c r="Q33" t="s">
        <v>140</v>
      </c>
      <c r="R33" t="s">
        <v>140</v>
      </c>
    </row>
    <row r="34" spans="1:18" x14ac:dyDescent="0.3">
      <c r="A34" s="2" t="str">
        <f>HYPERLINK(B34,"Oppna PDF")</f>
        <v>Oppna PDF</v>
      </c>
      <c r="B34" t="s">
        <v>135</v>
      </c>
      <c r="C34" t="s">
        <v>141</v>
      </c>
      <c r="D34" t="s">
        <v>57</v>
      </c>
      <c r="E34" t="s">
        <v>137</v>
      </c>
      <c r="F34" t="s">
        <v>59</v>
      </c>
      <c r="G34" t="s">
        <v>60</v>
      </c>
      <c r="H34" t="s">
        <v>61</v>
      </c>
      <c r="I34" t="s">
        <v>62</v>
      </c>
      <c r="J34" t="s">
        <v>34</v>
      </c>
      <c r="K34" t="s">
        <v>35</v>
      </c>
      <c r="L34" t="s">
        <v>142</v>
      </c>
      <c r="M34" t="s">
        <v>30</v>
      </c>
      <c r="N34" t="s">
        <v>31</v>
      </c>
      <c r="Q34" t="s">
        <v>143</v>
      </c>
      <c r="R34" t="s">
        <v>143</v>
      </c>
    </row>
    <row r="35" spans="1:18" x14ac:dyDescent="0.3">
      <c r="A35" s="2" t="str">
        <f>HYPERLINK(B35,"Oppna PDF")</f>
        <v>Oppna PDF</v>
      </c>
      <c r="B35" t="s">
        <v>144</v>
      </c>
      <c r="C35" t="s">
        <v>145</v>
      </c>
      <c r="D35" t="s">
        <v>57</v>
      </c>
      <c r="E35" t="s">
        <v>146</v>
      </c>
      <c r="F35" t="s">
        <v>59</v>
      </c>
      <c r="G35" t="s">
        <v>60</v>
      </c>
      <c r="H35" t="s">
        <v>61</v>
      </c>
      <c r="I35" t="s">
        <v>62</v>
      </c>
      <c r="J35" t="s">
        <v>34</v>
      </c>
      <c r="K35" t="s">
        <v>35</v>
      </c>
      <c r="L35" t="s">
        <v>29</v>
      </c>
      <c r="M35" t="s">
        <v>30</v>
      </c>
      <c r="N35" t="s">
        <v>31</v>
      </c>
      <c r="Q35" t="s">
        <v>147</v>
      </c>
      <c r="R35" t="s">
        <v>147</v>
      </c>
    </row>
    <row r="36" spans="1:18" x14ac:dyDescent="0.3">
      <c r="A36" s="2" t="str">
        <f>HYPERLINK(B36,"Oppna PDF")</f>
        <v>Oppna PDF</v>
      </c>
      <c r="B36" t="s">
        <v>144</v>
      </c>
      <c r="C36" t="s">
        <v>148</v>
      </c>
      <c r="D36" t="s">
        <v>57</v>
      </c>
      <c r="E36" t="s">
        <v>146</v>
      </c>
      <c r="F36" t="s">
        <v>59</v>
      </c>
      <c r="G36" t="s">
        <v>60</v>
      </c>
      <c r="H36" t="s">
        <v>61</v>
      </c>
      <c r="I36" t="s">
        <v>62</v>
      </c>
      <c r="J36" t="s">
        <v>34</v>
      </c>
      <c r="K36" t="s">
        <v>35</v>
      </c>
      <c r="L36" t="s">
        <v>29</v>
      </c>
      <c r="M36" t="s">
        <v>30</v>
      </c>
      <c r="N36" t="s">
        <v>31</v>
      </c>
      <c r="Q36" t="s">
        <v>149</v>
      </c>
      <c r="R36" t="s">
        <v>149</v>
      </c>
    </row>
    <row r="37" spans="1:18" x14ac:dyDescent="0.3">
      <c r="A37" s="2" t="str">
        <f>HYPERLINK(B37,"Oppna PDF")</f>
        <v>Oppna PDF</v>
      </c>
      <c r="B37" t="s">
        <v>144</v>
      </c>
      <c r="C37" t="s">
        <v>150</v>
      </c>
      <c r="D37" t="s">
        <v>57</v>
      </c>
      <c r="E37" t="s">
        <v>146</v>
      </c>
      <c r="F37" t="s">
        <v>59</v>
      </c>
      <c r="G37" t="s">
        <v>60</v>
      </c>
      <c r="H37" t="s">
        <v>61</v>
      </c>
      <c r="I37" t="s">
        <v>62</v>
      </c>
      <c r="J37" t="s">
        <v>34</v>
      </c>
      <c r="K37" t="s">
        <v>35</v>
      </c>
      <c r="L37" t="s">
        <v>142</v>
      </c>
      <c r="M37" t="s">
        <v>30</v>
      </c>
      <c r="N37" t="s">
        <v>31</v>
      </c>
      <c r="Q37" t="s">
        <v>151</v>
      </c>
      <c r="R37" t="s">
        <v>151</v>
      </c>
    </row>
    <row r="38" spans="1:18" x14ac:dyDescent="0.3">
      <c r="A38" s="2" t="str">
        <f>HYPERLINK(B38,"Oppna PDF")</f>
        <v>Oppna PDF</v>
      </c>
      <c r="B38" t="s">
        <v>152</v>
      </c>
      <c r="C38" t="s">
        <v>153</v>
      </c>
      <c r="D38" t="s">
        <v>21</v>
      </c>
      <c r="E38" t="s">
        <v>154</v>
      </c>
      <c r="F38" t="s">
        <v>23</v>
      </c>
      <c r="G38" t="s">
        <v>24</v>
      </c>
      <c r="H38" t="s">
        <v>25</v>
      </c>
      <c r="I38" t="s">
        <v>26</v>
      </c>
      <c r="J38" t="s">
        <v>48</v>
      </c>
      <c r="K38" t="s">
        <v>49</v>
      </c>
      <c r="L38" t="s">
        <v>29</v>
      </c>
      <c r="M38" t="s">
        <v>30</v>
      </c>
      <c r="N38" t="s">
        <v>31</v>
      </c>
      <c r="Q38" t="s">
        <v>72</v>
      </c>
      <c r="R38" t="s">
        <v>72</v>
      </c>
    </row>
    <row r="39" spans="1:18" x14ac:dyDescent="0.3">
      <c r="A39" s="2" t="str">
        <f>HYPERLINK(B39,"Oppna PDF")</f>
        <v>Oppna PDF</v>
      </c>
      <c r="B39" t="s">
        <v>152</v>
      </c>
      <c r="C39" t="s">
        <v>155</v>
      </c>
      <c r="D39" t="s">
        <v>21</v>
      </c>
      <c r="E39" t="s">
        <v>154</v>
      </c>
      <c r="F39" t="s">
        <v>23</v>
      </c>
      <c r="G39" t="s">
        <v>24</v>
      </c>
      <c r="H39" t="s">
        <v>25</v>
      </c>
      <c r="I39" t="s">
        <v>26</v>
      </c>
      <c r="J39" t="s">
        <v>34</v>
      </c>
      <c r="K39" t="s">
        <v>35</v>
      </c>
      <c r="L39" t="s">
        <v>29</v>
      </c>
      <c r="M39" t="s">
        <v>30</v>
      </c>
      <c r="N39" t="s">
        <v>31</v>
      </c>
      <c r="Q39" t="s">
        <v>156</v>
      </c>
      <c r="R39" t="s">
        <v>156</v>
      </c>
    </row>
    <row r="40" spans="1:18" x14ac:dyDescent="0.3">
      <c r="A40" s="2" t="str">
        <f>HYPERLINK(B40,"Oppna PDF")</f>
        <v>Oppna PDF</v>
      </c>
      <c r="B40" t="s">
        <v>152</v>
      </c>
      <c r="C40" t="s">
        <v>157</v>
      </c>
      <c r="D40" t="s">
        <v>21</v>
      </c>
      <c r="E40" t="s">
        <v>154</v>
      </c>
      <c r="F40" t="s">
        <v>23</v>
      </c>
      <c r="G40" t="s">
        <v>24</v>
      </c>
      <c r="H40" t="s">
        <v>25</v>
      </c>
      <c r="I40" t="s">
        <v>26</v>
      </c>
      <c r="J40" t="s">
        <v>48</v>
      </c>
      <c r="K40" t="s">
        <v>49</v>
      </c>
      <c r="L40" t="s">
        <v>29</v>
      </c>
      <c r="M40" t="s">
        <v>30</v>
      </c>
      <c r="N40" t="s">
        <v>31</v>
      </c>
      <c r="Q40" t="s">
        <v>74</v>
      </c>
      <c r="R40" t="s">
        <v>74</v>
      </c>
    </row>
    <row r="41" spans="1:18" x14ac:dyDescent="0.3">
      <c r="A41" s="2" t="str">
        <f>HYPERLINK(B41,"Oppna PDF")</f>
        <v>Oppna PDF</v>
      </c>
      <c r="B41" t="s">
        <v>158</v>
      </c>
      <c r="C41" t="s">
        <v>159</v>
      </c>
      <c r="D41" t="s">
        <v>21</v>
      </c>
      <c r="E41" t="s">
        <v>160</v>
      </c>
      <c r="F41" t="s">
        <v>23</v>
      </c>
      <c r="G41" t="s">
        <v>24</v>
      </c>
      <c r="H41" t="s">
        <v>25</v>
      </c>
      <c r="I41" t="s">
        <v>26</v>
      </c>
      <c r="J41" t="s">
        <v>34</v>
      </c>
      <c r="K41" t="s">
        <v>35</v>
      </c>
      <c r="L41" t="s">
        <v>142</v>
      </c>
      <c r="M41" t="s">
        <v>30</v>
      </c>
      <c r="N41" t="s">
        <v>31</v>
      </c>
      <c r="Q41" t="s">
        <v>161</v>
      </c>
      <c r="R41" t="s">
        <v>162</v>
      </c>
    </row>
    <row r="42" spans="1:18" x14ac:dyDescent="0.3">
      <c r="A42" s="2" t="str">
        <f>HYPERLINK(B42,"Oppna PDF")</f>
        <v>Oppna PDF</v>
      </c>
      <c r="B42" t="s">
        <v>163</v>
      </c>
      <c r="C42" t="s">
        <v>164</v>
      </c>
      <c r="D42" t="s">
        <v>165</v>
      </c>
      <c r="E42" t="s">
        <v>166</v>
      </c>
      <c r="F42" t="s">
        <v>167</v>
      </c>
      <c r="G42" t="s">
        <v>168</v>
      </c>
      <c r="H42" t="s">
        <v>25</v>
      </c>
      <c r="I42" t="s">
        <v>169</v>
      </c>
      <c r="J42" t="s">
        <v>87</v>
      </c>
      <c r="K42" t="s">
        <v>88</v>
      </c>
      <c r="L42" t="s">
        <v>142</v>
      </c>
      <c r="M42" t="s">
        <v>30</v>
      </c>
      <c r="N42" t="s">
        <v>31</v>
      </c>
      <c r="Q42" t="s">
        <v>170</v>
      </c>
      <c r="R42" t="s">
        <v>170</v>
      </c>
    </row>
    <row r="43" spans="1:18" x14ac:dyDescent="0.3">
      <c r="A43" s="2" t="str">
        <f>HYPERLINK(B43,"Oppna PDF")</f>
        <v>Oppna PDF</v>
      </c>
      <c r="B43" t="s">
        <v>163</v>
      </c>
      <c r="C43" t="s">
        <v>171</v>
      </c>
      <c r="D43" t="s">
        <v>165</v>
      </c>
      <c r="E43" t="s">
        <v>166</v>
      </c>
      <c r="F43" t="s">
        <v>167</v>
      </c>
      <c r="G43" t="s">
        <v>168</v>
      </c>
      <c r="H43" t="s">
        <v>25</v>
      </c>
      <c r="I43" t="s">
        <v>169</v>
      </c>
      <c r="J43" t="s">
        <v>38</v>
      </c>
      <c r="K43" t="s">
        <v>39</v>
      </c>
      <c r="L43" t="s">
        <v>142</v>
      </c>
      <c r="M43" t="s">
        <v>30</v>
      </c>
      <c r="N43" t="s">
        <v>31</v>
      </c>
      <c r="Q43" t="s">
        <v>172</v>
      </c>
      <c r="R43" t="s">
        <v>172</v>
      </c>
    </row>
    <row r="44" spans="1:18" x14ac:dyDescent="0.3">
      <c r="A44" s="2" t="str">
        <f>HYPERLINK(B44,"Oppna PDF")</f>
        <v>Oppna PDF</v>
      </c>
      <c r="B44" t="s">
        <v>163</v>
      </c>
      <c r="C44" t="s">
        <v>173</v>
      </c>
      <c r="D44" t="s">
        <v>165</v>
      </c>
      <c r="E44" t="s">
        <v>166</v>
      </c>
      <c r="F44" t="s">
        <v>167</v>
      </c>
      <c r="G44" t="s">
        <v>168</v>
      </c>
      <c r="H44" t="s">
        <v>25</v>
      </c>
      <c r="I44" t="s">
        <v>169</v>
      </c>
      <c r="J44" t="s">
        <v>87</v>
      </c>
      <c r="K44" t="s">
        <v>88</v>
      </c>
      <c r="L44" t="s">
        <v>142</v>
      </c>
      <c r="M44" t="s">
        <v>30</v>
      </c>
      <c r="N44" t="s">
        <v>31</v>
      </c>
      <c r="Q44" t="s">
        <v>174</v>
      </c>
      <c r="R44" t="s">
        <v>174</v>
      </c>
    </row>
    <row r="45" spans="1:18" x14ac:dyDescent="0.3">
      <c r="A45" s="2" t="str">
        <f>HYPERLINK(B45,"Oppna PDF")</f>
        <v>Oppna PDF</v>
      </c>
      <c r="B45" t="s">
        <v>175</v>
      </c>
      <c r="C45" t="s">
        <v>176</v>
      </c>
      <c r="D45" t="s">
        <v>57</v>
      </c>
      <c r="E45" t="s">
        <v>177</v>
      </c>
      <c r="F45" t="s">
        <v>59</v>
      </c>
      <c r="G45" t="s">
        <v>60</v>
      </c>
      <c r="H45" t="s">
        <v>61</v>
      </c>
      <c r="I45" t="s">
        <v>62</v>
      </c>
      <c r="J45" t="s">
        <v>34</v>
      </c>
      <c r="K45" t="s">
        <v>35</v>
      </c>
      <c r="L45" t="s">
        <v>29</v>
      </c>
      <c r="M45" t="s">
        <v>30</v>
      </c>
      <c r="N45" t="s">
        <v>31</v>
      </c>
      <c r="Q45" t="s">
        <v>178</v>
      </c>
      <c r="R45" t="s">
        <v>178</v>
      </c>
    </row>
    <row r="46" spans="1:18" x14ac:dyDescent="0.3">
      <c r="A46" s="2" t="str">
        <f>HYPERLINK(B46,"Oppna PDF")</f>
        <v>Oppna PDF</v>
      </c>
      <c r="B46" t="s">
        <v>175</v>
      </c>
      <c r="C46" t="s">
        <v>179</v>
      </c>
      <c r="D46" t="s">
        <v>57</v>
      </c>
      <c r="E46" t="s">
        <v>177</v>
      </c>
      <c r="F46" t="s">
        <v>59</v>
      </c>
      <c r="G46" t="s">
        <v>60</v>
      </c>
      <c r="H46" t="s">
        <v>61</v>
      </c>
      <c r="I46" t="s">
        <v>62</v>
      </c>
      <c r="J46" t="s">
        <v>34</v>
      </c>
      <c r="K46" t="s">
        <v>35</v>
      </c>
      <c r="L46" t="s">
        <v>142</v>
      </c>
      <c r="M46" t="s">
        <v>30</v>
      </c>
      <c r="N46" t="s">
        <v>31</v>
      </c>
      <c r="Q46" t="s">
        <v>180</v>
      </c>
      <c r="R46" t="s">
        <v>181</v>
      </c>
    </row>
    <row r="47" spans="1:18" x14ac:dyDescent="0.3">
      <c r="A47" s="2" t="str">
        <f>HYPERLINK(B47,"Oppna PDF")</f>
        <v>Oppna PDF</v>
      </c>
      <c r="B47" t="s">
        <v>175</v>
      </c>
      <c r="C47" t="s">
        <v>182</v>
      </c>
      <c r="D47" t="s">
        <v>57</v>
      </c>
      <c r="E47" t="s">
        <v>177</v>
      </c>
      <c r="F47" t="s">
        <v>59</v>
      </c>
      <c r="G47" t="s">
        <v>60</v>
      </c>
      <c r="H47" t="s">
        <v>61</v>
      </c>
      <c r="I47" t="s">
        <v>62</v>
      </c>
      <c r="J47" t="s">
        <v>27</v>
      </c>
      <c r="K47" t="s">
        <v>28</v>
      </c>
      <c r="L47" t="s">
        <v>29</v>
      </c>
      <c r="M47" t="s">
        <v>30</v>
      </c>
      <c r="N47" t="s">
        <v>31</v>
      </c>
      <c r="Q47" t="s">
        <v>183</v>
      </c>
      <c r="R47" t="s">
        <v>183</v>
      </c>
    </row>
    <row r="48" spans="1:18" x14ac:dyDescent="0.3">
      <c r="A48" s="2" t="str">
        <f>HYPERLINK(B48,"Oppna PDF")</f>
        <v>Oppna PDF</v>
      </c>
      <c r="B48" t="s">
        <v>184</v>
      </c>
      <c r="C48" t="s">
        <v>185</v>
      </c>
      <c r="D48" t="s">
        <v>106</v>
      </c>
      <c r="E48" t="s">
        <v>186</v>
      </c>
      <c r="H48" t="s">
        <v>61</v>
      </c>
      <c r="I48" t="s">
        <v>108</v>
      </c>
      <c r="J48" t="s">
        <v>38</v>
      </c>
      <c r="K48" t="s">
        <v>39</v>
      </c>
      <c r="L48" t="s">
        <v>29</v>
      </c>
      <c r="M48" t="s">
        <v>30</v>
      </c>
      <c r="N48" t="s">
        <v>31</v>
      </c>
      <c r="Q48" t="s">
        <v>187</v>
      </c>
      <c r="R48" t="s">
        <v>187</v>
      </c>
    </row>
    <row r="49" spans="1:18" x14ac:dyDescent="0.3">
      <c r="A49" s="2" t="str">
        <f>HYPERLINK(B49,"Oppna PDF")</f>
        <v>Oppna PDF</v>
      </c>
      <c r="B49" t="s">
        <v>184</v>
      </c>
      <c r="C49" t="s">
        <v>188</v>
      </c>
      <c r="D49" t="s">
        <v>106</v>
      </c>
      <c r="E49" t="s">
        <v>186</v>
      </c>
      <c r="H49" t="s">
        <v>61</v>
      </c>
      <c r="I49" t="s">
        <v>108</v>
      </c>
      <c r="J49" t="s">
        <v>38</v>
      </c>
      <c r="K49" t="s">
        <v>39</v>
      </c>
      <c r="L49" t="s">
        <v>29</v>
      </c>
      <c r="M49" t="s">
        <v>30</v>
      </c>
      <c r="N49" t="s">
        <v>31</v>
      </c>
      <c r="Q49" t="s">
        <v>189</v>
      </c>
      <c r="R49" t="s">
        <v>190</v>
      </c>
    </row>
    <row r="50" spans="1:18" x14ac:dyDescent="0.3">
      <c r="A50" s="2" t="str">
        <f>HYPERLINK(B50,"Oppna PDF")</f>
        <v>Oppna PDF</v>
      </c>
      <c r="B50" t="s">
        <v>184</v>
      </c>
      <c r="C50" t="s">
        <v>191</v>
      </c>
      <c r="D50" t="s">
        <v>106</v>
      </c>
      <c r="E50" t="s">
        <v>186</v>
      </c>
      <c r="H50" t="s">
        <v>61</v>
      </c>
      <c r="I50" t="s">
        <v>108</v>
      </c>
      <c r="J50" t="s">
        <v>38</v>
      </c>
      <c r="K50" t="s">
        <v>39</v>
      </c>
      <c r="L50" t="s">
        <v>29</v>
      </c>
      <c r="M50" t="s">
        <v>30</v>
      </c>
      <c r="N50" t="s">
        <v>31</v>
      </c>
      <c r="Q50" t="s">
        <v>192</v>
      </c>
      <c r="R50" t="s">
        <v>193</v>
      </c>
    </row>
    <row r="51" spans="1:18" x14ac:dyDescent="0.3">
      <c r="A51" s="2" t="str">
        <f>HYPERLINK(B51,"Oppna PDF")</f>
        <v>Oppna PDF</v>
      </c>
      <c r="B51" t="s">
        <v>194</v>
      </c>
      <c r="C51" t="s">
        <v>195</v>
      </c>
      <c r="D51" t="s">
        <v>21</v>
      </c>
      <c r="E51" t="s">
        <v>196</v>
      </c>
      <c r="F51" t="s">
        <v>23</v>
      </c>
      <c r="G51" t="s">
        <v>24</v>
      </c>
      <c r="H51" t="s">
        <v>25</v>
      </c>
      <c r="I51" t="s">
        <v>26</v>
      </c>
      <c r="J51" t="s">
        <v>48</v>
      </c>
      <c r="K51" t="s">
        <v>49</v>
      </c>
      <c r="L51" t="s">
        <v>29</v>
      </c>
      <c r="M51" t="s">
        <v>30</v>
      </c>
      <c r="N51" t="s">
        <v>31</v>
      </c>
      <c r="Q51" t="s">
        <v>72</v>
      </c>
      <c r="R51" t="s">
        <v>72</v>
      </c>
    </row>
    <row r="52" spans="1:18" x14ac:dyDescent="0.3">
      <c r="A52" s="2" t="str">
        <f>HYPERLINK(B52,"Oppna PDF")</f>
        <v>Oppna PDF</v>
      </c>
      <c r="B52" t="s">
        <v>194</v>
      </c>
      <c r="C52" t="s">
        <v>197</v>
      </c>
      <c r="D52" t="s">
        <v>21</v>
      </c>
      <c r="E52" t="s">
        <v>196</v>
      </c>
      <c r="F52" t="s">
        <v>23</v>
      </c>
      <c r="G52" t="s">
        <v>24</v>
      </c>
      <c r="H52" t="s">
        <v>25</v>
      </c>
      <c r="I52" t="s">
        <v>26</v>
      </c>
      <c r="J52" t="s">
        <v>48</v>
      </c>
      <c r="K52" t="s">
        <v>49</v>
      </c>
      <c r="L52" t="s">
        <v>29</v>
      </c>
      <c r="M52" t="s">
        <v>30</v>
      </c>
      <c r="N52" t="s">
        <v>31</v>
      </c>
      <c r="Q52" t="s">
        <v>74</v>
      </c>
      <c r="R52" t="s">
        <v>74</v>
      </c>
    </row>
    <row r="53" spans="1:18" x14ac:dyDescent="0.3">
      <c r="A53" s="2" t="str">
        <f>HYPERLINK(B53,"Oppna PDF")</f>
        <v>Oppna PDF</v>
      </c>
      <c r="B53" t="s">
        <v>194</v>
      </c>
      <c r="C53" t="s">
        <v>198</v>
      </c>
      <c r="D53" t="s">
        <v>21</v>
      </c>
      <c r="E53" t="s">
        <v>196</v>
      </c>
      <c r="F53" t="s">
        <v>23</v>
      </c>
      <c r="G53" t="s">
        <v>24</v>
      </c>
      <c r="H53" t="s">
        <v>25</v>
      </c>
      <c r="I53" t="s">
        <v>26</v>
      </c>
      <c r="J53" t="s">
        <v>34</v>
      </c>
      <c r="K53" t="s">
        <v>35</v>
      </c>
      <c r="L53" t="s">
        <v>29</v>
      </c>
      <c r="M53" t="s">
        <v>30</v>
      </c>
      <c r="N53" t="s">
        <v>31</v>
      </c>
      <c r="Q53" t="s">
        <v>199</v>
      </c>
      <c r="R53" t="s">
        <v>199</v>
      </c>
    </row>
    <row r="54" spans="1:18" x14ac:dyDescent="0.3">
      <c r="A54" s="2" t="str">
        <f>HYPERLINK(B54,"Oppna PDF")</f>
        <v>Oppna PDF</v>
      </c>
      <c r="B54" t="s">
        <v>200</v>
      </c>
      <c r="C54" t="s">
        <v>201</v>
      </c>
      <c r="D54" t="s">
        <v>165</v>
      </c>
      <c r="E54" t="s">
        <v>202</v>
      </c>
      <c r="F54" t="s">
        <v>167</v>
      </c>
      <c r="G54" t="s">
        <v>168</v>
      </c>
      <c r="H54" t="s">
        <v>25</v>
      </c>
      <c r="I54" t="s">
        <v>169</v>
      </c>
      <c r="J54" t="s">
        <v>34</v>
      </c>
      <c r="K54" t="s">
        <v>35</v>
      </c>
      <c r="L54" t="s">
        <v>29</v>
      </c>
      <c r="M54" t="s">
        <v>30</v>
      </c>
      <c r="N54" t="s">
        <v>31</v>
      </c>
      <c r="Q54" t="s">
        <v>203</v>
      </c>
      <c r="R54" t="s">
        <v>204</v>
      </c>
    </row>
    <row r="55" spans="1:18" x14ac:dyDescent="0.3">
      <c r="A55" s="2" t="str">
        <f>HYPERLINK(B55,"Oppna PDF")</f>
        <v>Oppna PDF</v>
      </c>
      <c r="B55" t="s">
        <v>200</v>
      </c>
      <c r="C55" t="s">
        <v>205</v>
      </c>
      <c r="D55" t="s">
        <v>165</v>
      </c>
      <c r="E55" t="s">
        <v>202</v>
      </c>
      <c r="F55" t="s">
        <v>167</v>
      </c>
      <c r="G55" t="s">
        <v>168</v>
      </c>
      <c r="H55" t="s">
        <v>25</v>
      </c>
      <c r="I55" t="s">
        <v>169</v>
      </c>
      <c r="J55" t="s">
        <v>34</v>
      </c>
      <c r="K55" t="s">
        <v>35</v>
      </c>
      <c r="L55" t="s">
        <v>29</v>
      </c>
      <c r="M55" t="s">
        <v>30</v>
      </c>
      <c r="N55" t="s">
        <v>31</v>
      </c>
      <c r="Q55" t="s">
        <v>206</v>
      </c>
      <c r="R55" t="s">
        <v>207</v>
      </c>
    </row>
    <row r="56" spans="1:18" x14ac:dyDescent="0.3">
      <c r="A56" s="2" t="str">
        <f>HYPERLINK(B56,"Oppna PDF")</f>
        <v>Oppna PDF</v>
      </c>
      <c r="B56" t="s">
        <v>200</v>
      </c>
      <c r="C56" t="s">
        <v>208</v>
      </c>
      <c r="D56" t="s">
        <v>165</v>
      </c>
      <c r="E56" t="s">
        <v>202</v>
      </c>
      <c r="F56" t="s">
        <v>167</v>
      </c>
      <c r="G56" t="s">
        <v>168</v>
      </c>
      <c r="H56" t="s">
        <v>25</v>
      </c>
      <c r="I56" t="s">
        <v>169</v>
      </c>
      <c r="J56" t="s">
        <v>209</v>
      </c>
      <c r="K56" t="s">
        <v>210</v>
      </c>
      <c r="L56" t="s">
        <v>29</v>
      </c>
      <c r="M56" t="s">
        <v>30</v>
      </c>
      <c r="N56" t="s">
        <v>31</v>
      </c>
      <c r="Q56" t="s">
        <v>211</v>
      </c>
      <c r="R56" t="s">
        <v>212</v>
      </c>
    </row>
    <row r="57" spans="1:18" x14ac:dyDescent="0.3">
      <c r="A57" s="2" t="str">
        <f>HYPERLINK(B57,"Oppna PDF")</f>
        <v>Oppna PDF</v>
      </c>
      <c r="B57" t="s">
        <v>213</v>
      </c>
      <c r="C57" t="s">
        <v>214</v>
      </c>
      <c r="D57" t="s">
        <v>106</v>
      </c>
      <c r="E57" t="s">
        <v>215</v>
      </c>
      <c r="H57" t="s">
        <v>61</v>
      </c>
      <c r="I57" t="s">
        <v>108</v>
      </c>
      <c r="J57" t="s">
        <v>38</v>
      </c>
      <c r="K57" t="s">
        <v>39</v>
      </c>
      <c r="L57" t="s">
        <v>29</v>
      </c>
      <c r="M57" t="s">
        <v>30</v>
      </c>
      <c r="N57" t="s">
        <v>31</v>
      </c>
      <c r="Q57" t="s">
        <v>216</v>
      </c>
      <c r="R57" t="s">
        <v>216</v>
      </c>
    </row>
    <row r="58" spans="1:18" x14ac:dyDescent="0.3">
      <c r="A58" s="2" t="str">
        <f>HYPERLINK(B58,"Oppna PDF")</f>
        <v>Oppna PDF</v>
      </c>
      <c r="B58" t="s">
        <v>213</v>
      </c>
      <c r="C58" t="s">
        <v>217</v>
      </c>
      <c r="D58" t="s">
        <v>106</v>
      </c>
      <c r="E58" t="s">
        <v>215</v>
      </c>
      <c r="H58" t="s">
        <v>61</v>
      </c>
      <c r="I58" t="s">
        <v>108</v>
      </c>
      <c r="J58" t="s">
        <v>38</v>
      </c>
      <c r="K58" t="s">
        <v>39</v>
      </c>
      <c r="L58" t="s">
        <v>29</v>
      </c>
      <c r="M58" t="s">
        <v>30</v>
      </c>
      <c r="N58" t="s">
        <v>31</v>
      </c>
      <c r="Q58" t="s">
        <v>218</v>
      </c>
      <c r="R58" t="s">
        <v>218</v>
      </c>
    </row>
    <row r="59" spans="1:18" x14ac:dyDescent="0.3">
      <c r="A59" s="2" t="str">
        <f>HYPERLINK(B59,"Oppna PDF")</f>
        <v>Oppna PDF</v>
      </c>
      <c r="B59" t="s">
        <v>213</v>
      </c>
      <c r="C59" t="s">
        <v>219</v>
      </c>
      <c r="D59" t="s">
        <v>106</v>
      </c>
      <c r="E59" t="s">
        <v>215</v>
      </c>
      <c r="H59" t="s">
        <v>61</v>
      </c>
      <c r="I59" t="s">
        <v>108</v>
      </c>
      <c r="J59" t="s">
        <v>91</v>
      </c>
      <c r="K59" t="s">
        <v>92</v>
      </c>
      <c r="L59" t="s">
        <v>29</v>
      </c>
      <c r="M59" t="s">
        <v>30</v>
      </c>
      <c r="N59" t="s">
        <v>31</v>
      </c>
      <c r="Q59" t="s">
        <v>220</v>
      </c>
      <c r="R59" t="s">
        <v>220</v>
      </c>
    </row>
    <row r="60" spans="1:18" x14ac:dyDescent="0.3">
      <c r="A60" s="2" t="str">
        <f>HYPERLINK(B60,"Oppna PDF")</f>
        <v>Oppna PDF</v>
      </c>
      <c r="B60" t="s">
        <v>221</v>
      </c>
      <c r="C60" t="s">
        <v>222</v>
      </c>
      <c r="D60" t="s">
        <v>21</v>
      </c>
      <c r="E60" t="s">
        <v>223</v>
      </c>
      <c r="F60" t="s">
        <v>23</v>
      </c>
      <c r="G60" t="s">
        <v>24</v>
      </c>
      <c r="H60" t="s">
        <v>25</v>
      </c>
      <c r="I60" t="s">
        <v>26</v>
      </c>
      <c r="J60" t="s">
        <v>38</v>
      </c>
      <c r="K60" t="s">
        <v>39</v>
      </c>
      <c r="L60" t="s">
        <v>29</v>
      </c>
      <c r="M60" t="s">
        <v>30</v>
      </c>
      <c r="N60" t="s">
        <v>31</v>
      </c>
      <c r="Q60" t="s">
        <v>54</v>
      </c>
      <c r="R60" t="s">
        <v>54</v>
      </c>
    </row>
    <row r="61" spans="1:18" x14ac:dyDescent="0.3">
      <c r="A61" s="2" t="str">
        <f>HYPERLINK(B61,"Oppna PDF")</f>
        <v>Oppna PDF</v>
      </c>
      <c r="B61" t="s">
        <v>221</v>
      </c>
      <c r="C61" t="s">
        <v>224</v>
      </c>
      <c r="D61" t="s">
        <v>21</v>
      </c>
      <c r="E61" t="s">
        <v>223</v>
      </c>
      <c r="F61" t="s">
        <v>23</v>
      </c>
      <c r="G61" t="s">
        <v>24</v>
      </c>
      <c r="H61" t="s">
        <v>25</v>
      </c>
      <c r="I61" t="s">
        <v>26</v>
      </c>
      <c r="J61" t="s">
        <v>48</v>
      </c>
      <c r="K61" t="s">
        <v>49</v>
      </c>
      <c r="L61" t="s">
        <v>29</v>
      </c>
      <c r="M61" t="s">
        <v>30</v>
      </c>
      <c r="N61" t="s">
        <v>31</v>
      </c>
      <c r="Q61" t="s">
        <v>81</v>
      </c>
      <c r="R61" t="s">
        <v>81</v>
      </c>
    </row>
    <row r="62" spans="1:18" x14ac:dyDescent="0.3">
      <c r="A62" s="2" t="str">
        <f>HYPERLINK(B62,"Oppna PDF")</f>
        <v>Oppna PDF</v>
      </c>
      <c r="B62" t="s">
        <v>221</v>
      </c>
      <c r="C62" t="s">
        <v>225</v>
      </c>
      <c r="D62" t="s">
        <v>21</v>
      </c>
      <c r="E62" t="s">
        <v>223</v>
      </c>
      <c r="F62" t="s">
        <v>23</v>
      </c>
      <c r="G62" t="s">
        <v>24</v>
      </c>
      <c r="H62" t="s">
        <v>25</v>
      </c>
      <c r="I62" t="s">
        <v>26</v>
      </c>
      <c r="J62" t="s">
        <v>38</v>
      </c>
      <c r="K62" t="s">
        <v>39</v>
      </c>
      <c r="L62" t="s">
        <v>29</v>
      </c>
      <c r="M62" t="s">
        <v>30</v>
      </c>
      <c r="N62" t="s">
        <v>31</v>
      </c>
      <c r="Q62" t="s">
        <v>83</v>
      </c>
      <c r="R62" t="s">
        <v>83</v>
      </c>
    </row>
    <row r="63" spans="1:18" x14ac:dyDescent="0.3">
      <c r="A63" s="2" t="str">
        <f>HYPERLINK(B63,"Oppna PDF")</f>
        <v>Oppna PDF</v>
      </c>
      <c r="B63" t="s">
        <v>226</v>
      </c>
      <c r="C63" t="s">
        <v>227</v>
      </c>
      <c r="D63" t="s">
        <v>21</v>
      </c>
      <c r="E63" t="s">
        <v>228</v>
      </c>
      <c r="F63" t="s">
        <v>23</v>
      </c>
      <c r="G63" t="s">
        <v>24</v>
      </c>
      <c r="H63" t="s">
        <v>25</v>
      </c>
      <c r="I63" t="s">
        <v>26</v>
      </c>
      <c r="J63" t="s">
        <v>48</v>
      </c>
      <c r="K63" t="s">
        <v>49</v>
      </c>
      <c r="L63" t="s">
        <v>29</v>
      </c>
      <c r="M63" t="s">
        <v>30</v>
      </c>
      <c r="N63" t="s">
        <v>31</v>
      </c>
      <c r="Q63" t="s">
        <v>229</v>
      </c>
      <c r="R63" t="s">
        <v>230</v>
      </c>
    </row>
    <row r="64" spans="1:18" x14ac:dyDescent="0.3">
      <c r="A64" s="2" t="str">
        <f>HYPERLINK(B64,"Oppna PDF")</f>
        <v>Oppna PDF</v>
      </c>
      <c r="B64" t="s">
        <v>226</v>
      </c>
      <c r="C64" t="s">
        <v>231</v>
      </c>
      <c r="D64" t="s">
        <v>21</v>
      </c>
      <c r="E64" t="s">
        <v>228</v>
      </c>
      <c r="F64" t="s">
        <v>23</v>
      </c>
      <c r="G64" t="s">
        <v>24</v>
      </c>
      <c r="H64" t="s">
        <v>25</v>
      </c>
      <c r="I64" t="s">
        <v>26</v>
      </c>
      <c r="J64" t="s">
        <v>34</v>
      </c>
      <c r="K64" t="s">
        <v>35</v>
      </c>
      <c r="L64" t="s">
        <v>29</v>
      </c>
      <c r="M64" t="s">
        <v>30</v>
      </c>
      <c r="N64" t="s">
        <v>31</v>
      </c>
      <c r="Q64" t="s">
        <v>232</v>
      </c>
      <c r="R64" t="s">
        <v>232</v>
      </c>
    </row>
    <row r="65" spans="1:18" x14ac:dyDescent="0.3">
      <c r="A65" s="2" t="str">
        <f>HYPERLINK(B65,"Oppna PDF")</f>
        <v>Oppna PDF</v>
      </c>
      <c r="B65" t="s">
        <v>226</v>
      </c>
      <c r="C65" t="s">
        <v>233</v>
      </c>
      <c r="D65" t="s">
        <v>21</v>
      </c>
      <c r="E65" t="s">
        <v>228</v>
      </c>
      <c r="F65" t="s">
        <v>23</v>
      </c>
      <c r="G65" t="s">
        <v>24</v>
      </c>
      <c r="H65" t="s">
        <v>25</v>
      </c>
      <c r="I65" t="s">
        <v>26</v>
      </c>
      <c r="J65" t="s">
        <v>38</v>
      </c>
      <c r="K65" t="s">
        <v>39</v>
      </c>
      <c r="L65" t="s">
        <v>29</v>
      </c>
      <c r="M65" t="s">
        <v>30</v>
      </c>
      <c r="N65" t="s">
        <v>31</v>
      </c>
      <c r="Q65" t="s">
        <v>40</v>
      </c>
      <c r="R65" t="s">
        <v>40</v>
      </c>
    </row>
    <row r="66" spans="1:18" x14ac:dyDescent="0.3">
      <c r="A66" s="2" t="str">
        <f>HYPERLINK(B66,"Oppna PDF")</f>
        <v>Oppna PDF</v>
      </c>
      <c r="B66" t="s">
        <v>234</v>
      </c>
      <c r="C66" t="s">
        <v>235</v>
      </c>
      <c r="D66" t="s">
        <v>165</v>
      </c>
      <c r="E66" t="s">
        <v>236</v>
      </c>
      <c r="F66" t="s">
        <v>167</v>
      </c>
      <c r="G66" t="s">
        <v>168</v>
      </c>
      <c r="H66" t="s">
        <v>25</v>
      </c>
      <c r="I66" t="s">
        <v>169</v>
      </c>
      <c r="J66" t="s">
        <v>34</v>
      </c>
      <c r="K66" t="s">
        <v>35</v>
      </c>
      <c r="L66" t="s">
        <v>29</v>
      </c>
      <c r="M66" t="s">
        <v>30</v>
      </c>
      <c r="N66" t="s">
        <v>31</v>
      </c>
      <c r="Q66" t="s">
        <v>237</v>
      </c>
      <c r="R66" t="s">
        <v>238</v>
      </c>
    </row>
    <row r="67" spans="1:18" x14ac:dyDescent="0.3">
      <c r="A67" s="2" t="str">
        <f>HYPERLINK(B67,"Oppna PDF")</f>
        <v>Oppna PDF</v>
      </c>
      <c r="B67" t="s">
        <v>239</v>
      </c>
      <c r="C67" t="s">
        <v>240</v>
      </c>
      <c r="D67" t="s">
        <v>21</v>
      </c>
      <c r="E67" t="s">
        <v>241</v>
      </c>
      <c r="F67" t="s">
        <v>23</v>
      </c>
      <c r="G67" t="s">
        <v>24</v>
      </c>
      <c r="H67" t="s">
        <v>25</v>
      </c>
      <c r="I67" t="s">
        <v>26</v>
      </c>
      <c r="J67" t="s">
        <v>38</v>
      </c>
      <c r="K67" t="s">
        <v>39</v>
      </c>
      <c r="L67" t="s">
        <v>29</v>
      </c>
      <c r="M67" t="s">
        <v>30</v>
      </c>
      <c r="N67" t="s">
        <v>31</v>
      </c>
      <c r="Q67" t="s">
        <v>54</v>
      </c>
      <c r="R67" t="s">
        <v>54</v>
      </c>
    </row>
    <row r="68" spans="1:18" x14ac:dyDescent="0.3">
      <c r="A68" s="2" t="str">
        <f>HYPERLINK(B68,"Oppna PDF")</f>
        <v>Oppna PDF</v>
      </c>
      <c r="B68" t="s">
        <v>239</v>
      </c>
      <c r="C68" t="s">
        <v>242</v>
      </c>
      <c r="D68" t="s">
        <v>21</v>
      </c>
      <c r="E68" t="s">
        <v>241</v>
      </c>
      <c r="F68" t="s">
        <v>23</v>
      </c>
      <c r="G68" t="s">
        <v>24</v>
      </c>
      <c r="H68" t="s">
        <v>25</v>
      </c>
      <c r="I68" t="s">
        <v>26</v>
      </c>
      <c r="J68" t="s">
        <v>48</v>
      </c>
      <c r="K68" t="s">
        <v>49</v>
      </c>
      <c r="L68" t="s">
        <v>29</v>
      </c>
      <c r="M68" t="s">
        <v>30</v>
      </c>
      <c r="N68" t="s">
        <v>31</v>
      </c>
      <c r="Q68" t="s">
        <v>81</v>
      </c>
      <c r="R68" t="s">
        <v>81</v>
      </c>
    </row>
    <row r="69" spans="1:18" x14ac:dyDescent="0.3">
      <c r="A69" s="2" t="str">
        <f>HYPERLINK(B69,"Oppna PDF")</f>
        <v>Oppna PDF</v>
      </c>
      <c r="B69" t="s">
        <v>239</v>
      </c>
      <c r="C69" t="s">
        <v>243</v>
      </c>
      <c r="D69" t="s">
        <v>21</v>
      </c>
      <c r="E69" t="s">
        <v>241</v>
      </c>
      <c r="F69" t="s">
        <v>23</v>
      </c>
      <c r="G69" t="s">
        <v>24</v>
      </c>
      <c r="H69" t="s">
        <v>25</v>
      </c>
      <c r="I69" t="s">
        <v>26</v>
      </c>
      <c r="J69" t="s">
        <v>38</v>
      </c>
      <c r="K69" t="s">
        <v>39</v>
      </c>
      <c r="L69" t="s">
        <v>29</v>
      </c>
      <c r="M69" t="s">
        <v>30</v>
      </c>
      <c r="N69" t="s">
        <v>31</v>
      </c>
      <c r="Q69" t="s">
        <v>83</v>
      </c>
      <c r="R69" t="s">
        <v>83</v>
      </c>
    </row>
    <row r="70" spans="1:18" x14ac:dyDescent="0.3">
      <c r="A70" s="2" t="str">
        <f>HYPERLINK(B70,"Oppna PDF")</f>
        <v>Oppna PDF</v>
      </c>
      <c r="B70" t="s">
        <v>244</v>
      </c>
      <c r="C70" t="s">
        <v>245</v>
      </c>
      <c r="D70" t="s">
        <v>21</v>
      </c>
      <c r="E70" t="s">
        <v>246</v>
      </c>
      <c r="F70" t="s">
        <v>23</v>
      </c>
      <c r="G70" t="s">
        <v>24</v>
      </c>
      <c r="H70" t="s">
        <v>25</v>
      </c>
      <c r="I70" t="s">
        <v>26</v>
      </c>
      <c r="J70" t="s">
        <v>34</v>
      </c>
      <c r="K70" t="s">
        <v>35</v>
      </c>
      <c r="L70" t="s">
        <v>142</v>
      </c>
      <c r="M70" t="s">
        <v>30</v>
      </c>
      <c r="N70" t="s">
        <v>31</v>
      </c>
      <c r="Q70" t="s">
        <v>247</v>
      </c>
      <c r="R70" t="s">
        <v>248</v>
      </c>
    </row>
    <row r="71" spans="1:18" x14ac:dyDescent="0.3">
      <c r="A71" s="2" t="str">
        <f>HYPERLINK(B71,"Oppna PDF")</f>
        <v>Oppna PDF</v>
      </c>
      <c r="B71" t="s">
        <v>249</v>
      </c>
      <c r="C71" t="s">
        <v>250</v>
      </c>
      <c r="D71" t="s">
        <v>106</v>
      </c>
      <c r="E71" t="s">
        <v>251</v>
      </c>
      <c r="H71" t="s">
        <v>61</v>
      </c>
      <c r="I71" t="s">
        <v>108</v>
      </c>
      <c r="J71" t="s">
        <v>87</v>
      </c>
      <c r="K71" t="s">
        <v>88</v>
      </c>
      <c r="L71" t="s">
        <v>29</v>
      </c>
      <c r="M71" t="s">
        <v>30</v>
      </c>
      <c r="N71" t="s">
        <v>31</v>
      </c>
      <c r="Q71" t="s">
        <v>252</v>
      </c>
      <c r="R71" t="s">
        <v>252</v>
      </c>
    </row>
    <row r="72" spans="1:18" x14ac:dyDescent="0.3">
      <c r="A72" s="2" t="str">
        <f>HYPERLINK(B72,"Oppna PDF")</f>
        <v>Oppna PDF</v>
      </c>
      <c r="B72" t="s">
        <v>249</v>
      </c>
      <c r="C72" t="s">
        <v>253</v>
      </c>
      <c r="D72" t="s">
        <v>106</v>
      </c>
      <c r="E72" t="s">
        <v>251</v>
      </c>
      <c r="H72" t="s">
        <v>61</v>
      </c>
      <c r="I72" t="s">
        <v>108</v>
      </c>
      <c r="J72" t="s">
        <v>34</v>
      </c>
      <c r="K72" t="s">
        <v>35</v>
      </c>
      <c r="L72" t="s">
        <v>142</v>
      </c>
      <c r="M72" t="s">
        <v>30</v>
      </c>
      <c r="N72" t="s">
        <v>31</v>
      </c>
      <c r="Q72" t="s">
        <v>254</v>
      </c>
      <c r="R72" t="s">
        <v>254</v>
      </c>
    </row>
    <row r="73" spans="1:18" x14ac:dyDescent="0.3">
      <c r="A73" s="2" t="str">
        <f>HYPERLINK(B73,"Oppna PDF")</f>
        <v>Oppna PDF</v>
      </c>
      <c r="B73" t="s">
        <v>255</v>
      </c>
      <c r="C73" t="s">
        <v>256</v>
      </c>
      <c r="D73" t="s">
        <v>257</v>
      </c>
      <c r="E73" t="s">
        <v>258</v>
      </c>
      <c r="H73" t="s">
        <v>61</v>
      </c>
      <c r="I73" t="s">
        <v>259</v>
      </c>
      <c r="J73" t="s">
        <v>34</v>
      </c>
      <c r="K73" t="s">
        <v>35</v>
      </c>
      <c r="L73" t="s">
        <v>29</v>
      </c>
      <c r="M73" t="s">
        <v>30</v>
      </c>
      <c r="N73" t="s">
        <v>31</v>
      </c>
      <c r="Q73" t="s">
        <v>260</v>
      </c>
      <c r="R73" t="s">
        <v>261</v>
      </c>
    </row>
    <row r="74" spans="1:18" x14ac:dyDescent="0.3">
      <c r="A74" s="2" t="str">
        <f>HYPERLINK(B74,"Oppna PDF")</f>
        <v>Oppna PDF</v>
      </c>
      <c r="B74" t="s">
        <v>262</v>
      </c>
      <c r="C74" t="s">
        <v>263</v>
      </c>
      <c r="D74" t="s">
        <v>264</v>
      </c>
      <c r="E74" t="s">
        <v>265</v>
      </c>
      <c r="F74" t="s">
        <v>266</v>
      </c>
      <c r="G74" t="s">
        <v>267</v>
      </c>
      <c r="H74" t="s">
        <v>268</v>
      </c>
      <c r="I74" t="s">
        <v>269</v>
      </c>
      <c r="J74" t="s">
        <v>38</v>
      </c>
      <c r="K74" t="s">
        <v>39</v>
      </c>
      <c r="L74" t="s">
        <v>29</v>
      </c>
      <c r="M74" t="s">
        <v>30</v>
      </c>
      <c r="N74" t="s">
        <v>31</v>
      </c>
      <c r="Q74" t="s">
        <v>270</v>
      </c>
      <c r="R74" t="s">
        <v>270</v>
      </c>
    </row>
    <row r="75" spans="1:18" x14ac:dyDescent="0.3">
      <c r="A75" s="2" t="str">
        <f>HYPERLINK(B75,"Oppna PDF")</f>
        <v>Oppna PDF</v>
      </c>
      <c r="B75" t="s">
        <v>262</v>
      </c>
      <c r="C75" t="s">
        <v>271</v>
      </c>
      <c r="D75" t="s">
        <v>264</v>
      </c>
      <c r="E75" t="s">
        <v>265</v>
      </c>
      <c r="F75" t="s">
        <v>266</v>
      </c>
      <c r="G75" t="s">
        <v>267</v>
      </c>
      <c r="H75" t="s">
        <v>268</v>
      </c>
      <c r="I75" t="s">
        <v>269</v>
      </c>
      <c r="J75" t="s">
        <v>34</v>
      </c>
      <c r="K75" t="s">
        <v>35</v>
      </c>
      <c r="L75" t="s">
        <v>29</v>
      </c>
      <c r="M75" t="s">
        <v>30</v>
      </c>
      <c r="N75" t="s">
        <v>31</v>
      </c>
      <c r="Q75" t="s">
        <v>272</v>
      </c>
      <c r="R75" t="s">
        <v>272</v>
      </c>
    </row>
    <row r="76" spans="1:18" x14ac:dyDescent="0.3">
      <c r="A76" s="2" t="str">
        <f>HYPERLINK(B76,"Oppna PDF")</f>
        <v>Oppna PDF</v>
      </c>
      <c r="B76" t="s">
        <v>262</v>
      </c>
      <c r="C76" t="s">
        <v>273</v>
      </c>
      <c r="D76" t="s">
        <v>264</v>
      </c>
      <c r="E76" t="s">
        <v>265</v>
      </c>
      <c r="F76" t="s">
        <v>266</v>
      </c>
      <c r="G76" t="s">
        <v>267</v>
      </c>
      <c r="H76" t="s">
        <v>268</v>
      </c>
      <c r="I76" t="s">
        <v>269</v>
      </c>
      <c r="J76" t="s">
        <v>38</v>
      </c>
      <c r="K76" t="s">
        <v>39</v>
      </c>
      <c r="L76" t="s">
        <v>29</v>
      </c>
      <c r="M76" t="s">
        <v>30</v>
      </c>
      <c r="N76" t="s">
        <v>31</v>
      </c>
      <c r="Q76" t="s">
        <v>274</v>
      </c>
      <c r="R76" t="s">
        <v>274</v>
      </c>
    </row>
    <row r="77" spans="1:18" x14ac:dyDescent="0.3">
      <c r="A77" s="2" t="str">
        <f>HYPERLINK(B77,"Oppna PDF")</f>
        <v>Oppna PDF</v>
      </c>
      <c r="B77" t="s">
        <v>275</v>
      </c>
      <c r="C77" t="s">
        <v>276</v>
      </c>
      <c r="D77" t="s">
        <v>264</v>
      </c>
      <c r="E77" t="s">
        <v>277</v>
      </c>
      <c r="F77" t="s">
        <v>266</v>
      </c>
      <c r="G77" t="s">
        <v>267</v>
      </c>
      <c r="H77" t="s">
        <v>268</v>
      </c>
      <c r="I77" t="s">
        <v>269</v>
      </c>
      <c r="J77" t="s">
        <v>27</v>
      </c>
      <c r="K77" t="s">
        <v>28</v>
      </c>
      <c r="L77" t="s">
        <v>142</v>
      </c>
      <c r="M77" t="s">
        <v>30</v>
      </c>
      <c r="N77" t="s">
        <v>31</v>
      </c>
      <c r="Q77" t="s">
        <v>278</v>
      </c>
      <c r="R77" t="s">
        <v>279</v>
      </c>
    </row>
    <row r="78" spans="1:18" x14ac:dyDescent="0.3">
      <c r="A78" s="2" t="str">
        <f>HYPERLINK(B78,"Oppna PDF")</f>
        <v>Oppna PDF</v>
      </c>
      <c r="B78" t="s">
        <v>275</v>
      </c>
      <c r="C78" t="s">
        <v>280</v>
      </c>
      <c r="D78" t="s">
        <v>264</v>
      </c>
      <c r="E78" t="s">
        <v>277</v>
      </c>
      <c r="F78" t="s">
        <v>266</v>
      </c>
      <c r="G78" t="s">
        <v>267</v>
      </c>
      <c r="H78" t="s">
        <v>268</v>
      </c>
      <c r="I78" t="s">
        <v>269</v>
      </c>
      <c r="J78" t="s">
        <v>34</v>
      </c>
      <c r="K78" t="s">
        <v>35</v>
      </c>
      <c r="L78" t="s">
        <v>142</v>
      </c>
      <c r="M78" t="s">
        <v>30</v>
      </c>
      <c r="N78" t="s">
        <v>31</v>
      </c>
      <c r="Q78" t="s">
        <v>281</v>
      </c>
      <c r="R78" t="s">
        <v>281</v>
      </c>
    </row>
    <row r="79" spans="1:18" x14ac:dyDescent="0.3">
      <c r="A79" s="2" t="str">
        <f>HYPERLINK(B79,"Oppna PDF")</f>
        <v>Oppna PDF</v>
      </c>
      <c r="B79" t="s">
        <v>282</v>
      </c>
      <c r="C79" t="s">
        <v>283</v>
      </c>
      <c r="D79" t="s">
        <v>284</v>
      </c>
      <c r="E79" t="s">
        <v>285</v>
      </c>
      <c r="H79" t="s">
        <v>25</v>
      </c>
      <c r="I79" t="s">
        <v>286</v>
      </c>
      <c r="J79" t="s">
        <v>91</v>
      </c>
      <c r="K79" t="s">
        <v>92</v>
      </c>
      <c r="L79" t="s">
        <v>29</v>
      </c>
      <c r="M79" t="s">
        <v>30</v>
      </c>
      <c r="N79" t="s">
        <v>31</v>
      </c>
      <c r="Q79" t="s">
        <v>287</v>
      </c>
      <c r="R79" t="s">
        <v>288</v>
      </c>
    </row>
    <row r="80" spans="1:18" x14ac:dyDescent="0.3">
      <c r="A80" s="2" t="str">
        <f>HYPERLINK(B80,"Oppna PDF")</f>
        <v>Oppna PDF</v>
      </c>
      <c r="B80" t="s">
        <v>282</v>
      </c>
      <c r="C80" t="s">
        <v>289</v>
      </c>
      <c r="D80" t="s">
        <v>284</v>
      </c>
      <c r="E80" t="s">
        <v>285</v>
      </c>
      <c r="H80" t="s">
        <v>25</v>
      </c>
      <c r="I80" t="s">
        <v>286</v>
      </c>
      <c r="J80" t="s">
        <v>91</v>
      </c>
      <c r="K80" t="s">
        <v>92</v>
      </c>
      <c r="L80" t="s">
        <v>29</v>
      </c>
      <c r="M80" t="s">
        <v>30</v>
      </c>
      <c r="N80" t="s">
        <v>31</v>
      </c>
      <c r="Q80" t="s">
        <v>290</v>
      </c>
      <c r="R80" t="s">
        <v>291</v>
      </c>
    </row>
    <row r="81" spans="1:18" x14ac:dyDescent="0.3">
      <c r="A81" s="2" t="str">
        <f>HYPERLINK(B81,"Oppna PDF")</f>
        <v>Oppna PDF</v>
      </c>
      <c r="B81" t="s">
        <v>282</v>
      </c>
      <c r="C81" t="s">
        <v>292</v>
      </c>
      <c r="D81" t="s">
        <v>284</v>
      </c>
      <c r="E81" t="s">
        <v>285</v>
      </c>
      <c r="H81" t="s">
        <v>25</v>
      </c>
      <c r="I81" t="s">
        <v>286</v>
      </c>
      <c r="J81" t="s">
        <v>91</v>
      </c>
      <c r="K81" t="s">
        <v>92</v>
      </c>
      <c r="L81" t="s">
        <v>29</v>
      </c>
      <c r="M81" t="s">
        <v>30</v>
      </c>
      <c r="N81" t="s">
        <v>31</v>
      </c>
      <c r="Q81" t="s">
        <v>293</v>
      </c>
      <c r="R81" t="s">
        <v>288</v>
      </c>
    </row>
    <row r="82" spans="1:18" x14ac:dyDescent="0.3">
      <c r="A82" s="2" t="str">
        <f>HYPERLINK(B82,"Oppna PDF")</f>
        <v>Oppna PDF</v>
      </c>
      <c r="B82" t="s">
        <v>294</v>
      </c>
      <c r="C82" t="s">
        <v>295</v>
      </c>
      <c r="D82" t="s">
        <v>284</v>
      </c>
      <c r="E82" t="s">
        <v>296</v>
      </c>
      <c r="H82" t="s">
        <v>25</v>
      </c>
      <c r="I82" t="s">
        <v>286</v>
      </c>
      <c r="J82" t="s">
        <v>27</v>
      </c>
      <c r="K82" t="s">
        <v>28</v>
      </c>
      <c r="L82" t="s">
        <v>29</v>
      </c>
      <c r="M82" t="s">
        <v>30</v>
      </c>
      <c r="N82" t="s">
        <v>31</v>
      </c>
      <c r="Q82" t="s">
        <v>297</v>
      </c>
      <c r="R82" t="s">
        <v>298</v>
      </c>
    </row>
    <row r="83" spans="1:18" x14ac:dyDescent="0.3">
      <c r="A83" s="2" t="str">
        <f>HYPERLINK(B83,"Oppna PDF")</f>
        <v>Oppna PDF</v>
      </c>
      <c r="B83" t="s">
        <v>294</v>
      </c>
      <c r="C83" t="s">
        <v>299</v>
      </c>
      <c r="D83" t="s">
        <v>284</v>
      </c>
      <c r="E83" t="s">
        <v>296</v>
      </c>
      <c r="H83" t="s">
        <v>25</v>
      </c>
      <c r="I83" t="s">
        <v>286</v>
      </c>
      <c r="J83" t="s">
        <v>87</v>
      </c>
      <c r="K83" t="s">
        <v>88</v>
      </c>
      <c r="L83" t="s">
        <v>300</v>
      </c>
      <c r="M83" t="s">
        <v>30</v>
      </c>
      <c r="N83" t="s">
        <v>31</v>
      </c>
      <c r="Q83" t="s">
        <v>301</v>
      </c>
      <c r="R83" t="s">
        <v>301</v>
      </c>
    </row>
    <row r="84" spans="1:18" x14ac:dyDescent="0.3">
      <c r="A84" s="2" t="str">
        <f>HYPERLINK(B84,"Oppna PDF")</f>
        <v>Oppna PDF</v>
      </c>
      <c r="B84" t="s">
        <v>294</v>
      </c>
      <c r="C84" t="s">
        <v>302</v>
      </c>
      <c r="D84" t="s">
        <v>284</v>
      </c>
      <c r="E84" t="s">
        <v>296</v>
      </c>
      <c r="H84" t="s">
        <v>25</v>
      </c>
      <c r="I84" t="s">
        <v>286</v>
      </c>
      <c r="J84" t="s">
        <v>91</v>
      </c>
      <c r="K84" t="s">
        <v>92</v>
      </c>
      <c r="L84" t="s">
        <v>29</v>
      </c>
      <c r="M84" t="s">
        <v>30</v>
      </c>
      <c r="N84" t="s">
        <v>31</v>
      </c>
      <c r="Q84" t="s">
        <v>303</v>
      </c>
      <c r="R84" t="s">
        <v>303</v>
      </c>
    </row>
    <row r="85" spans="1:18" x14ac:dyDescent="0.3">
      <c r="A85" s="2" t="str">
        <f>HYPERLINK(B85,"Oppna PDF")</f>
        <v>Oppna PDF</v>
      </c>
      <c r="B85" t="s">
        <v>304</v>
      </c>
      <c r="C85" t="s">
        <v>305</v>
      </c>
      <c r="D85" t="s">
        <v>284</v>
      </c>
      <c r="E85" t="s">
        <v>306</v>
      </c>
      <c r="H85" t="s">
        <v>25</v>
      </c>
      <c r="I85" t="s">
        <v>286</v>
      </c>
      <c r="J85" t="s">
        <v>91</v>
      </c>
      <c r="K85" t="s">
        <v>92</v>
      </c>
      <c r="L85" t="s">
        <v>29</v>
      </c>
      <c r="M85" t="s">
        <v>30</v>
      </c>
      <c r="N85" t="s">
        <v>31</v>
      </c>
      <c r="Q85" t="s">
        <v>307</v>
      </c>
      <c r="R85" t="s">
        <v>308</v>
      </c>
    </row>
    <row r="86" spans="1:18" x14ac:dyDescent="0.3">
      <c r="A86" s="2" t="str">
        <f>HYPERLINK(B86,"Oppna PDF")</f>
        <v>Oppna PDF</v>
      </c>
      <c r="B86" t="s">
        <v>304</v>
      </c>
      <c r="C86" t="s">
        <v>309</v>
      </c>
      <c r="D86" t="s">
        <v>284</v>
      </c>
      <c r="E86" t="s">
        <v>306</v>
      </c>
      <c r="H86" t="s">
        <v>25</v>
      </c>
      <c r="I86" t="s">
        <v>286</v>
      </c>
      <c r="J86" t="s">
        <v>27</v>
      </c>
      <c r="K86" t="s">
        <v>28</v>
      </c>
      <c r="L86" t="s">
        <v>29</v>
      </c>
      <c r="M86" t="s">
        <v>30</v>
      </c>
      <c r="N86" t="s">
        <v>31</v>
      </c>
      <c r="Q86" t="s">
        <v>310</v>
      </c>
      <c r="R86" t="s">
        <v>310</v>
      </c>
    </row>
    <row r="87" spans="1:18" x14ac:dyDescent="0.3">
      <c r="A87" s="2" t="str">
        <f>HYPERLINK(B87,"Oppna PDF")</f>
        <v>Oppna PDF</v>
      </c>
      <c r="B87" t="s">
        <v>304</v>
      </c>
      <c r="C87" t="s">
        <v>311</v>
      </c>
      <c r="D87" t="s">
        <v>284</v>
      </c>
      <c r="E87" t="s">
        <v>306</v>
      </c>
      <c r="H87" t="s">
        <v>25</v>
      </c>
      <c r="I87" t="s">
        <v>286</v>
      </c>
      <c r="J87" t="s">
        <v>34</v>
      </c>
      <c r="K87" t="s">
        <v>35</v>
      </c>
      <c r="L87" t="s">
        <v>142</v>
      </c>
      <c r="M87" t="s">
        <v>30</v>
      </c>
      <c r="N87" t="s">
        <v>31</v>
      </c>
      <c r="Q87" t="s">
        <v>312</v>
      </c>
      <c r="R87" t="s">
        <v>312</v>
      </c>
    </row>
    <row r="88" spans="1:18" x14ac:dyDescent="0.3">
      <c r="A88" s="2" t="str">
        <f>HYPERLINK(B88,"Oppna PDF")</f>
        <v>Oppna PDF</v>
      </c>
      <c r="B88" t="s">
        <v>313</v>
      </c>
      <c r="C88" t="s">
        <v>314</v>
      </c>
      <c r="D88" t="s">
        <v>284</v>
      </c>
      <c r="E88" t="s">
        <v>315</v>
      </c>
      <c r="H88" t="s">
        <v>25</v>
      </c>
      <c r="I88" t="s">
        <v>286</v>
      </c>
      <c r="J88" t="s">
        <v>38</v>
      </c>
      <c r="K88" t="s">
        <v>39</v>
      </c>
      <c r="L88" t="s">
        <v>29</v>
      </c>
      <c r="M88" t="s">
        <v>30</v>
      </c>
      <c r="N88" t="s">
        <v>31</v>
      </c>
      <c r="Q88" t="s">
        <v>316</v>
      </c>
      <c r="R88" t="s">
        <v>316</v>
      </c>
    </row>
    <row r="89" spans="1:18" x14ac:dyDescent="0.3">
      <c r="A89" s="2" t="str">
        <f>HYPERLINK(B89,"Oppna PDF")</f>
        <v>Oppna PDF</v>
      </c>
      <c r="B89" t="s">
        <v>313</v>
      </c>
      <c r="C89" t="s">
        <v>317</v>
      </c>
      <c r="D89" t="s">
        <v>284</v>
      </c>
      <c r="E89" t="s">
        <v>315</v>
      </c>
      <c r="H89" t="s">
        <v>25</v>
      </c>
      <c r="I89" t="s">
        <v>286</v>
      </c>
      <c r="J89" t="s">
        <v>27</v>
      </c>
      <c r="K89" t="s">
        <v>28</v>
      </c>
      <c r="L89" t="s">
        <v>29</v>
      </c>
      <c r="M89" t="s">
        <v>30</v>
      </c>
      <c r="N89" t="s">
        <v>31</v>
      </c>
      <c r="Q89" t="s">
        <v>318</v>
      </c>
      <c r="R89" t="s">
        <v>318</v>
      </c>
    </row>
    <row r="90" spans="1:18" x14ac:dyDescent="0.3">
      <c r="A90" s="2" t="str">
        <f>HYPERLINK(B90,"Oppna PDF")</f>
        <v>Oppna PDF</v>
      </c>
      <c r="B90" t="s">
        <v>313</v>
      </c>
      <c r="C90" t="s">
        <v>319</v>
      </c>
      <c r="D90" t="s">
        <v>284</v>
      </c>
      <c r="E90" t="s">
        <v>315</v>
      </c>
      <c r="H90" t="s">
        <v>25</v>
      </c>
      <c r="I90" t="s">
        <v>286</v>
      </c>
      <c r="J90" t="s">
        <v>91</v>
      </c>
      <c r="K90" t="s">
        <v>92</v>
      </c>
      <c r="L90" t="s">
        <v>29</v>
      </c>
      <c r="M90" t="s">
        <v>30</v>
      </c>
      <c r="N90" t="s">
        <v>31</v>
      </c>
      <c r="Q90" t="s">
        <v>320</v>
      </c>
      <c r="R90" t="s">
        <v>320</v>
      </c>
    </row>
    <row r="91" spans="1:18" x14ac:dyDescent="0.3">
      <c r="A91" s="2" t="str">
        <f>HYPERLINK(B91,"Oppna PDF")</f>
        <v>Oppna PDF</v>
      </c>
      <c r="B91" t="s">
        <v>321</v>
      </c>
      <c r="C91" t="s">
        <v>322</v>
      </c>
      <c r="D91" t="s">
        <v>284</v>
      </c>
      <c r="E91" t="s">
        <v>323</v>
      </c>
      <c r="H91" t="s">
        <v>25</v>
      </c>
      <c r="I91" t="s">
        <v>286</v>
      </c>
      <c r="J91" t="s">
        <v>38</v>
      </c>
      <c r="K91" t="s">
        <v>39</v>
      </c>
      <c r="L91" t="s">
        <v>29</v>
      </c>
      <c r="M91" t="s">
        <v>30</v>
      </c>
      <c r="N91" t="s">
        <v>31</v>
      </c>
      <c r="Q91" t="s">
        <v>316</v>
      </c>
      <c r="R91" t="s">
        <v>316</v>
      </c>
    </row>
    <row r="92" spans="1:18" x14ac:dyDescent="0.3">
      <c r="A92" s="2" t="str">
        <f>HYPERLINK(B92,"Oppna PDF")</f>
        <v>Oppna PDF</v>
      </c>
      <c r="B92" t="s">
        <v>321</v>
      </c>
      <c r="C92" t="s">
        <v>324</v>
      </c>
      <c r="D92" t="s">
        <v>284</v>
      </c>
      <c r="E92" t="s">
        <v>323</v>
      </c>
      <c r="H92" t="s">
        <v>25</v>
      </c>
      <c r="I92" t="s">
        <v>286</v>
      </c>
      <c r="J92" t="s">
        <v>87</v>
      </c>
      <c r="K92" t="s">
        <v>88</v>
      </c>
      <c r="L92" t="s">
        <v>29</v>
      </c>
      <c r="M92" t="s">
        <v>30</v>
      </c>
      <c r="N92" t="s">
        <v>31</v>
      </c>
      <c r="Q92" t="s">
        <v>325</v>
      </c>
      <c r="R92" t="s">
        <v>325</v>
      </c>
    </row>
    <row r="93" spans="1:18" x14ac:dyDescent="0.3">
      <c r="A93" s="2" t="str">
        <f>HYPERLINK(B93,"Oppna PDF")</f>
        <v>Oppna PDF</v>
      </c>
      <c r="B93" t="s">
        <v>321</v>
      </c>
      <c r="C93" t="s">
        <v>326</v>
      </c>
      <c r="D93" t="s">
        <v>284</v>
      </c>
      <c r="E93" t="s">
        <v>323</v>
      </c>
      <c r="H93" t="s">
        <v>25</v>
      </c>
      <c r="I93" t="s">
        <v>286</v>
      </c>
      <c r="J93" t="s">
        <v>34</v>
      </c>
      <c r="K93" t="s">
        <v>35</v>
      </c>
      <c r="L93" t="s">
        <v>29</v>
      </c>
      <c r="M93" t="s">
        <v>30</v>
      </c>
      <c r="N93" t="s">
        <v>31</v>
      </c>
      <c r="Q93" t="s">
        <v>327</v>
      </c>
      <c r="R93" t="s">
        <v>327</v>
      </c>
    </row>
    <row r="94" spans="1:18" x14ac:dyDescent="0.3">
      <c r="A94" s="2" t="str">
        <f>HYPERLINK(B94,"Oppna PDF")</f>
        <v>Oppna PDF</v>
      </c>
      <c r="B94" t="s">
        <v>328</v>
      </c>
      <c r="C94" t="s">
        <v>329</v>
      </c>
      <c r="D94" t="s">
        <v>284</v>
      </c>
      <c r="E94" t="s">
        <v>330</v>
      </c>
      <c r="H94" t="s">
        <v>25</v>
      </c>
      <c r="I94" t="s">
        <v>286</v>
      </c>
      <c r="J94" t="s">
        <v>91</v>
      </c>
      <c r="K94" t="s">
        <v>92</v>
      </c>
      <c r="L94" t="s">
        <v>29</v>
      </c>
      <c r="M94" t="s">
        <v>30</v>
      </c>
      <c r="N94" t="s">
        <v>31</v>
      </c>
      <c r="Q94" t="s">
        <v>331</v>
      </c>
      <c r="R94" t="s">
        <v>331</v>
      </c>
    </row>
    <row r="95" spans="1:18" x14ac:dyDescent="0.3">
      <c r="A95" s="2" t="str">
        <f>HYPERLINK(B95,"Oppna PDF")</f>
        <v>Oppna PDF</v>
      </c>
      <c r="B95" t="s">
        <v>328</v>
      </c>
      <c r="C95" t="s">
        <v>332</v>
      </c>
      <c r="D95" t="s">
        <v>284</v>
      </c>
      <c r="E95" t="s">
        <v>330</v>
      </c>
      <c r="H95" t="s">
        <v>25</v>
      </c>
      <c r="I95" t="s">
        <v>286</v>
      </c>
      <c r="J95" t="s">
        <v>38</v>
      </c>
      <c r="K95" t="s">
        <v>39</v>
      </c>
      <c r="L95" t="s">
        <v>29</v>
      </c>
      <c r="M95" t="s">
        <v>30</v>
      </c>
      <c r="N95" t="s">
        <v>31</v>
      </c>
      <c r="Q95" t="s">
        <v>333</v>
      </c>
      <c r="R95" t="s">
        <v>333</v>
      </c>
    </row>
    <row r="96" spans="1:18" x14ac:dyDescent="0.3">
      <c r="A96" s="2" t="str">
        <f>HYPERLINK(B96,"Oppna PDF")</f>
        <v>Oppna PDF</v>
      </c>
      <c r="B96" t="s">
        <v>328</v>
      </c>
      <c r="C96" t="s">
        <v>334</v>
      </c>
      <c r="D96" t="s">
        <v>284</v>
      </c>
      <c r="E96" t="s">
        <v>330</v>
      </c>
      <c r="H96" t="s">
        <v>25</v>
      </c>
      <c r="I96" t="s">
        <v>286</v>
      </c>
      <c r="J96" t="s">
        <v>38</v>
      </c>
      <c r="K96" t="s">
        <v>39</v>
      </c>
      <c r="L96" t="s">
        <v>29</v>
      </c>
      <c r="M96" t="s">
        <v>30</v>
      </c>
      <c r="N96" t="s">
        <v>31</v>
      </c>
      <c r="Q96" t="s">
        <v>335</v>
      </c>
      <c r="R96" t="s">
        <v>335</v>
      </c>
    </row>
    <row r="97" spans="1:18" x14ac:dyDescent="0.3">
      <c r="A97" s="2" t="str">
        <f>HYPERLINK(B97,"Oppna PDF")</f>
        <v>Oppna PDF</v>
      </c>
      <c r="B97" t="s">
        <v>336</v>
      </c>
      <c r="C97" t="s">
        <v>337</v>
      </c>
      <c r="D97" t="s">
        <v>284</v>
      </c>
      <c r="E97" t="s">
        <v>338</v>
      </c>
      <c r="H97" t="s">
        <v>25</v>
      </c>
      <c r="I97" t="s">
        <v>286</v>
      </c>
      <c r="J97" t="s">
        <v>38</v>
      </c>
      <c r="K97" t="s">
        <v>39</v>
      </c>
      <c r="L97" t="s">
        <v>29</v>
      </c>
      <c r="M97" t="s">
        <v>30</v>
      </c>
      <c r="N97" t="s">
        <v>31</v>
      </c>
      <c r="Q97" t="s">
        <v>339</v>
      </c>
      <c r="R97" t="s">
        <v>339</v>
      </c>
    </row>
    <row r="98" spans="1:18" x14ac:dyDescent="0.3">
      <c r="A98" s="2" t="str">
        <f>HYPERLINK(B98,"Oppna PDF")</f>
        <v>Oppna PDF</v>
      </c>
      <c r="B98" t="s">
        <v>336</v>
      </c>
      <c r="C98" t="s">
        <v>340</v>
      </c>
      <c r="D98" t="s">
        <v>284</v>
      </c>
      <c r="E98" t="s">
        <v>338</v>
      </c>
      <c r="H98" t="s">
        <v>25</v>
      </c>
      <c r="I98" t="s">
        <v>286</v>
      </c>
      <c r="J98" t="s">
        <v>27</v>
      </c>
      <c r="K98" t="s">
        <v>28</v>
      </c>
      <c r="L98" t="s">
        <v>29</v>
      </c>
      <c r="M98" t="s">
        <v>30</v>
      </c>
      <c r="N98" t="s">
        <v>31</v>
      </c>
      <c r="Q98" t="s">
        <v>341</v>
      </c>
      <c r="R98" t="s">
        <v>341</v>
      </c>
    </row>
    <row r="99" spans="1:18" x14ac:dyDescent="0.3">
      <c r="A99" s="2" t="str">
        <f>HYPERLINK(B99,"Oppna PDF")</f>
        <v>Oppna PDF</v>
      </c>
      <c r="B99" t="s">
        <v>336</v>
      </c>
      <c r="C99" t="s">
        <v>342</v>
      </c>
      <c r="D99" t="s">
        <v>284</v>
      </c>
      <c r="E99" t="s">
        <v>338</v>
      </c>
      <c r="H99" t="s">
        <v>25</v>
      </c>
      <c r="I99" t="s">
        <v>286</v>
      </c>
      <c r="J99" t="s">
        <v>87</v>
      </c>
      <c r="K99" t="s">
        <v>88</v>
      </c>
      <c r="L99" t="s">
        <v>29</v>
      </c>
      <c r="M99" t="s">
        <v>30</v>
      </c>
      <c r="N99" t="s">
        <v>31</v>
      </c>
      <c r="Q99" t="s">
        <v>343</v>
      </c>
      <c r="R99" t="s">
        <v>343</v>
      </c>
    </row>
    <row r="100" spans="1:18" x14ac:dyDescent="0.3">
      <c r="A100" s="2" t="str">
        <f>HYPERLINK(B100,"Oppna PDF")</f>
        <v>Oppna PDF</v>
      </c>
      <c r="B100" t="s">
        <v>344</v>
      </c>
      <c r="C100" t="s">
        <v>345</v>
      </c>
      <c r="D100" t="s">
        <v>284</v>
      </c>
      <c r="E100" t="s">
        <v>346</v>
      </c>
      <c r="H100" t="s">
        <v>25</v>
      </c>
      <c r="I100" t="s">
        <v>286</v>
      </c>
      <c r="J100" t="s">
        <v>91</v>
      </c>
      <c r="K100" t="s">
        <v>92</v>
      </c>
      <c r="L100" t="s">
        <v>29</v>
      </c>
      <c r="M100" t="s">
        <v>30</v>
      </c>
      <c r="N100" t="s">
        <v>31</v>
      </c>
      <c r="Q100" t="s">
        <v>347</v>
      </c>
      <c r="R100" t="s">
        <v>347</v>
      </c>
    </row>
    <row r="101" spans="1:18" x14ac:dyDescent="0.3">
      <c r="A101" s="2" t="str">
        <f>HYPERLINK(B101,"Oppna PDF")</f>
        <v>Oppna PDF</v>
      </c>
      <c r="B101" t="s">
        <v>344</v>
      </c>
      <c r="C101" t="s">
        <v>348</v>
      </c>
      <c r="D101" t="s">
        <v>284</v>
      </c>
      <c r="E101" t="s">
        <v>346</v>
      </c>
      <c r="H101" t="s">
        <v>25</v>
      </c>
      <c r="I101" t="s">
        <v>286</v>
      </c>
      <c r="J101" t="s">
        <v>91</v>
      </c>
      <c r="K101" t="s">
        <v>92</v>
      </c>
      <c r="L101" t="s">
        <v>29</v>
      </c>
      <c r="M101" t="s">
        <v>30</v>
      </c>
      <c r="N101" t="s">
        <v>31</v>
      </c>
      <c r="Q101" t="s">
        <v>349</v>
      </c>
      <c r="R101" t="s">
        <v>349</v>
      </c>
    </row>
    <row r="102" spans="1:18" x14ac:dyDescent="0.3">
      <c r="A102" s="2" t="str">
        <f>HYPERLINK(B102,"Oppna PDF")</f>
        <v>Oppna PDF</v>
      </c>
      <c r="B102" t="s">
        <v>344</v>
      </c>
      <c r="C102" t="s">
        <v>350</v>
      </c>
      <c r="D102" t="s">
        <v>284</v>
      </c>
      <c r="E102" t="s">
        <v>346</v>
      </c>
      <c r="H102" t="s">
        <v>25</v>
      </c>
      <c r="I102" t="s">
        <v>286</v>
      </c>
      <c r="J102" t="s">
        <v>34</v>
      </c>
      <c r="K102" t="s">
        <v>35</v>
      </c>
      <c r="L102" t="s">
        <v>29</v>
      </c>
      <c r="M102" t="s">
        <v>30</v>
      </c>
      <c r="N102" t="s">
        <v>31</v>
      </c>
      <c r="Q102" t="s">
        <v>351</v>
      </c>
      <c r="R102" t="s">
        <v>351</v>
      </c>
    </row>
    <row r="103" spans="1:18" x14ac:dyDescent="0.3">
      <c r="A103" s="2" t="str">
        <f>HYPERLINK(B103,"Oppna PDF")</f>
        <v>Oppna PDF</v>
      </c>
      <c r="B103" t="s">
        <v>352</v>
      </c>
      <c r="C103" t="s">
        <v>353</v>
      </c>
      <c r="D103" t="s">
        <v>284</v>
      </c>
      <c r="E103" t="s">
        <v>354</v>
      </c>
      <c r="H103" t="s">
        <v>25</v>
      </c>
      <c r="I103" t="s">
        <v>286</v>
      </c>
      <c r="J103" t="s">
        <v>27</v>
      </c>
      <c r="K103" t="s">
        <v>28</v>
      </c>
      <c r="L103" t="s">
        <v>29</v>
      </c>
      <c r="M103" t="s">
        <v>30</v>
      </c>
      <c r="N103" t="s">
        <v>31</v>
      </c>
      <c r="Q103" t="s">
        <v>355</v>
      </c>
      <c r="R103" t="s">
        <v>355</v>
      </c>
    </row>
    <row r="104" spans="1:18" x14ac:dyDescent="0.3">
      <c r="A104" s="2" t="str">
        <f>HYPERLINK(B104,"Oppna PDF")</f>
        <v>Oppna PDF</v>
      </c>
      <c r="B104" t="s">
        <v>352</v>
      </c>
      <c r="C104" t="s">
        <v>356</v>
      </c>
      <c r="D104" t="s">
        <v>284</v>
      </c>
      <c r="E104" t="s">
        <v>354</v>
      </c>
      <c r="H104" t="s">
        <v>25</v>
      </c>
      <c r="I104" t="s">
        <v>286</v>
      </c>
      <c r="J104" t="s">
        <v>87</v>
      </c>
      <c r="K104" t="s">
        <v>88</v>
      </c>
      <c r="L104" t="s">
        <v>29</v>
      </c>
      <c r="M104" t="s">
        <v>30</v>
      </c>
      <c r="N104" t="s">
        <v>31</v>
      </c>
      <c r="Q104" t="s">
        <v>357</v>
      </c>
      <c r="R104" t="s">
        <v>357</v>
      </c>
    </row>
    <row r="105" spans="1:18" x14ac:dyDescent="0.3">
      <c r="A105" s="2" t="str">
        <f>HYPERLINK(B105,"Oppna PDF")</f>
        <v>Oppna PDF</v>
      </c>
      <c r="B105" t="s">
        <v>352</v>
      </c>
      <c r="C105" t="s">
        <v>358</v>
      </c>
      <c r="D105" t="s">
        <v>284</v>
      </c>
      <c r="E105" t="s">
        <v>354</v>
      </c>
      <c r="H105" t="s">
        <v>25</v>
      </c>
      <c r="I105" t="s">
        <v>286</v>
      </c>
      <c r="J105" t="s">
        <v>38</v>
      </c>
      <c r="K105" t="s">
        <v>39</v>
      </c>
      <c r="L105" t="s">
        <v>29</v>
      </c>
      <c r="M105" t="s">
        <v>30</v>
      </c>
      <c r="N105" t="s">
        <v>31</v>
      </c>
      <c r="Q105" t="s">
        <v>359</v>
      </c>
      <c r="R105" t="s">
        <v>359</v>
      </c>
    </row>
    <row r="106" spans="1:18" x14ac:dyDescent="0.3">
      <c r="A106" s="2" t="str">
        <f>HYPERLINK(B106,"Oppna PDF")</f>
        <v>Oppna PDF</v>
      </c>
      <c r="B106" t="s">
        <v>360</v>
      </c>
      <c r="C106" t="s">
        <v>361</v>
      </c>
      <c r="D106" t="s">
        <v>284</v>
      </c>
      <c r="E106" t="s">
        <v>362</v>
      </c>
      <c r="H106" t="s">
        <v>25</v>
      </c>
      <c r="I106" t="s">
        <v>286</v>
      </c>
      <c r="J106" t="s">
        <v>34</v>
      </c>
      <c r="K106" t="s">
        <v>35</v>
      </c>
      <c r="L106" t="s">
        <v>142</v>
      </c>
      <c r="M106" t="s">
        <v>30</v>
      </c>
      <c r="N106" t="s">
        <v>31</v>
      </c>
      <c r="Q106" t="s">
        <v>363</v>
      </c>
      <c r="R106" t="s">
        <v>363</v>
      </c>
    </row>
    <row r="107" spans="1:18" x14ac:dyDescent="0.3">
      <c r="A107" s="2" t="str">
        <f>HYPERLINK(B107,"Oppna PDF")</f>
        <v>Oppna PDF</v>
      </c>
      <c r="B107" t="s">
        <v>360</v>
      </c>
      <c r="C107" t="s">
        <v>364</v>
      </c>
      <c r="D107" t="s">
        <v>284</v>
      </c>
      <c r="E107" t="s">
        <v>362</v>
      </c>
      <c r="H107" t="s">
        <v>25</v>
      </c>
      <c r="I107" t="s">
        <v>286</v>
      </c>
      <c r="J107" t="s">
        <v>34</v>
      </c>
      <c r="K107" t="s">
        <v>35</v>
      </c>
      <c r="L107" t="s">
        <v>142</v>
      </c>
      <c r="M107" t="s">
        <v>30</v>
      </c>
      <c r="N107" t="s">
        <v>31</v>
      </c>
      <c r="Q107" t="s">
        <v>365</v>
      </c>
      <c r="R107" t="s">
        <v>366</v>
      </c>
    </row>
    <row r="108" spans="1:18" x14ac:dyDescent="0.3">
      <c r="A108" s="2" t="str">
        <f>HYPERLINK(B108,"Oppna PDF")</f>
        <v>Oppna PDF</v>
      </c>
      <c r="B108" t="s">
        <v>360</v>
      </c>
      <c r="C108" t="s">
        <v>367</v>
      </c>
      <c r="D108" t="s">
        <v>284</v>
      </c>
      <c r="E108" t="s">
        <v>362</v>
      </c>
      <c r="H108" t="s">
        <v>25</v>
      </c>
      <c r="I108" t="s">
        <v>286</v>
      </c>
      <c r="J108" t="s">
        <v>27</v>
      </c>
      <c r="K108" t="s">
        <v>28</v>
      </c>
      <c r="L108" t="s">
        <v>142</v>
      </c>
      <c r="M108" t="s">
        <v>30</v>
      </c>
      <c r="N108" t="s">
        <v>31</v>
      </c>
      <c r="Q108" t="s">
        <v>368</v>
      </c>
      <c r="R108" t="s">
        <v>369</v>
      </c>
    </row>
    <row r="109" spans="1:18" x14ac:dyDescent="0.3">
      <c r="A109" s="2" t="str">
        <f>HYPERLINK(B109,"Oppna PDF")</f>
        <v>Oppna PDF</v>
      </c>
      <c r="B109" t="s">
        <v>370</v>
      </c>
      <c r="C109" t="s">
        <v>371</v>
      </c>
      <c r="D109" t="s">
        <v>284</v>
      </c>
      <c r="E109" t="s">
        <v>372</v>
      </c>
      <c r="H109" t="s">
        <v>25</v>
      </c>
      <c r="I109" t="s">
        <v>286</v>
      </c>
      <c r="J109" t="s">
        <v>34</v>
      </c>
      <c r="K109" t="s">
        <v>35</v>
      </c>
      <c r="L109" t="s">
        <v>29</v>
      </c>
      <c r="M109" t="s">
        <v>30</v>
      </c>
      <c r="N109" t="s">
        <v>31</v>
      </c>
      <c r="Q109" t="s">
        <v>373</v>
      </c>
      <c r="R109" t="s">
        <v>374</v>
      </c>
    </row>
    <row r="110" spans="1:18" x14ac:dyDescent="0.3">
      <c r="A110" s="2" t="str">
        <f>HYPERLINK(B110,"Oppna PDF")</f>
        <v>Oppna PDF</v>
      </c>
      <c r="B110" t="s">
        <v>370</v>
      </c>
      <c r="C110" t="s">
        <v>375</v>
      </c>
      <c r="D110" t="s">
        <v>284</v>
      </c>
      <c r="E110" t="s">
        <v>372</v>
      </c>
      <c r="H110" t="s">
        <v>25</v>
      </c>
      <c r="I110" t="s">
        <v>286</v>
      </c>
      <c r="J110" t="s">
        <v>27</v>
      </c>
      <c r="K110" t="s">
        <v>28</v>
      </c>
      <c r="L110" t="s">
        <v>29</v>
      </c>
      <c r="M110" t="s">
        <v>30</v>
      </c>
      <c r="N110" t="s">
        <v>31</v>
      </c>
      <c r="Q110" t="s">
        <v>44</v>
      </c>
      <c r="R110" t="s">
        <v>44</v>
      </c>
    </row>
    <row r="111" spans="1:18" x14ac:dyDescent="0.3">
      <c r="A111" s="2" t="str">
        <f>HYPERLINK(B111,"Oppna PDF")</f>
        <v>Oppna PDF</v>
      </c>
      <c r="B111" t="s">
        <v>370</v>
      </c>
      <c r="C111" t="s">
        <v>376</v>
      </c>
      <c r="D111" t="s">
        <v>284</v>
      </c>
      <c r="E111" t="s">
        <v>372</v>
      </c>
      <c r="H111" t="s">
        <v>25</v>
      </c>
      <c r="I111" t="s">
        <v>286</v>
      </c>
      <c r="J111" t="s">
        <v>91</v>
      </c>
      <c r="K111" t="s">
        <v>92</v>
      </c>
      <c r="L111" t="s">
        <v>29</v>
      </c>
      <c r="M111" t="s">
        <v>30</v>
      </c>
      <c r="N111" t="s">
        <v>31</v>
      </c>
      <c r="Q111" t="s">
        <v>377</v>
      </c>
      <c r="R111" t="s">
        <v>377</v>
      </c>
    </row>
    <row r="112" spans="1:18" x14ac:dyDescent="0.3">
      <c r="A112" s="2" t="str">
        <f>HYPERLINK(B112,"Oppna PDF")</f>
        <v>Oppna PDF</v>
      </c>
      <c r="B112" t="s">
        <v>378</v>
      </c>
      <c r="C112" t="s">
        <v>379</v>
      </c>
      <c r="D112" t="s">
        <v>284</v>
      </c>
      <c r="E112" t="s">
        <v>380</v>
      </c>
      <c r="H112" t="s">
        <v>25</v>
      </c>
      <c r="I112" t="s">
        <v>286</v>
      </c>
      <c r="J112" t="s">
        <v>91</v>
      </c>
      <c r="K112" t="s">
        <v>92</v>
      </c>
      <c r="L112" t="s">
        <v>29</v>
      </c>
      <c r="M112" t="s">
        <v>30</v>
      </c>
      <c r="N112" t="s">
        <v>31</v>
      </c>
      <c r="Q112" t="s">
        <v>381</v>
      </c>
      <c r="R112" t="s">
        <v>381</v>
      </c>
    </row>
    <row r="113" spans="1:18" x14ac:dyDescent="0.3">
      <c r="A113" s="2" t="str">
        <f>HYPERLINK(B113,"Oppna PDF")</f>
        <v>Oppna PDF</v>
      </c>
      <c r="B113" t="s">
        <v>378</v>
      </c>
      <c r="C113" t="s">
        <v>382</v>
      </c>
      <c r="D113" t="s">
        <v>284</v>
      </c>
      <c r="E113" t="s">
        <v>380</v>
      </c>
      <c r="H113" t="s">
        <v>25</v>
      </c>
      <c r="I113" t="s">
        <v>286</v>
      </c>
      <c r="J113" t="s">
        <v>91</v>
      </c>
      <c r="K113" t="s">
        <v>92</v>
      </c>
      <c r="L113" t="s">
        <v>29</v>
      </c>
      <c r="M113" t="s">
        <v>30</v>
      </c>
      <c r="N113" t="s">
        <v>31</v>
      </c>
      <c r="Q113" t="s">
        <v>383</v>
      </c>
      <c r="R113" t="s">
        <v>383</v>
      </c>
    </row>
    <row r="114" spans="1:18" x14ac:dyDescent="0.3">
      <c r="A114" s="2" t="str">
        <f>HYPERLINK(B114,"Oppna PDF")</f>
        <v>Oppna PDF</v>
      </c>
      <c r="B114" t="s">
        <v>378</v>
      </c>
      <c r="C114" t="s">
        <v>384</v>
      </c>
      <c r="D114" t="s">
        <v>284</v>
      </c>
      <c r="E114" t="s">
        <v>380</v>
      </c>
      <c r="H114" t="s">
        <v>25</v>
      </c>
      <c r="I114" t="s">
        <v>286</v>
      </c>
      <c r="J114" t="s">
        <v>91</v>
      </c>
      <c r="K114" t="s">
        <v>92</v>
      </c>
      <c r="L114" t="s">
        <v>29</v>
      </c>
      <c r="M114" t="s">
        <v>30</v>
      </c>
      <c r="N114" t="s">
        <v>31</v>
      </c>
      <c r="Q114" t="s">
        <v>385</v>
      </c>
      <c r="R114" t="s">
        <v>385</v>
      </c>
    </row>
    <row r="115" spans="1:18" x14ac:dyDescent="0.3">
      <c r="A115" s="2" t="str">
        <f>HYPERLINK(B115,"Oppna PDF")</f>
        <v>Oppna PDF</v>
      </c>
      <c r="B115" t="s">
        <v>386</v>
      </c>
      <c r="C115" t="s">
        <v>387</v>
      </c>
      <c r="D115" t="s">
        <v>284</v>
      </c>
      <c r="E115" t="s">
        <v>388</v>
      </c>
      <c r="H115" t="s">
        <v>25</v>
      </c>
      <c r="I115" t="s">
        <v>286</v>
      </c>
      <c r="J115" t="s">
        <v>87</v>
      </c>
      <c r="K115" t="s">
        <v>88</v>
      </c>
      <c r="L115" t="s">
        <v>300</v>
      </c>
      <c r="M115" t="s">
        <v>30</v>
      </c>
      <c r="N115" t="s">
        <v>31</v>
      </c>
      <c r="Q115" t="s">
        <v>389</v>
      </c>
      <c r="R115" t="s">
        <v>389</v>
      </c>
    </row>
    <row r="116" spans="1:18" x14ac:dyDescent="0.3">
      <c r="A116" s="2" t="str">
        <f>HYPERLINK(B116,"Oppna PDF")</f>
        <v>Oppna PDF</v>
      </c>
      <c r="B116" t="s">
        <v>386</v>
      </c>
      <c r="C116" t="s">
        <v>390</v>
      </c>
      <c r="D116" t="s">
        <v>284</v>
      </c>
      <c r="E116" t="s">
        <v>388</v>
      </c>
      <c r="H116" t="s">
        <v>25</v>
      </c>
      <c r="I116" t="s">
        <v>286</v>
      </c>
      <c r="J116" t="s">
        <v>48</v>
      </c>
      <c r="K116" t="s">
        <v>49</v>
      </c>
      <c r="L116" t="s">
        <v>29</v>
      </c>
      <c r="M116" t="s">
        <v>30</v>
      </c>
      <c r="N116" t="s">
        <v>31</v>
      </c>
      <c r="Q116" t="s">
        <v>391</v>
      </c>
      <c r="R116" t="s">
        <v>391</v>
      </c>
    </row>
    <row r="117" spans="1:18" x14ac:dyDescent="0.3">
      <c r="A117" s="2" t="str">
        <f>HYPERLINK(B117,"Oppna PDF")</f>
        <v>Oppna PDF</v>
      </c>
      <c r="B117" t="s">
        <v>386</v>
      </c>
      <c r="C117" t="s">
        <v>392</v>
      </c>
      <c r="D117" t="s">
        <v>284</v>
      </c>
      <c r="E117" t="s">
        <v>388</v>
      </c>
      <c r="H117" t="s">
        <v>25</v>
      </c>
      <c r="I117" t="s">
        <v>286</v>
      </c>
      <c r="J117" t="s">
        <v>91</v>
      </c>
      <c r="K117" t="s">
        <v>92</v>
      </c>
      <c r="L117" t="s">
        <v>29</v>
      </c>
      <c r="M117" t="s">
        <v>30</v>
      </c>
      <c r="N117" t="s">
        <v>31</v>
      </c>
      <c r="Q117" t="s">
        <v>393</v>
      </c>
      <c r="R117" t="s">
        <v>393</v>
      </c>
    </row>
    <row r="118" spans="1:18" x14ac:dyDescent="0.3">
      <c r="A118" s="2" t="str">
        <f>HYPERLINK(B118,"Oppna PDF")</f>
        <v>Oppna PDF</v>
      </c>
      <c r="B118" t="s">
        <v>394</v>
      </c>
      <c r="C118" t="s">
        <v>395</v>
      </c>
      <c r="D118" t="s">
        <v>284</v>
      </c>
      <c r="E118" t="s">
        <v>396</v>
      </c>
      <c r="H118" t="s">
        <v>25</v>
      </c>
      <c r="I118" t="s">
        <v>286</v>
      </c>
      <c r="J118" t="s">
        <v>87</v>
      </c>
      <c r="K118" t="s">
        <v>88</v>
      </c>
      <c r="L118" t="s">
        <v>29</v>
      </c>
      <c r="M118" t="s">
        <v>30</v>
      </c>
      <c r="N118" t="s">
        <v>31</v>
      </c>
      <c r="Q118" t="s">
        <v>397</v>
      </c>
      <c r="R118" t="s">
        <v>397</v>
      </c>
    </row>
    <row r="119" spans="1:18" x14ac:dyDescent="0.3">
      <c r="A119" s="2" t="str">
        <f>HYPERLINK(B119,"Oppna PDF")</f>
        <v>Oppna PDF</v>
      </c>
      <c r="B119" t="s">
        <v>398</v>
      </c>
      <c r="C119" t="s">
        <v>399</v>
      </c>
      <c r="D119" t="s">
        <v>284</v>
      </c>
      <c r="E119" t="s">
        <v>400</v>
      </c>
      <c r="H119" t="s">
        <v>25</v>
      </c>
      <c r="I119" t="s">
        <v>286</v>
      </c>
      <c r="J119" t="s">
        <v>87</v>
      </c>
      <c r="K119" t="s">
        <v>88</v>
      </c>
      <c r="L119" t="s">
        <v>300</v>
      </c>
      <c r="M119" t="s">
        <v>30</v>
      </c>
      <c r="N119" t="s">
        <v>31</v>
      </c>
      <c r="Q119" t="s">
        <v>401</v>
      </c>
      <c r="R119" t="s">
        <v>401</v>
      </c>
    </row>
    <row r="120" spans="1:18" x14ac:dyDescent="0.3">
      <c r="A120" s="2" t="str">
        <f>HYPERLINK(B120,"Oppna PDF")</f>
        <v>Oppna PDF</v>
      </c>
      <c r="B120" t="s">
        <v>402</v>
      </c>
      <c r="C120" t="s">
        <v>403</v>
      </c>
      <c r="D120" t="s">
        <v>284</v>
      </c>
      <c r="E120" t="s">
        <v>404</v>
      </c>
      <c r="H120" t="s">
        <v>25</v>
      </c>
      <c r="I120" t="s">
        <v>286</v>
      </c>
      <c r="J120" t="s">
        <v>91</v>
      </c>
      <c r="K120" t="s">
        <v>92</v>
      </c>
      <c r="L120" t="s">
        <v>29</v>
      </c>
      <c r="M120" t="s">
        <v>30</v>
      </c>
      <c r="N120" t="s">
        <v>31</v>
      </c>
      <c r="Q120" t="s">
        <v>405</v>
      </c>
      <c r="R120" t="s">
        <v>406</v>
      </c>
    </row>
    <row r="121" spans="1:18" x14ac:dyDescent="0.3">
      <c r="A121" s="2" t="str">
        <f>HYPERLINK(B121,"Oppna PDF")</f>
        <v>Oppna PDF</v>
      </c>
      <c r="B121" t="s">
        <v>402</v>
      </c>
      <c r="C121" t="s">
        <v>407</v>
      </c>
      <c r="D121" t="s">
        <v>284</v>
      </c>
      <c r="E121" t="s">
        <v>404</v>
      </c>
      <c r="H121" t="s">
        <v>25</v>
      </c>
      <c r="I121" t="s">
        <v>286</v>
      </c>
      <c r="J121" t="s">
        <v>27</v>
      </c>
      <c r="K121" t="s">
        <v>28</v>
      </c>
      <c r="L121" t="s">
        <v>29</v>
      </c>
      <c r="M121" t="s">
        <v>30</v>
      </c>
      <c r="N121" t="s">
        <v>31</v>
      </c>
      <c r="Q121" t="s">
        <v>408</v>
      </c>
      <c r="R121" t="s">
        <v>408</v>
      </c>
    </row>
    <row r="122" spans="1:18" x14ac:dyDescent="0.3">
      <c r="A122" s="2" t="str">
        <f>HYPERLINK(B122,"Oppna PDF")</f>
        <v>Oppna PDF</v>
      </c>
      <c r="B122" t="s">
        <v>402</v>
      </c>
      <c r="C122" t="s">
        <v>409</v>
      </c>
      <c r="D122" t="s">
        <v>284</v>
      </c>
      <c r="E122" t="s">
        <v>404</v>
      </c>
      <c r="H122" t="s">
        <v>25</v>
      </c>
      <c r="I122" t="s">
        <v>286</v>
      </c>
      <c r="J122" t="s">
        <v>27</v>
      </c>
      <c r="K122" t="s">
        <v>28</v>
      </c>
      <c r="L122" t="s">
        <v>29</v>
      </c>
      <c r="M122" t="s">
        <v>30</v>
      </c>
      <c r="N122" t="s">
        <v>31</v>
      </c>
      <c r="Q122" t="s">
        <v>410</v>
      </c>
      <c r="R122" t="s">
        <v>411</v>
      </c>
    </row>
    <row r="123" spans="1:18" x14ac:dyDescent="0.3">
      <c r="A123" s="2" t="str">
        <f>HYPERLINK(B123,"Oppna PDF")</f>
        <v>Oppna PDF</v>
      </c>
      <c r="B123" t="s">
        <v>412</v>
      </c>
      <c r="C123" t="s">
        <v>413</v>
      </c>
      <c r="D123" t="s">
        <v>284</v>
      </c>
      <c r="E123" t="s">
        <v>414</v>
      </c>
      <c r="H123" t="s">
        <v>25</v>
      </c>
      <c r="I123" t="s">
        <v>286</v>
      </c>
      <c r="J123" t="s">
        <v>87</v>
      </c>
      <c r="K123" t="s">
        <v>88</v>
      </c>
      <c r="L123" t="s">
        <v>300</v>
      </c>
      <c r="M123" t="s">
        <v>30</v>
      </c>
      <c r="N123" t="s">
        <v>31</v>
      </c>
      <c r="Q123" t="s">
        <v>415</v>
      </c>
      <c r="R123" t="s">
        <v>415</v>
      </c>
    </row>
    <row r="124" spans="1:18" x14ac:dyDescent="0.3">
      <c r="A124" s="2" t="str">
        <f>HYPERLINK(B124,"Oppna PDF")</f>
        <v>Oppna PDF</v>
      </c>
      <c r="B124" t="s">
        <v>412</v>
      </c>
      <c r="C124" t="s">
        <v>416</v>
      </c>
      <c r="D124" t="s">
        <v>284</v>
      </c>
      <c r="E124" t="s">
        <v>414</v>
      </c>
      <c r="H124" t="s">
        <v>25</v>
      </c>
      <c r="I124" t="s">
        <v>286</v>
      </c>
      <c r="J124" t="s">
        <v>87</v>
      </c>
      <c r="K124" t="s">
        <v>88</v>
      </c>
      <c r="L124" t="s">
        <v>300</v>
      </c>
      <c r="M124" t="s">
        <v>30</v>
      </c>
      <c r="N124" t="s">
        <v>31</v>
      </c>
      <c r="Q124" t="s">
        <v>417</v>
      </c>
      <c r="R124" t="s">
        <v>417</v>
      </c>
    </row>
    <row r="125" spans="1:18" x14ac:dyDescent="0.3">
      <c r="A125" s="2" t="str">
        <f>HYPERLINK(B125,"Oppna PDF")</f>
        <v>Oppna PDF</v>
      </c>
      <c r="B125" t="s">
        <v>412</v>
      </c>
      <c r="C125" t="s">
        <v>418</v>
      </c>
      <c r="D125" t="s">
        <v>284</v>
      </c>
      <c r="E125" t="s">
        <v>414</v>
      </c>
      <c r="H125" t="s">
        <v>25</v>
      </c>
      <c r="I125" t="s">
        <v>286</v>
      </c>
      <c r="J125" t="s">
        <v>87</v>
      </c>
      <c r="K125" t="s">
        <v>88</v>
      </c>
      <c r="L125" t="s">
        <v>300</v>
      </c>
      <c r="M125" t="s">
        <v>30</v>
      </c>
      <c r="N125" t="s">
        <v>31</v>
      </c>
      <c r="Q125" t="s">
        <v>419</v>
      </c>
      <c r="R125" t="s">
        <v>419</v>
      </c>
    </row>
    <row r="126" spans="1:18" x14ac:dyDescent="0.3">
      <c r="A126" s="2" t="str">
        <f>HYPERLINK(B126,"Oppna PDF")</f>
        <v>Oppna PDF</v>
      </c>
      <c r="B126" t="s">
        <v>420</v>
      </c>
      <c r="C126" t="s">
        <v>421</v>
      </c>
      <c r="D126" t="s">
        <v>422</v>
      </c>
      <c r="E126" t="s">
        <v>423</v>
      </c>
      <c r="H126" t="s">
        <v>61</v>
      </c>
      <c r="I126" t="s">
        <v>424</v>
      </c>
      <c r="J126" t="s">
        <v>87</v>
      </c>
      <c r="K126" t="s">
        <v>88</v>
      </c>
      <c r="L126" t="s">
        <v>29</v>
      </c>
      <c r="M126" t="s">
        <v>30</v>
      </c>
      <c r="N126" t="s">
        <v>31</v>
      </c>
      <c r="Q126" t="s">
        <v>425</v>
      </c>
      <c r="R126" t="s">
        <v>426</v>
      </c>
    </row>
    <row r="127" spans="1:18" x14ac:dyDescent="0.3">
      <c r="A127" s="2" t="str">
        <f>HYPERLINK(B127,"Oppna PDF")</f>
        <v>Oppna PDF</v>
      </c>
      <c r="B127" t="s">
        <v>420</v>
      </c>
      <c r="C127" t="s">
        <v>427</v>
      </c>
      <c r="D127" t="s">
        <v>422</v>
      </c>
      <c r="E127" t="s">
        <v>423</v>
      </c>
      <c r="H127" t="s">
        <v>61</v>
      </c>
      <c r="I127" t="s">
        <v>424</v>
      </c>
      <c r="J127" t="s">
        <v>87</v>
      </c>
      <c r="K127" t="s">
        <v>88</v>
      </c>
      <c r="L127" t="s">
        <v>300</v>
      </c>
      <c r="M127" t="s">
        <v>30</v>
      </c>
      <c r="N127" t="s">
        <v>31</v>
      </c>
      <c r="Q127" t="s">
        <v>428</v>
      </c>
      <c r="R127" t="s">
        <v>428</v>
      </c>
    </row>
    <row r="128" spans="1:18" x14ac:dyDescent="0.3">
      <c r="A128" s="2" t="str">
        <f>HYPERLINK(B128,"Oppna PDF")</f>
        <v>Oppna PDF</v>
      </c>
      <c r="B128" t="s">
        <v>420</v>
      </c>
      <c r="C128" t="s">
        <v>429</v>
      </c>
      <c r="D128" t="s">
        <v>422</v>
      </c>
      <c r="E128" t="s">
        <v>423</v>
      </c>
      <c r="H128" t="s">
        <v>61</v>
      </c>
      <c r="I128" t="s">
        <v>424</v>
      </c>
      <c r="J128" t="s">
        <v>87</v>
      </c>
      <c r="K128" t="s">
        <v>88</v>
      </c>
      <c r="L128" t="s">
        <v>29</v>
      </c>
      <c r="M128" t="s">
        <v>30</v>
      </c>
      <c r="N128" t="s">
        <v>31</v>
      </c>
      <c r="Q128" t="s">
        <v>430</v>
      </c>
      <c r="R128" t="s">
        <v>430</v>
      </c>
    </row>
    <row r="129" spans="1:18" x14ac:dyDescent="0.3">
      <c r="A129" s="2" t="str">
        <f>HYPERLINK(B129,"Oppna PDF")</f>
        <v>Oppna PDF</v>
      </c>
      <c r="B129" t="s">
        <v>431</v>
      </c>
      <c r="C129" t="s">
        <v>432</v>
      </c>
      <c r="D129" t="s">
        <v>433</v>
      </c>
      <c r="E129" t="s">
        <v>434</v>
      </c>
      <c r="F129" t="s">
        <v>435</v>
      </c>
      <c r="G129" t="s">
        <v>436</v>
      </c>
      <c r="H129" t="s">
        <v>61</v>
      </c>
      <c r="I129" t="s">
        <v>437</v>
      </c>
      <c r="J129" t="s">
        <v>91</v>
      </c>
      <c r="K129" t="s">
        <v>92</v>
      </c>
      <c r="L129" t="s">
        <v>29</v>
      </c>
      <c r="M129" t="s">
        <v>30</v>
      </c>
      <c r="N129" t="s">
        <v>31</v>
      </c>
      <c r="Q129" t="s">
        <v>438</v>
      </c>
      <c r="R129" t="s">
        <v>438</v>
      </c>
    </row>
    <row r="130" spans="1:18" x14ac:dyDescent="0.3">
      <c r="A130" s="2" t="str">
        <f>HYPERLINK(B130,"Oppna PDF")</f>
        <v>Oppna PDF</v>
      </c>
      <c r="B130" t="s">
        <v>431</v>
      </c>
      <c r="C130" t="s">
        <v>439</v>
      </c>
      <c r="D130" t="s">
        <v>433</v>
      </c>
      <c r="E130" t="s">
        <v>434</v>
      </c>
      <c r="F130" t="s">
        <v>435</v>
      </c>
      <c r="G130" t="s">
        <v>436</v>
      </c>
      <c r="H130" t="s">
        <v>61</v>
      </c>
      <c r="I130" t="s">
        <v>437</v>
      </c>
      <c r="J130" t="s">
        <v>87</v>
      </c>
      <c r="K130" t="s">
        <v>88</v>
      </c>
      <c r="L130" t="s">
        <v>29</v>
      </c>
      <c r="M130" t="s">
        <v>30</v>
      </c>
      <c r="N130" t="s">
        <v>31</v>
      </c>
      <c r="Q130" t="s">
        <v>440</v>
      </c>
      <c r="R130" t="s">
        <v>440</v>
      </c>
    </row>
    <row r="131" spans="1:18" x14ac:dyDescent="0.3">
      <c r="A131" s="2" t="str">
        <f>HYPERLINK(B131,"Oppna PDF")</f>
        <v>Oppna PDF</v>
      </c>
      <c r="B131" t="s">
        <v>431</v>
      </c>
      <c r="C131" t="s">
        <v>441</v>
      </c>
      <c r="D131" t="s">
        <v>433</v>
      </c>
      <c r="E131" t="s">
        <v>434</v>
      </c>
      <c r="F131" t="s">
        <v>435</v>
      </c>
      <c r="G131" t="s">
        <v>436</v>
      </c>
      <c r="H131" t="s">
        <v>61</v>
      </c>
      <c r="I131" t="s">
        <v>437</v>
      </c>
      <c r="J131" t="s">
        <v>87</v>
      </c>
      <c r="K131" t="s">
        <v>88</v>
      </c>
      <c r="L131" t="s">
        <v>29</v>
      </c>
      <c r="M131" t="s">
        <v>30</v>
      </c>
      <c r="N131" t="s">
        <v>31</v>
      </c>
      <c r="Q131" t="s">
        <v>442</v>
      </c>
      <c r="R131" t="s">
        <v>442</v>
      </c>
    </row>
    <row r="132" spans="1:18" x14ac:dyDescent="0.3">
      <c r="A132" s="2" t="str">
        <f>HYPERLINK(B132,"Oppna PDF")</f>
        <v>Oppna PDF</v>
      </c>
      <c r="B132" t="s">
        <v>443</v>
      </c>
      <c r="C132" t="s">
        <v>444</v>
      </c>
      <c r="D132" t="s">
        <v>445</v>
      </c>
      <c r="E132" t="s">
        <v>446</v>
      </c>
      <c r="F132" t="s">
        <v>447</v>
      </c>
      <c r="G132" t="s">
        <v>448</v>
      </c>
      <c r="H132" t="s">
        <v>268</v>
      </c>
      <c r="I132" t="s">
        <v>449</v>
      </c>
      <c r="J132" t="s">
        <v>27</v>
      </c>
      <c r="K132" t="s">
        <v>28</v>
      </c>
      <c r="L132" t="s">
        <v>29</v>
      </c>
      <c r="M132" t="s">
        <v>30</v>
      </c>
      <c r="N132" t="s">
        <v>31</v>
      </c>
      <c r="Q132" t="s">
        <v>450</v>
      </c>
      <c r="R132" t="s">
        <v>450</v>
      </c>
    </row>
    <row r="133" spans="1:18" x14ac:dyDescent="0.3">
      <c r="A133" s="2" t="str">
        <f>HYPERLINK(B133,"Oppna PDF")</f>
        <v>Oppna PDF</v>
      </c>
      <c r="B133" t="s">
        <v>443</v>
      </c>
      <c r="C133" t="s">
        <v>451</v>
      </c>
      <c r="D133" t="s">
        <v>445</v>
      </c>
      <c r="E133" t="s">
        <v>446</v>
      </c>
      <c r="F133" t="s">
        <v>447</v>
      </c>
      <c r="G133" t="s">
        <v>448</v>
      </c>
      <c r="H133" t="s">
        <v>268</v>
      </c>
      <c r="I133" t="s">
        <v>449</v>
      </c>
      <c r="J133" t="s">
        <v>38</v>
      </c>
      <c r="K133" t="s">
        <v>39</v>
      </c>
      <c r="L133" t="s">
        <v>29</v>
      </c>
      <c r="M133" t="s">
        <v>30</v>
      </c>
      <c r="N133" t="s">
        <v>31</v>
      </c>
      <c r="Q133" t="s">
        <v>452</v>
      </c>
      <c r="R133" t="s">
        <v>452</v>
      </c>
    </row>
    <row r="134" spans="1:18" x14ac:dyDescent="0.3">
      <c r="A134" s="2" t="str">
        <f>HYPERLINK(B134,"Oppna PDF")</f>
        <v>Oppna PDF</v>
      </c>
      <c r="B134" t="s">
        <v>443</v>
      </c>
      <c r="C134" t="s">
        <v>453</v>
      </c>
      <c r="D134" t="s">
        <v>445</v>
      </c>
      <c r="E134" t="s">
        <v>446</v>
      </c>
      <c r="F134" t="s">
        <v>447</v>
      </c>
      <c r="G134" t="s">
        <v>448</v>
      </c>
      <c r="H134" t="s">
        <v>268</v>
      </c>
      <c r="I134" t="s">
        <v>449</v>
      </c>
      <c r="J134" t="s">
        <v>48</v>
      </c>
      <c r="K134" t="s">
        <v>49</v>
      </c>
      <c r="L134" t="s">
        <v>29</v>
      </c>
      <c r="M134" t="s">
        <v>30</v>
      </c>
      <c r="N134" t="s">
        <v>31</v>
      </c>
      <c r="Q134" t="s">
        <v>454</v>
      </c>
      <c r="R134" t="s">
        <v>454</v>
      </c>
    </row>
    <row r="135" spans="1:18" x14ac:dyDescent="0.3">
      <c r="A135" s="2" t="str">
        <f>HYPERLINK(B135,"Oppna PDF")</f>
        <v>Oppna PDF</v>
      </c>
      <c r="B135" t="s">
        <v>455</v>
      </c>
      <c r="C135" t="s">
        <v>456</v>
      </c>
      <c r="D135" t="s">
        <v>457</v>
      </c>
      <c r="E135" t="s">
        <v>458</v>
      </c>
      <c r="F135" t="s">
        <v>459</v>
      </c>
      <c r="G135" t="s">
        <v>460</v>
      </c>
      <c r="H135" t="s">
        <v>25</v>
      </c>
      <c r="I135" t="s">
        <v>461</v>
      </c>
      <c r="J135" t="s">
        <v>38</v>
      </c>
      <c r="K135" t="s">
        <v>39</v>
      </c>
      <c r="L135" t="s">
        <v>29</v>
      </c>
      <c r="M135" t="s">
        <v>30</v>
      </c>
      <c r="N135" t="s">
        <v>31</v>
      </c>
      <c r="Q135" t="s">
        <v>462</v>
      </c>
      <c r="R135" t="s">
        <v>462</v>
      </c>
    </row>
    <row r="136" spans="1:18" x14ac:dyDescent="0.3">
      <c r="A136" s="2" t="str">
        <f>HYPERLINK(B136,"Oppna PDF")</f>
        <v>Oppna PDF</v>
      </c>
      <c r="B136" t="s">
        <v>455</v>
      </c>
      <c r="C136" t="s">
        <v>463</v>
      </c>
      <c r="D136" t="s">
        <v>457</v>
      </c>
      <c r="E136" t="s">
        <v>458</v>
      </c>
      <c r="F136" t="s">
        <v>459</v>
      </c>
      <c r="G136" t="s">
        <v>460</v>
      </c>
      <c r="H136" t="s">
        <v>25</v>
      </c>
      <c r="I136" t="s">
        <v>461</v>
      </c>
      <c r="J136" t="s">
        <v>27</v>
      </c>
      <c r="K136" t="s">
        <v>28</v>
      </c>
      <c r="L136" t="s">
        <v>29</v>
      </c>
      <c r="M136" t="s">
        <v>30</v>
      </c>
      <c r="N136" t="s">
        <v>31</v>
      </c>
      <c r="Q136" t="s">
        <v>464</v>
      </c>
      <c r="R136" t="s">
        <v>464</v>
      </c>
    </row>
    <row r="137" spans="1:18" x14ac:dyDescent="0.3">
      <c r="A137" s="2" t="str">
        <f>HYPERLINK(B137,"Oppna PDF")</f>
        <v>Oppna PDF</v>
      </c>
      <c r="B137" t="s">
        <v>455</v>
      </c>
      <c r="C137" t="s">
        <v>465</v>
      </c>
      <c r="D137" t="s">
        <v>457</v>
      </c>
      <c r="E137" t="s">
        <v>458</v>
      </c>
      <c r="F137" t="s">
        <v>459</v>
      </c>
      <c r="G137" t="s">
        <v>460</v>
      </c>
      <c r="H137" t="s">
        <v>25</v>
      </c>
      <c r="I137" t="s">
        <v>461</v>
      </c>
      <c r="J137" t="s">
        <v>87</v>
      </c>
      <c r="K137" t="s">
        <v>88</v>
      </c>
      <c r="L137" t="s">
        <v>29</v>
      </c>
      <c r="M137" t="s">
        <v>30</v>
      </c>
      <c r="N137" t="s">
        <v>31</v>
      </c>
      <c r="Q137" t="s">
        <v>466</v>
      </c>
      <c r="R137" t="s">
        <v>466</v>
      </c>
    </row>
    <row r="138" spans="1:18" x14ac:dyDescent="0.3">
      <c r="A138" s="2" t="str">
        <f>HYPERLINK(B138,"Oppna PDF")</f>
        <v>Oppna PDF</v>
      </c>
      <c r="B138" t="s">
        <v>467</v>
      </c>
      <c r="C138" t="s">
        <v>468</v>
      </c>
      <c r="D138" t="s">
        <v>433</v>
      </c>
      <c r="E138" t="s">
        <v>469</v>
      </c>
      <c r="F138" t="s">
        <v>435</v>
      </c>
      <c r="G138" t="s">
        <v>436</v>
      </c>
      <c r="H138" t="s">
        <v>61</v>
      </c>
      <c r="I138" t="s">
        <v>437</v>
      </c>
      <c r="J138" t="s">
        <v>91</v>
      </c>
      <c r="K138" t="s">
        <v>92</v>
      </c>
      <c r="L138" t="s">
        <v>29</v>
      </c>
      <c r="M138" t="s">
        <v>30</v>
      </c>
      <c r="N138" t="s">
        <v>31</v>
      </c>
      <c r="Q138" t="s">
        <v>470</v>
      </c>
      <c r="R138" t="s">
        <v>470</v>
      </c>
    </row>
    <row r="139" spans="1:18" x14ac:dyDescent="0.3">
      <c r="A139" s="2" t="str">
        <f>HYPERLINK(B139,"Oppna PDF")</f>
        <v>Oppna PDF</v>
      </c>
      <c r="B139" t="s">
        <v>467</v>
      </c>
      <c r="C139" t="s">
        <v>471</v>
      </c>
      <c r="D139" t="s">
        <v>433</v>
      </c>
      <c r="E139" t="s">
        <v>469</v>
      </c>
      <c r="F139" t="s">
        <v>435</v>
      </c>
      <c r="G139" t="s">
        <v>436</v>
      </c>
      <c r="H139" t="s">
        <v>61</v>
      </c>
      <c r="I139" t="s">
        <v>437</v>
      </c>
      <c r="J139" t="s">
        <v>91</v>
      </c>
      <c r="K139" t="s">
        <v>92</v>
      </c>
      <c r="L139" t="s">
        <v>29</v>
      </c>
      <c r="M139" t="s">
        <v>30</v>
      </c>
      <c r="N139" t="s">
        <v>31</v>
      </c>
      <c r="Q139" t="s">
        <v>472</v>
      </c>
      <c r="R139" t="s">
        <v>473</v>
      </c>
    </row>
    <row r="140" spans="1:18" x14ac:dyDescent="0.3">
      <c r="A140" s="2" t="str">
        <f>HYPERLINK(B140,"Oppna PDF")</f>
        <v>Oppna PDF</v>
      </c>
      <c r="B140" t="s">
        <v>474</v>
      </c>
      <c r="C140" t="s">
        <v>475</v>
      </c>
      <c r="D140" t="s">
        <v>433</v>
      </c>
      <c r="E140" t="s">
        <v>476</v>
      </c>
      <c r="F140" t="s">
        <v>435</v>
      </c>
      <c r="G140" t="s">
        <v>436</v>
      </c>
      <c r="H140" t="s">
        <v>61</v>
      </c>
      <c r="I140" t="s">
        <v>437</v>
      </c>
      <c r="J140" t="s">
        <v>87</v>
      </c>
      <c r="K140" t="s">
        <v>88</v>
      </c>
      <c r="L140" t="s">
        <v>29</v>
      </c>
      <c r="M140" t="s">
        <v>30</v>
      </c>
      <c r="N140" t="s">
        <v>31</v>
      </c>
      <c r="Q140" t="s">
        <v>477</v>
      </c>
      <c r="R140" t="s">
        <v>477</v>
      </c>
    </row>
    <row r="141" spans="1:18" x14ac:dyDescent="0.3">
      <c r="A141" s="2" t="str">
        <f>HYPERLINK(B141,"Oppna PDF")</f>
        <v>Oppna PDF</v>
      </c>
      <c r="B141" t="s">
        <v>478</v>
      </c>
      <c r="C141" t="s">
        <v>479</v>
      </c>
      <c r="D141" t="s">
        <v>480</v>
      </c>
      <c r="E141" t="s">
        <v>481</v>
      </c>
      <c r="F141" t="s">
        <v>435</v>
      </c>
      <c r="G141" t="s">
        <v>436</v>
      </c>
      <c r="H141" t="s">
        <v>61</v>
      </c>
      <c r="I141" t="s">
        <v>482</v>
      </c>
      <c r="J141" t="s">
        <v>91</v>
      </c>
      <c r="K141" t="s">
        <v>92</v>
      </c>
      <c r="L141" t="s">
        <v>29</v>
      </c>
      <c r="M141" t="s">
        <v>30</v>
      </c>
      <c r="N141" t="s">
        <v>31</v>
      </c>
      <c r="Q141" t="s">
        <v>438</v>
      </c>
      <c r="R141" t="s">
        <v>438</v>
      </c>
    </row>
    <row r="142" spans="1:18" x14ac:dyDescent="0.3">
      <c r="A142" s="2" t="str">
        <f>HYPERLINK(B142,"Oppna PDF")</f>
        <v>Oppna PDF</v>
      </c>
      <c r="B142" t="s">
        <v>478</v>
      </c>
      <c r="C142" t="s">
        <v>483</v>
      </c>
      <c r="D142" t="s">
        <v>480</v>
      </c>
      <c r="E142" t="s">
        <v>481</v>
      </c>
      <c r="F142" t="s">
        <v>435</v>
      </c>
      <c r="G142" t="s">
        <v>436</v>
      </c>
      <c r="H142" t="s">
        <v>61</v>
      </c>
      <c r="I142" t="s">
        <v>482</v>
      </c>
      <c r="J142" t="s">
        <v>87</v>
      </c>
      <c r="K142" t="s">
        <v>88</v>
      </c>
      <c r="L142" t="s">
        <v>29</v>
      </c>
      <c r="M142" t="s">
        <v>30</v>
      </c>
      <c r="N142" t="s">
        <v>31</v>
      </c>
      <c r="Q142" t="s">
        <v>440</v>
      </c>
      <c r="R142" t="s">
        <v>440</v>
      </c>
    </row>
    <row r="143" spans="1:18" x14ac:dyDescent="0.3">
      <c r="A143" s="2" t="str">
        <f>HYPERLINK(B143,"Oppna PDF")</f>
        <v>Oppna PDF</v>
      </c>
      <c r="B143" t="s">
        <v>478</v>
      </c>
      <c r="C143" t="s">
        <v>484</v>
      </c>
      <c r="D143" t="s">
        <v>480</v>
      </c>
      <c r="E143" t="s">
        <v>481</v>
      </c>
      <c r="F143" t="s">
        <v>435</v>
      </c>
      <c r="G143" t="s">
        <v>436</v>
      </c>
      <c r="H143" t="s">
        <v>61</v>
      </c>
      <c r="I143" t="s">
        <v>482</v>
      </c>
      <c r="J143" t="s">
        <v>87</v>
      </c>
      <c r="K143" t="s">
        <v>88</v>
      </c>
      <c r="L143" t="s">
        <v>29</v>
      </c>
      <c r="M143" t="s">
        <v>30</v>
      </c>
      <c r="N143" t="s">
        <v>31</v>
      </c>
      <c r="Q143" t="s">
        <v>442</v>
      </c>
      <c r="R143" t="s">
        <v>442</v>
      </c>
    </row>
    <row r="144" spans="1:18" x14ac:dyDescent="0.3">
      <c r="A144" s="2" t="str">
        <f>HYPERLINK(B144,"Oppna PDF")</f>
        <v>Oppna PDF</v>
      </c>
      <c r="B144" t="s">
        <v>485</v>
      </c>
      <c r="C144" t="s">
        <v>486</v>
      </c>
      <c r="D144" t="s">
        <v>487</v>
      </c>
      <c r="E144" t="s">
        <v>488</v>
      </c>
      <c r="F144" t="s">
        <v>489</v>
      </c>
      <c r="G144" t="s">
        <v>490</v>
      </c>
      <c r="H144" t="s">
        <v>61</v>
      </c>
      <c r="I144" t="s">
        <v>491</v>
      </c>
      <c r="J144" t="s">
        <v>48</v>
      </c>
      <c r="K144" t="s">
        <v>49</v>
      </c>
      <c r="L144" t="s">
        <v>29</v>
      </c>
      <c r="M144" t="s">
        <v>30</v>
      </c>
      <c r="N144" t="s">
        <v>31</v>
      </c>
      <c r="Q144" t="s">
        <v>492</v>
      </c>
      <c r="R144" t="s">
        <v>492</v>
      </c>
    </row>
    <row r="145" spans="1:18" x14ac:dyDescent="0.3">
      <c r="A145" s="2" t="str">
        <f>HYPERLINK(B145,"Oppna PDF")</f>
        <v>Oppna PDF</v>
      </c>
      <c r="B145" t="s">
        <v>485</v>
      </c>
      <c r="C145" t="s">
        <v>493</v>
      </c>
      <c r="D145" t="s">
        <v>487</v>
      </c>
      <c r="E145" t="s">
        <v>488</v>
      </c>
      <c r="F145" t="s">
        <v>489</v>
      </c>
      <c r="G145" t="s">
        <v>490</v>
      </c>
      <c r="H145" t="s">
        <v>61</v>
      </c>
      <c r="I145" t="s">
        <v>491</v>
      </c>
      <c r="J145" t="s">
        <v>48</v>
      </c>
      <c r="K145" t="s">
        <v>49</v>
      </c>
      <c r="L145" t="s">
        <v>29</v>
      </c>
      <c r="M145" t="s">
        <v>30</v>
      </c>
      <c r="N145" t="s">
        <v>31</v>
      </c>
      <c r="Q145" t="s">
        <v>494</v>
      </c>
      <c r="R145" t="s">
        <v>494</v>
      </c>
    </row>
    <row r="146" spans="1:18" x14ac:dyDescent="0.3">
      <c r="A146" s="2" t="str">
        <f>HYPERLINK(B146,"Oppna PDF")</f>
        <v>Oppna PDF</v>
      </c>
      <c r="B146" t="s">
        <v>485</v>
      </c>
      <c r="C146" t="s">
        <v>495</v>
      </c>
      <c r="D146" t="s">
        <v>487</v>
      </c>
      <c r="E146" t="s">
        <v>488</v>
      </c>
      <c r="F146" t="s">
        <v>489</v>
      </c>
      <c r="G146" t="s">
        <v>490</v>
      </c>
      <c r="H146" t="s">
        <v>61</v>
      </c>
      <c r="I146" t="s">
        <v>491</v>
      </c>
      <c r="J146" t="s">
        <v>38</v>
      </c>
      <c r="K146" t="s">
        <v>39</v>
      </c>
      <c r="L146" t="s">
        <v>29</v>
      </c>
      <c r="M146" t="s">
        <v>30</v>
      </c>
      <c r="N146" t="s">
        <v>31</v>
      </c>
      <c r="Q146" t="s">
        <v>496</v>
      </c>
      <c r="R146" t="s">
        <v>496</v>
      </c>
    </row>
    <row r="147" spans="1:18" x14ac:dyDescent="0.3">
      <c r="A147" s="2" t="str">
        <f>HYPERLINK(B147,"Oppna PDF")</f>
        <v>Oppna PDF</v>
      </c>
      <c r="B147" t="s">
        <v>497</v>
      </c>
      <c r="C147" t="s">
        <v>498</v>
      </c>
      <c r="D147" t="s">
        <v>480</v>
      </c>
      <c r="E147" t="s">
        <v>499</v>
      </c>
      <c r="F147" t="s">
        <v>435</v>
      </c>
      <c r="G147" t="s">
        <v>436</v>
      </c>
      <c r="H147" t="s">
        <v>61</v>
      </c>
      <c r="I147" t="s">
        <v>482</v>
      </c>
      <c r="J147" t="s">
        <v>34</v>
      </c>
      <c r="K147" t="s">
        <v>35</v>
      </c>
      <c r="L147" t="s">
        <v>29</v>
      </c>
      <c r="M147" t="s">
        <v>30</v>
      </c>
      <c r="N147" t="s">
        <v>31</v>
      </c>
      <c r="Q147" t="s">
        <v>500</v>
      </c>
      <c r="R147" t="s">
        <v>500</v>
      </c>
    </row>
    <row r="148" spans="1:18" x14ac:dyDescent="0.3">
      <c r="A148" s="2" t="str">
        <f>HYPERLINK(B148,"Oppna PDF")</f>
        <v>Oppna PDF</v>
      </c>
      <c r="B148" t="s">
        <v>501</v>
      </c>
      <c r="C148" t="s">
        <v>502</v>
      </c>
      <c r="D148" t="s">
        <v>480</v>
      </c>
      <c r="E148" t="s">
        <v>503</v>
      </c>
      <c r="F148" t="s">
        <v>435</v>
      </c>
      <c r="G148" t="s">
        <v>436</v>
      </c>
      <c r="H148" t="s">
        <v>61</v>
      </c>
      <c r="I148" t="s">
        <v>482</v>
      </c>
      <c r="J148" t="s">
        <v>34</v>
      </c>
      <c r="K148" t="s">
        <v>35</v>
      </c>
      <c r="L148" t="s">
        <v>29</v>
      </c>
      <c r="M148" t="s">
        <v>30</v>
      </c>
      <c r="N148" t="s">
        <v>31</v>
      </c>
      <c r="Q148" t="s">
        <v>504</v>
      </c>
      <c r="R148" t="s">
        <v>504</v>
      </c>
    </row>
    <row r="149" spans="1:18" x14ac:dyDescent="0.3">
      <c r="A149" s="2" t="str">
        <f>HYPERLINK(B149,"Oppna PDF")</f>
        <v>Oppna PDF</v>
      </c>
      <c r="B149" t="s">
        <v>501</v>
      </c>
      <c r="C149" t="s">
        <v>505</v>
      </c>
      <c r="D149" t="s">
        <v>480</v>
      </c>
      <c r="E149" t="s">
        <v>503</v>
      </c>
      <c r="F149" t="s">
        <v>435</v>
      </c>
      <c r="G149" t="s">
        <v>436</v>
      </c>
      <c r="H149" t="s">
        <v>61</v>
      </c>
      <c r="I149" t="s">
        <v>482</v>
      </c>
      <c r="J149" t="s">
        <v>91</v>
      </c>
      <c r="K149" t="s">
        <v>92</v>
      </c>
      <c r="L149" t="s">
        <v>29</v>
      </c>
      <c r="M149" t="s">
        <v>30</v>
      </c>
      <c r="N149" t="s">
        <v>31</v>
      </c>
      <c r="Q149" t="s">
        <v>506</v>
      </c>
      <c r="R149" t="s">
        <v>507</v>
      </c>
    </row>
    <row r="150" spans="1:18" x14ac:dyDescent="0.3">
      <c r="A150" s="2" t="str">
        <f>HYPERLINK(B150,"Oppna PDF")</f>
        <v>Oppna PDF</v>
      </c>
      <c r="B150" t="s">
        <v>508</v>
      </c>
      <c r="C150" t="s">
        <v>509</v>
      </c>
      <c r="D150" t="s">
        <v>480</v>
      </c>
      <c r="E150" t="s">
        <v>510</v>
      </c>
      <c r="F150" t="s">
        <v>435</v>
      </c>
      <c r="G150" t="s">
        <v>436</v>
      </c>
      <c r="H150" t="s">
        <v>61</v>
      </c>
      <c r="I150" t="s">
        <v>482</v>
      </c>
      <c r="J150" t="s">
        <v>91</v>
      </c>
      <c r="K150" t="s">
        <v>92</v>
      </c>
      <c r="L150" t="s">
        <v>29</v>
      </c>
      <c r="M150" t="s">
        <v>30</v>
      </c>
      <c r="N150" t="s">
        <v>31</v>
      </c>
      <c r="Q150" t="s">
        <v>470</v>
      </c>
      <c r="R150" t="s">
        <v>470</v>
      </c>
    </row>
    <row r="151" spans="1:18" x14ac:dyDescent="0.3">
      <c r="A151" s="2" t="str">
        <f>HYPERLINK(B151,"Oppna PDF")</f>
        <v>Oppna PDF</v>
      </c>
      <c r="B151" t="s">
        <v>508</v>
      </c>
      <c r="C151" t="s">
        <v>511</v>
      </c>
      <c r="D151" t="s">
        <v>480</v>
      </c>
      <c r="E151" t="s">
        <v>510</v>
      </c>
      <c r="F151" t="s">
        <v>435</v>
      </c>
      <c r="G151" t="s">
        <v>436</v>
      </c>
      <c r="H151" t="s">
        <v>61</v>
      </c>
      <c r="I151" t="s">
        <v>482</v>
      </c>
      <c r="J151" t="s">
        <v>91</v>
      </c>
      <c r="K151" t="s">
        <v>92</v>
      </c>
      <c r="L151" t="s">
        <v>29</v>
      </c>
      <c r="M151" t="s">
        <v>30</v>
      </c>
      <c r="N151" t="s">
        <v>31</v>
      </c>
      <c r="Q151" t="s">
        <v>472</v>
      </c>
      <c r="R151" t="s">
        <v>473</v>
      </c>
    </row>
    <row r="152" spans="1:18" x14ac:dyDescent="0.3">
      <c r="A152" s="2" t="str">
        <f>HYPERLINK(B152,"Oppna PDF")</f>
        <v>Oppna PDF</v>
      </c>
      <c r="B152" t="s">
        <v>512</v>
      </c>
      <c r="C152" t="s">
        <v>513</v>
      </c>
      <c r="D152" t="s">
        <v>514</v>
      </c>
      <c r="E152" t="s">
        <v>515</v>
      </c>
      <c r="F152" t="e">
        <f>-- Miljökontoret Söderköpings</f>
        <v>#NAME?</v>
      </c>
      <c r="G152" t="e">
        <f>-- Miljökontoret Söderköpings kommun</f>
        <v>#NAME?</v>
      </c>
      <c r="H152" t="s">
        <v>25</v>
      </c>
      <c r="I152" t="s">
        <v>516</v>
      </c>
      <c r="J152" t="s">
        <v>38</v>
      </c>
      <c r="K152" t="s">
        <v>39</v>
      </c>
      <c r="L152" t="s">
        <v>29</v>
      </c>
      <c r="M152" t="s">
        <v>30</v>
      </c>
      <c r="N152" t="s">
        <v>31</v>
      </c>
      <c r="Q152" t="s">
        <v>517</v>
      </c>
      <c r="R152" t="s">
        <v>518</v>
      </c>
    </row>
    <row r="153" spans="1:18" x14ac:dyDescent="0.3">
      <c r="A153" s="2" t="str">
        <f>HYPERLINK(B153,"Oppna PDF")</f>
        <v>Oppna PDF</v>
      </c>
      <c r="B153" t="s">
        <v>512</v>
      </c>
      <c r="C153" t="s">
        <v>519</v>
      </c>
      <c r="D153" t="s">
        <v>514</v>
      </c>
      <c r="E153" t="s">
        <v>515</v>
      </c>
      <c r="F153" t="e">
        <f>-- Miljökontoret Söderköpings</f>
        <v>#NAME?</v>
      </c>
      <c r="G153" t="e">
        <f>-- Miljökontoret Söderköpings kommun</f>
        <v>#NAME?</v>
      </c>
      <c r="H153" t="s">
        <v>25</v>
      </c>
      <c r="I153" t="s">
        <v>516</v>
      </c>
      <c r="J153" t="s">
        <v>27</v>
      </c>
      <c r="K153" t="s">
        <v>28</v>
      </c>
      <c r="L153" t="s">
        <v>29</v>
      </c>
      <c r="M153" t="s">
        <v>30</v>
      </c>
      <c r="N153" t="s">
        <v>31</v>
      </c>
      <c r="Q153" t="s">
        <v>520</v>
      </c>
      <c r="R153" t="s">
        <v>520</v>
      </c>
    </row>
    <row r="154" spans="1:18" x14ac:dyDescent="0.3">
      <c r="A154" s="2" t="str">
        <f>HYPERLINK(B154,"Oppna PDF")</f>
        <v>Oppna PDF</v>
      </c>
      <c r="B154" t="s">
        <v>521</v>
      </c>
      <c r="C154" t="s">
        <v>522</v>
      </c>
      <c r="D154" t="s">
        <v>523</v>
      </c>
      <c r="E154" t="s">
        <v>524</v>
      </c>
      <c r="H154" t="s">
        <v>61</v>
      </c>
      <c r="I154" t="s">
        <v>525</v>
      </c>
      <c r="J154" t="s">
        <v>91</v>
      </c>
      <c r="K154" t="s">
        <v>92</v>
      </c>
      <c r="L154" t="s">
        <v>29</v>
      </c>
      <c r="M154" t="s">
        <v>30</v>
      </c>
      <c r="N154" t="s">
        <v>31</v>
      </c>
      <c r="Q154" t="s">
        <v>526</v>
      </c>
      <c r="R154" t="s">
        <v>527</v>
      </c>
    </row>
    <row r="155" spans="1:18" x14ac:dyDescent="0.3">
      <c r="A155" s="2" t="str">
        <f>HYPERLINK(B155,"Oppna PDF")</f>
        <v>Oppna PDF</v>
      </c>
      <c r="B155" t="s">
        <v>521</v>
      </c>
      <c r="C155" t="s">
        <v>528</v>
      </c>
      <c r="D155" t="s">
        <v>523</v>
      </c>
      <c r="E155" t="s">
        <v>524</v>
      </c>
      <c r="H155" t="s">
        <v>61</v>
      </c>
      <c r="I155" t="s">
        <v>525</v>
      </c>
      <c r="J155" t="s">
        <v>91</v>
      </c>
      <c r="K155" t="s">
        <v>92</v>
      </c>
      <c r="L155" t="s">
        <v>29</v>
      </c>
      <c r="M155" t="s">
        <v>30</v>
      </c>
      <c r="N155" t="s">
        <v>31</v>
      </c>
      <c r="Q155" t="s">
        <v>529</v>
      </c>
      <c r="R155" t="s">
        <v>530</v>
      </c>
    </row>
    <row r="156" spans="1:18" x14ac:dyDescent="0.3">
      <c r="A156" s="2" t="str">
        <f>HYPERLINK(B156,"Oppna PDF")</f>
        <v>Oppna PDF</v>
      </c>
      <c r="B156" t="s">
        <v>521</v>
      </c>
      <c r="C156" t="s">
        <v>531</v>
      </c>
      <c r="D156" t="s">
        <v>523</v>
      </c>
      <c r="E156" t="s">
        <v>524</v>
      </c>
      <c r="H156" t="s">
        <v>61</v>
      </c>
      <c r="I156" t="s">
        <v>525</v>
      </c>
      <c r="J156" t="s">
        <v>91</v>
      </c>
      <c r="K156" t="s">
        <v>92</v>
      </c>
      <c r="L156" t="s">
        <v>29</v>
      </c>
      <c r="M156" t="s">
        <v>30</v>
      </c>
      <c r="N156" t="s">
        <v>31</v>
      </c>
      <c r="Q156" t="s">
        <v>532</v>
      </c>
      <c r="R156" t="s">
        <v>533</v>
      </c>
    </row>
    <row r="157" spans="1:18" x14ac:dyDescent="0.3">
      <c r="A157" s="2" t="str">
        <f>HYPERLINK(B157,"Oppna PDF")</f>
        <v>Oppna PDF</v>
      </c>
      <c r="B157" t="s">
        <v>534</v>
      </c>
      <c r="C157" t="s">
        <v>535</v>
      </c>
      <c r="D157" t="s">
        <v>536</v>
      </c>
      <c r="E157" t="s">
        <v>537</v>
      </c>
      <c r="H157" t="s">
        <v>25</v>
      </c>
      <c r="I157" t="s">
        <v>538</v>
      </c>
      <c r="J157" t="s">
        <v>87</v>
      </c>
      <c r="K157" t="s">
        <v>88</v>
      </c>
      <c r="L157" t="s">
        <v>300</v>
      </c>
      <c r="M157" t="s">
        <v>30</v>
      </c>
      <c r="N157" t="s">
        <v>31</v>
      </c>
      <c r="Q157" t="s">
        <v>539</v>
      </c>
      <c r="R157" t="s">
        <v>539</v>
      </c>
    </row>
    <row r="158" spans="1:18" x14ac:dyDescent="0.3">
      <c r="A158" s="2" t="str">
        <f>HYPERLINK(B158,"Oppna PDF")</f>
        <v>Oppna PDF</v>
      </c>
      <c r="B158" t="s">
        <v>534</v>
      </c>
      <c r="C158" t="s">
        <v>540</v>
      </c>
      <c r="D158" t="s">
        <v>536</v>
      </c>
      <c r="E158" t="s">
        <v>537</v>
      </c>
      <c r="H158" t="s">
        <v>25</v>
      </c>
      <c r="I158" t="s">
        <v>538</v>
      </c>
      <c r="J158" t="s">
        <v>27</v>
      </c>
      <c r="K158" t="s">
        <v>28</v>
      </c>
      <c r="L158" t="s">
        <v>300</v>
      </c>
      <c r="M158" t="s">
        <v>30</v>
      </c>
      <c r="N158" t="s">
        <v>31</v>
      </c>
      <c r="Q158" t="s">
        <v>541</v>
      </c>
      <c r="R158" t="s">
        <v>541</v>
      </c>
    </row>
    <row r="159" spans="1:18" x14ac:dyDescent="0.3">
      <c r="A159" s="2" t="str">
        <f>HYPERLINK(B159,"Oppna PDF")</f>
        <v>Oppna PDF</v>
      </c>
      <c r="B159" t="s">
        <v>534</v>
      </c>
      <c r="C159" t="s">
        <v>542</v>
      </c>
      <c r="D159" t="s">
        <v>536</v>
      </c>
      <c r="E159" t="s">
        <v>537</v>
      </c>
      <c r="H159" t="s">
        <v>25</v>
      </c>
      <c r="I159" t="s">
        <v>538</v>
      </c>
      <c r="J159" t="s">
        <v>87</v>
      </c>
      <c r="K159" t="s">
        <v>88</v>
      </c>
      <c r="L159" t="s">
        <v>300</v>
      </c>
      <c r="M159" t="s">
        <v>30</v>
      </c>
      <c r="N159" t="s">
        <v>31</v>
      </c>
      <c r="Q159" t="s">
        <v>543</v>
      </c>
      <c r="R159" t="s">
        <v>543</v>
      </c>
    </row>
    <row r="160" spans="1:18" x14ac:dyDescent="0.3">
      <c r="A160" s="2" t="str">
        <f>HYPERLINK(B160,"Oppna PDF")</f>
        <v>Oppna PDF</v>
      </c>
      <c r="B160" t="s">
        <v>544</v>
      </c>
      <c r="C160" t="s">
        <v>545</v>
      </c>
      <c r="D160" t="s">
        <v>546</v>
      </c>
      <c r="E160" t="s">
        <v>547</v>
      </c>
      <c r="F160" t="s">
        <v>548</v>
      </c>
      <c r="G160" t="s">
        <v>549</v>
      </c>
      <c r="H160" t="s">
        <v>61</v>
      </c>
      <c r="I160" t="s">
        <v>550</v>
      </c>
      <c r="J160" t="s">
        <v>48</v>
      </c>
      <c r="K160" t="s">
        <v>49</v>
      </c>
      <c r="L160" t="s">
        <v>29</v>
      </c>
      <c r="M160" t="s">
        <v>30</v>
      </c>
      <c r="N160" t="s">
        <v>31</v>
      </c>
      <c r="Q160" t="s">
        <v>551</v>
      </c>
      <c r="R160" t="s">
        <v>551</v>
      </c>
    </row>
    <row r="161" spans="1:18" x14ac:dyDescent="0.3">
      <c r="A161" s="2" t="str">
        <f>HYPERLINK(B161,"Oppna PDF")</f>
        <v>Oppna PDF</v>
      </c>
      <c r="B161" t="s">
        <v>544</v>
      </c>
      <c r="C161" t="s">
        <v>552</v>
      </c>
      <c r="D161" t="s">
        <v>546</v>
      </c>
      <c r="E161" t="s">
        <v>547</v>
      </c>
      <c r="F161" t="s">
        <v>548</v>
      </c>
      <c r="G161" t="s">
        <v>549</v>
      </c>
      <c r="H161" t="s">
        <v>61</v>
      </c>
      <c r="I161" t="s">
        <v>550</v>
      </c>
      <c r="J161" t="s">
        <v>48</v>
      </c>
      <c r="K161" t="s">
        <v>49</v>
      </c>
      <c r="L161" t="s">
        <v>29</v>
      </c>
      <c r="M161" t="s">
        <v>30</v>
      </c>
      <c r="N161" t="s">
        <v>31</v>
      </c>
      <c r="Q161" t="s">
        <v>553</v>
      </c>
      <c r="R161" t="s">
        <v>553</v>
      </c>
    </row>
    <row r="162" spans="1:18" x14ac:dyDescent="0.3">
      <c r="A162" s="2" t="str">
        <f>HYPERLINK(B162,"Oppna PDF")</f>
        <v>Oppna PDF</v>
      </c>
      <c r="B162" t="s">
        <v>544</v>
      </c>
      <c r="C162" t="s">
        <v>554</v>
      </c>
      <c r="D162" t="s">
        <v>546</v>
      </c>
      <c r="E162" t="s">
        <v>547</v>
      </c>
      <c r="F162" t="s">
        <v>548</v>
      </c>
      <c r="G162" t="s">
        <v>549</v>
      </c>
      <c r="H162" t="s">
        <v>61</v>
      </c>
      <c r="I162" t="s">
        <v>550</v>
      </c>
      <c r="J162" t="s">
        <v>34</v>
      </c>
      <c r="K162" t="s">
        <v>35</v>
      </c>
      <c r="L162" t="s">
        <v>29</v>
      </c>
      <c r="M162" t="s">
        <v>30</v>
      </c>
      <c r="N162" t="s">
        <v>31</v>
      </c>
      <c r="Q162" t="s">
        <v>555</v>
      </c>
      <c r="R162" t="s">
        <v>555</v>
      </c>
    </row>
    <row r="163" spans="1:18" x14ac:dyDescent="0.3">
      <c r="A163" s="2" t="str">
        <f>HYPERLINK(B163,"Oppna PDF")</f>
        <v>Oppna PDF</v>
      </c>
      <c r="B163" t="s">
        <v>556</v>
      </c>
      <c r="C163" t="s">
        <v>557</v>
      </c>
      <c r="D163" t="s">
        <v>480</v>
      </c>
      <c r="E163" t="s">
        <v>558</v>
      </c>
      <c r="F163" t="s">
        <v>435</v>
      </c>
      <c r="G163" t="s">
        <v>436</v>
      </c>
      <c r="H163" t="s">
        <v>61</v>
      </c>
      <c r="I163" t="s">
        <v>482</v>
      </c>
      <c r="J163" t="s">
        <v>38</v>
      </c>
      <c r="K163" t="s">
        <v>39</v>
      </c>
      <c r="L163" t="s">
        <v>29</v>
      </c>
      <c r="M163" t="s">
        <v>30</v>
      </c>
      <c r="N163" t="s">
        <v>31</v>
      </c>
      <c r="Q163" t="s">
        <v>559</v>
      </c>
      <c r="R163" t="s">
        <v>559</v>
      </c>
    </row>
    <row r="164" spans="1:18" x14ac:dyDescent="0.3">
      <c r="A164" s="2" t="str">
        <f>HYPERLINK(B164,"Oppna PDF")</f>
        <v>Oppna PDF</v>
      </c>
      <c r="B164" t="s">
        <v>560</v>
      </c>
      <c r="C164" t="s">
        <v>561</v>
      </c>
      <c r="D164" t="s">
        <v>480</v>
      </c>
      <c r="E164" t="s">
        <v>562</v>
      </c>
      <c r="F164" t="s">
        <v>435</v>
      </c>
      <c r="G164" t="s">
        <v>436</v>
      </c>
      <c r="H164" t="s">
        <v>61</v>
      </c>
      <c r="I164" t="s">
        <v>482</v>
      </c>
      <c r="J164" t="s">
        <v>27</v>
      </c>
      <c r="K164" t="s">
        <v>28</v>
      </c>
      <c r="L164" t="s">
        <v>29</v>
      </c>
      <c r="M164" t="s">
        <v>30</v>
      </c>
      <c r="N164" t="s">
        <v>31</v>
      </c>
      <c r="Q164" t="s">
        <v>563</v>
      </c>
      <c r="R164" t="s">
        <v>563</v>
      </c>
    </row>
    <row r="165" spans="1:18" x14ac:dyDescent="0.3">
      <c r="A165" s="2" t="str">
        <f>HYPERLINK(B165,"Oppna PDF")</f>
        <v>Oppna PDF</v>
      </c>
      <c r="B165" t="s">
        <v>560</v>
      </c>
      <c r="C165" t="s">
        <v>564</v>
      </c>
      <c r="D165" t="s">
        <v>480</v>
      </c>
      <c r="E165" t="s">
        <v>562</v>
      </c>
      <c r="F165" t="s">
        <v>435</v>
      </c>
      <c r="G165" t="s">
        <v>436</v>
      </c>
      <c r="H165" t="s">
        <v>61</v>
      </c>
      <c r="I165" t="s">
        <v>482</v>
      </c>
      <c r="J165" t="s">
        <v>34</v>
      </c>
      <c r="K165" t="s">
        <v>35</v>
      </c>
      <c r="L165" t="s">
        <v>29</v>
      </c>
      <c r="M165" t="s">
        <v>30</v>
      </c>
      <c r="N165" t="s">
        <v>31</v>
      </c>
      <c r="Q165" t="s">
        <v>565</v>
      </c>
      <c r="R165" t="s">
        <v>565</v>
      </c>
    </row>
    <row r="166" spans="1:18" x14ac:dyDescent="0.3">
      <c r="A166" s="2" t="str">
        <f>HYPERLINK(B166,"Oppna PDF")</f>
        <v>Oppna PDF</v>
      </c>
      <c r="B166" t="s">
        <v>560</v>
      </c>
      <c r="C166" t="s">
        <v>566</v>
      </c>
      <c r="D166" t="s">
        <v>480</v>
      </c>
      <c r="E166" t="s">
        <v>562</v>
      </c>
      <c r="F166" t="s">
        <v>435</v>
      </c>
      <c r="G166" t="s">
        <v>436</v>
      </c>
      <c r="H166" t="s">
        <v>61</v>
      </c>
      <c r="I166" t="s">
        <v>482</v>
      </c>
      <c r="J166" t="s">
        <v>87</v>
      </c>
      <c r="K166" t="s">
        <v>88</v>
      </c>
      <c r="L166" t="s">
        <v>29</v>
      </c>
      <c r="M166" t="s">
        <v>30</v>
      </c>
      <c r="N166" t="s">
        <v>31</v>
      </c>
      <c r="Q166" t="s">
        <v>567</v>
      </c>
      <c r="R166" t="s">
        <v>567</v>
      </c>
    </row>
    <row r="167" spans="1:18" x14ac:dyDescent="0.3">
      <c r="A167" s="2" t="str">
        <f>HYPERLINK(B167,"Oppna PDF")</f>
        <v>Oppna PDF</v>
      </c>
      <c r="B167" t="s">
        <v>568</v>
      </c>
      <c r="C167" t="s">
        <v>569</v>
      </c>
      <c r="D167" t="s">
        <v>570</v>
      </c>
      <c r="E167" t="s">
        <v>571</v>
      </c>
      <c r="H167" t="s">
        <v>25</v>
      </c>
      <c r="I167" t="s">
        <v>572</v>
      </c>
      <c r="J167" t="s">
        <v>34</v>
      </c>
      <c r="K167" t="s">
        <v>35</v>
      </c>
      <c r="L167" t="s">
        <v>29</v>
      </c>
      <c r="M167" t="s">
        <v>30</v>
      </c>
      <c r="N167" t="s">
        <v>31</v>
      </c>
      <c r="Q167" t="s">
        <v>573</v>
      </c>
      <c r="R167" t="s">
        <v>573</v>
      </c>
    </row>
    <row r="168" spans="1:18" x14ac:dyDescent="0.3">
      <c r="A168" s="2" t="str">
        <f>HYPERLINK(B168,"Oppna PDF")</f>
        <v>Oppna PDF</v>
      </c>
      <c r="B168" t="s">
        <v>568</v>
      </c>
      <c r="C168" t="s">
        <v>574</v>
      </c>
      <c r="D168" t="s">
        <v>570</v>
      </c>
      <c r="E168" t="s">
        <v>571</v>
      </c>
      <c r="H168" t="s">
        <v>25</v>
      </c>
      <c r="I168" t="s">
        <v>572</v>
      </c>
      <c r="J168" t="s">
        <v>38</v>
      </c>
      <c r="K168" t="s">
        <v>39</v>
      </c>
      <c r="L168" t="s">
        <v>29</v>
      </c>
      <c r="M168" t="s">
        <v>30</v>
      </c>
      <c r="N168" t="s">
        <v>31</v>
      </c>
      <c r="Q168" t="s">
        <v>575</v>
      </c>
      <c r="R168" t="s">
        <v>576</v>
      </c>
    </row>
    <row r="169" spans="1:18" x14ac:dyDescent="0.3">
      <c r="A169" s="2" t="str">
        <f>HYPERLINK(B169,"Oppna PDF")</f>
        <v>Oppna PDF</v>
      </c>
      <c r="B169" t="s">
        <v>568</v>
      </c>
      <c r="C169" t="s">
        <v>577</v>
      </c>
      <c r="D169" t="s">
        <v>570</v>
      </c>
      <c r="E169" t="s">
        <v>571</v>
      </c>
      <c r="H169" t="s">
        <v>25</v>
      </c>
      <c r="I169" t="s">
        <v>572</v>
      </c>
      <c r="J169" t="s">
        <v>27</v>
      </c>
      <c r="K169" t="s">
        <v>28</v>
      </c>
      <c r="L169" t="s">
        <v>29</v>
      </c>
      <c r="M169" t="s">
        <v>30</v>
      </c>
      <c r="N169" t="s">
        <v>31</v>
      </c>
      <c r="Q169" t="s">
        <v>578</v>
      </c>
      <c r="R169" t="s">
        <v>579</v>
      </c>
    </row>
    <row r="170" spans="1:18" x14ac:dyDescent="0.3">
      <c r="A170" s="2" t="str">
        <f>HYPERLINK(B170,"Oppna PDF")</f>
        <v>Oppna PDF</v>
      </c>
      <c r="B170" t="s">
        <v>580</v>
      </c>
      <c r="C170" t="s">
        <v>581</v>
      </c>
      <c r="D170" t="s">
        <v>582</v>
      </c>
      <c r="E170" t="s">
        <v>583</v>
      </c>
      <c r="H170" t="s">
        <v>25</v>
      </c>
      <c r="I170" t="s">
        <v>584</v>
      </c>
      <c r="J170" t="s">
        <v>34</v>
      </c>
      <c r="K170" t="s">
        <v>35</v>
      </c>
      <c r="L170" t="s">
        <v>29</v>
      </c>
      <c r="M170" t="s">
        <v>30</v>
      </c>
      <c r="N170" t="s">
        <v>31</v>
      </c>
      <c r="Q170" t="s">
        <v>585</v>
      </c>
      <c r="R170" t="s">
        <v>585</v>
      </c>
    </row>
    <row r="171" spans="1:18" x14ac:dyDescent="0.3">
      <c r="A171" s="2" t="str">
        <f>HYPERLINK(B171,"Oppna PDF")</f>
        <v>Oppna PDF</v>
      </c>
      <c r="B171" t="s">
        <v>580</v>
      </c>
      <c r="C171" t="s">
        <v>586</v>
      </c>
      <c r="D171" t="s">
        <v>582</v>
      </c>
      <c r="E171" t="s">
        <v>583</v>
      </c>
      <c r="H171" t="s">
        <v>25</v>
      </c>
      <c r="I171" t="s">
        <v>584</v>
      </c>
      <c r="J171" t="s">
        <v>38</v>
      </c>
      <c r="K171" t="s">
        <v>39</v>
      </c>
      <c r="L171" t="s">
        <v>29</v>
      </c>
      <c r="M171" t="s">
        <v>30</v>
      </c>
      <c r="N171" t="s">
        <v>31</v>
      </c>
      <c r="Q171" t="s">
        <v>587</v>
      </c>
      <c r="R171" t="s">
        <v>588</v>
      </c>
    </row>
    <row r="172" spans="1:18" x14ac:dyDescent="0.3">
      <c r="A172" s="2" t="str">
        <f>HYPERLINK(B172,"Oppna PDF")</f>
        <v>Oppna PDF</v>
      </c>
      <c r="B172" t="s">
        <v>580</v>
      </c>
      <c r="C172" t="s">
        <v>589</v>
      </c>
      <c r="D172" t="s">
        <v>582</v>
      </c>
      <c r="E172" t="s">
        <v>583</v>
      </c>
      <c r="H172" t="s">
        <v>25</v>
      </c>
      <c r="I172" t="s">
        <v>584</v>
      </c>
      <c r="J172" t="s">
        <v>27</v>
      </c>
      <c r="K172" t="s">
        <v>28</v>
      </c>
      <c r="L172" t="s">
        <v>29</v>
      </c>
      <c r="M172" t="s">
        <v>30</v>
      </c>
      <c r="N172" t="s">
        <v>31</v>
      </c>
      <c r="Q172" t="s">
        <v>590</v>
      </c>
      <c r="R172" t="s">
        <v>590</v>
      </c>
    </row>
    <row r="173" spans="1:18" x14ac:dyDescent="0.3">
      <c r="A173" s="2" t="str">
        <f>HYPERLINK(B173,"Oppna PDF")</f>
        <v>Oppna PDF</v>
      </c>
      <c r="B173" t="s">
        <v>591</v>
      </c>
      <c r="C173" t="s">
        <v>592</v>
      </c>
      <c r="D173" t="s">
        <v>582</v>
      </c>
      <c r="E173" t="s">
        <v>593</v>
      </c>
      <c r="H173" t="s">
        <v>25</v>
      </c>
      <c r="I173" t="s">
        <v>584</v>
      </c>
      <c r="J173" t="s">
        <v>34</v>
      </c>
      <c r="K173" t="s">
        <v>35</v>
      </c>
      <c r="L173" t="s">
        <v>29</v>
      </c>
      <c r="M173" t="s">
        <v>30</v>
      </c>
      <c r="N173" t="s">
        <v>31</v>
      </c>
      <c r="Q173" t="s">
        <v>573</v>
      </c>
      <c r="R173" t="s">
        <v>573</v>
      </c>
    </row>
    <row r="174" spans="1:18" x14ac:dyDescent="0.3">
      <c r="A174" s="2" t="str">
        <f>HYPERLINK(B174,"Oppna PDF")</f>
        <v>Oppna PDF</v>
      </c>
      <c r="B174" t="s">
        <v>591</v>
      </c>
      <c r="C174" t="s">
        <v>594</v>
      </c>
      <c r="D174" t="s">
        <v>582</v>
      </c>
      <c r="E174" t="s">
        <v>593</v>
      </c>
      <c r="H174" t="s">
        <v>25</v>
      </c>
      <c r="I174" t="s">
        <v>584</v>
      </c>
      <c r="J174" t="s">
        <v>38</v>
      </c>
      <c r="K174" t="s">
        <v>39</v>
      </c>
      <c r="L174" t="s">
        <v>29</v>
      </c>
      <c r="M174" t="s">
        <v>30</v>
      </c>
      <c r="N174" t="s">
        <v>31</v>
      </c>
      <c r="Q174" t="s">
        <v>575</v>
      </c>
      <c r="R174" t="s">
        <v>576</v>
      </c>
    </row>
    <row r="175" spans="1:18" x14ac:dyDescent="0.3">
      <c r="A175" s="2" t="str">
        <f>HYPERLINK(B175,"Oppna PDF")</f>
        <v>Oppna PDF</v>
      </c>
      <c r="B175" t="s">
        <v>591</v>
      </c>
      <c r="C175" t="s">
        <v>595</v>
      </c>
      <c r="D175" t="s">
        <v>582</v>
      </c>
      <c r="E175" t="s">
        <v>593</v>
      </c>
      <c r="H175" t="s">
        <v>25</v>
      </c>
      <c r="I175" t="s">
        <v>584</v>
      </c>
      <c r="J175" t="s">
        <v>27</v>
      </c>
      <c r="K175" t="s">
        <v>28</v>
      </c>
      <c r="L175" t="s">
        <v>29</v>
      </c>
      <c r="M175" t="s">
        <v>30</v>
      </c>
      <c r="N175" t="s">
        <v>31</v>
      </c>
      <c r="Q175" t="s">
        <v>578</v>
      </c>
      <c r="R175" t="s">
        <v>579</v>
      </c>
    </row>
    <row r="176" spans="1:18" x14ac:dyDescent="0.3">
      <c r="A176" s="2" t="str">
        <f>HYPERLINK(B176,"Oppna PDF")</f>
        <v>Oppna PDF</v>
      </c>
      <c r="B176" t="s">
        <v>596</v>
      </c>
      <c r="C176" t="s">
        <v>597</v>
      </c>
      <c r="D176" t="s">
        <v>598</v>
      </c>
      <c r="E176" t="s">
        <v>599</v>
      </c>
      <c r="F176" t="s">
        <v>459</v>
      </c>
      <c r="G176" t="s">
        <v>460</v>
      </c>
      <c r="H176" t="s">
        <v>25</v>
      </c>
      <c r="I176" t="s">
        <v>600</v>
      </c>
      <c r="J176" t="s">
        <v>34</v>
      </c>
      <c r="K176" t="s">
        <v>35</v>
      </c>
      <c r="L176" t="s">
        <v>29</v>
      </c>
      <c r="M176" t="s">
        <v>30</v>
      </c>
      <c r="N176" t="s">
        <v>31</v>
      </c>
      <c r="Q176" t="s">
        <v>601</v>
      </c>
      <c r="R176" t="s">
        <v>601</v>
      </c>
    </row>
    <row r="177" spans="1:18" x14ac:dyDescent="0.3">
      <c r="A177" s="2" t="str">
        <f>HYPERLINK(B177,"Oppna PDF")</f>
        <v>Oppna PDF</v>
      </c>
      <c r="B177" t="s">
        <v>602</v>
      </c>
      <c r="C177" t="s">
        <v>603</v>
      </c>
      <c r="D177" t="s">
        <v>604</v>
      </c>
      <c r="E177" t="s">
        <v>605</v>
      </c>
      <c r="H177" t="s">
        <v>25</v>
      </c>
      <c r="I177" t="s">
        <v>606</v>
      </c>
      <c r="J177" t="s">
        <v>91</v>
      </c>
      <c r="K177" t="s">
        <v>92</v>
      </c>
      <c r="L177" t="s">
        <v>300</v>
      </c>
      <c r="M177" t="s">
        <v>30</v>
      </c>
      <c r="N177" t="s">
        <v>31</v>
      </c>
      <c r="Q177" t="s">
        <v>607</v>
      </c>
      <c r="R177" t="s">
        <v>608</v>
      </c>
    </row>
    <row r="178" spans="1:18" x14ac:dyDescent="0.3">
      <c r="A178" s="2" t="str">
        <f>HYPERLINK(B178,"Oppna PDF")</f>
        <v>Oppna PDF</v>
      </c>
      <c r="B178" t="s">
        <v>602</v>
      </c>
      <c r="C178" t="s">
        <v>609</v>
      </c>
      <c r="D178" t="s">
        <v>604</v>
      </c>
      <c r="E178" t="s">
        <v>605</v>
      </c>
      <c r="H178" t="s">
        <v>25</v>
      </c>
      <c r="I178" t="s">
        <v>606</v>
      </c>
      <c r="J178" t="s">
        <v>48</v>
      </c>
      <c r="K178" t="s">
        <v>49</v>
      </c>
      <c r="L178" t="s">
        <v>300</v>
      </c>
      <c r="M178" t="s">
        <v>30</v>
      </c>
      <c r="N178" t="s">
        <v>31</v>
      </c>
      <c r="Q178" t="s">
        <v>610</v>
      </c>
      <c r="R178" t="s">
        <v>610</v>
      </c>
    </row>
    <row r="179" spans="1:18" x14ac:dyDescent="0.3">
      <c r="A179" s="2" t="str">
        <f>HYPERLINK(B179,"Oppna PDF")</f>
        <v>Oppna PDF</v>
      </c>
      <c r="B179" t="s">
        <v>602</v>
      </c>
      <c r="C179" t="s">
        <v>611</v>
      </c>
      <c r="D179" t="s">
        <v>604</v>
      </c>
      <c r="E179" t="s">
        <v>605</v>
      </c>
      <c r="H179" t="s">
        <v>25</v>
      </c>
      <c r="I179" t="s">
        <v>606</v>
      </c>
      <c r="J179" t="s">
        <v>91</v>
      </c>
      <c r="K179" t="s">
        <v>92</v>
      </c>
      <c r="L179" t="s">
        <v>300</v>
      </c>
      <c r="M179" t="s">
        <v>30</v>
      </c>
      <c r="N179" t="s">
        <v>31</v>
      </c>
      <c r="Q179" t="s">
        <v>612</v>
      </c>
      <c r="R179" t="s">
        <v>613</v>
      </c>
    </row>
    <row r="180" spans="1:18" x14ac:dyDescent="0.3">
      <c r="A180" s="2" t="str">
        <f>HYPERLINK(B180,"Oppna PDF")</f>
        <v>Oppna PDF</v>
      </c>
      <c r="B180" t="s">
        <v>614</v>
      </c>
      <c r="C180" t="s">
        <v>615</v>
      </c>
      <c r="D180" t="s">
        <v>616</v>
      </c>
      <c r="E180" t="s">
        <v>617</v>
      </c>
      <c r="H180" t="s">
        <v>25</v>
      </c>
      <c r="I180" t="s">
        <v>606</v>
      </c>
      <c r="J180" t="s">
        <v>91</v>
      </c>
      <c r="K180" t="s">
        <v>92</v>
      </c>
      <c r="L180" t="s">
        <v>300</v>
      </c>
      <c r="M180" t="s">
        <v>30</v>
      </c>
      <c r="N180" t="s">
        <v>31</v>
      </c>
      <c r="Q180" t="s">
        <v>607</v>
      </c>
      <c r="R180" t="s">
        <v>608</v>
      </c>
    </row>
    <row r="181" spans="1:18" x14ac:dyDescent="0.3">
      <c r="A181" s="2" t="str">
        <f>HYPERLINK(B181,"Oppna PDF")</f>
        <v>Oppna PDF</v>
      </c>
      <c r="B181" t="s">
        <v>614</v>
      </c>
      <c r="C181" t="s">
        <v>618</v>
      </c>
      <c r="D181" t="s">
        <v>616</v>
      </c>
      <c r="E181" t="s">
        <v>617</v>
      </c>
      <c r="H181" t="s">
        <v>25</v>
      </c>
      <c r="I181" t="s">
        <v>606</v>
      </c>
      <c r="J181" t="s">
        <v>48</v>
      </c>
      <c r="K181" t="s">
        <v>49</v>
      </c>
      <c r="L181" t="s">
        <v>300</v>
      </c>
      <c r="M181" t="s">
        <v>30</v>
      </c>
      <c r="N181" t="s">
        <v>31</v>
      </c>
      <c r="Q181" t="s">
        <v>610</v>
      </c>
      <c r="R181" t="s">
        <v>610</v>
      </c>
    </row>
    <row r="182" spans="1:18" x14ac:dyDescent="0.3">
      <c r="A182" s="2" t="str">
        <f>HYPERLINK(B182,"Oppna PDF")</f>
        <v>Oppna PDF</v>
      </c>
      <c r="B182" t="s">
        <v>614</v>
      </c>
      <c r="C182" t="s">
        <v>619</v>
      </c>
      <c r="D182" t="s">
        <v>616</v>
      </c>
      <c r="E182" t="s">
        <v>617</v>
      </c>
      <c r="H182" t="s">
        <v>25</v>
      </c>
      <c r="I182" t="s">
        <v>606</v>
      </c>
      <c r="J182" t="s">
        <v>91</v>
      </c>
      <c r="K182" t="s">
        <v>92</v>
      </c>
      <c r="L182" t="s">
        <v>300</v>
      </c>
      <c r="M182" t="s">
        <v>30</v>
      </c>
      <c r="N182" t="s">
        <v>31</v>
      </c>
      <c r="Q182" t="s">
        <v>612</v>
      </c>
      <c r="R182" t="s">
        <v>613</v>
      </c>
    </row>
    <row r="183" spans="1:18" x14ac:dyDescent="0.3">
      <c r="A183" s="2" t="str">
        <f>HYPERLINK(B183,"Oppna PDF")</f>
        <v>Oppna PDF</v>
      </c>
      <c r="B183" t="s">
        <v>620</v>
      </c>
      <c r="C183" t="s">
        <v>621</v>
      </c>
      <c r="D183" t="s">
        <v>622</v>
      </c>
      <c r="E183" t="s">
        <v>623</v>
      </c>
      <c r="H183" t="s">
        <v>61</v>
      </c>
      <c r="I183" t="s">
        <v>624</v>
      </c>
      <c r="J183" t="s">
        <v>87</v>
      </c>
      <c r="K183" t="s">
        <v>88</v>
      </c>
      <c r="L183" t="s">
        <v>29</v>
      </c>
      <c r="M183" t="s">
        <v>30</v>
      </c>
      <c r="N183" t="s">
        <v>31</v>
      </c>
      <c r="Q183" t="s">
        <v>625</v>
      </c>
      <c r="R183" t="s">
        <v>625</v>
      </c>
    </row>
    <row r="184" spans="1:18" x14ac:dyDescent="0.3">
      <c r="A184" s="2" t="str">
        <f>HYPERLINK(B184,"Oppna PDF")</f>
        <v>Oppna PDF</v>
      </c>
      <c r="B184" t="s">
        <v>620</v>
      </c>
      <c r="C184" t="s">
        <v>626</v>
      </c>
      <c r="D184" t="s">
        <v>622</v>
      </c>
      <c r="E184" t="s">
        <v>623</v>
      </c>
      <c r="H184" t="s">
        <v>61</v>
      </c>
      <c r="I184" t="s">
        <v>624</v>
      </c>
      <c r="J184" t="s">
        <v>34</v>
      </c>
      <c r="K184" t="s">
        <v>35</v>
      </c>
      <c r="L184" t="s">
        <v>29</v>
      </c>
      <c r="M184" t="s">
        <v>30</v>
      </c>
      <c r="N184" t="s">
        <v>31</v>
      </c>
      <c r="Q184" t="s">
        <v>627</v>
      </c>
      <c r="R184" t="s">
        <v>627</v>
      </c>
    </row>
    <row r="185" spans="1:18" x14ac:dyDescent="0.3">
      <c r="A185" s="2" t="str">
        <f>HYPERLINK(B185,"Oppna PDF")</f>
        <v>Oppna PDF</v>
      </c>
      <c r="B185" t="s">
        <v>620</v>
      </c>
      <c r="C185" t="s">
        <v>628</v>
      </c>
      <c r="D185" t="s">
        <v>622</v>
      </c>
      <c r="E185" t="s">
        <v>623</v>
      </c>
      <c r="H185" t="s">
        <v>61</v>
      </c>
      <c r="I185" t="s">
        <v>624</v>
      </c>
      <c r="J185" t="s">
        <v>87</v>
      </c>
      <c r="K185" t="s">
        <v>88</v>
      </c>
      <c r="L185" t="s">
        <v>29</v>
      </c>
      <c r="M185" t="s">
        <v>30</v>
      </c>
      <c r="N185" t="s">
        <v>31</v>
      </c>
      <c r="Q185" t="s">
        <v>629</v>
      </c>
      <c r="R185" t="s">
        <v>629</v>
      </c>
    </row>
    <row r="186" spans="1:18" x14ac:dyDescent="0.3">
      <c r="A186" s="2" t="str">
        <f>HYPERLINK(B186,"Oppna PDF")</f>
        <v>Oppna PDF</v>
      </c>
      <c r="B186" t="s">
        <v>630</v>
      </c>
      <c r="C186" t="s">
        <v>631</v>
      </c>
      <c r="D186" t="s">
        <v>622</v>
      </c>
      <c r="E186" t="s">
        <v>632</v>
      </c>
      <c r="H186" t="s">
        <v>61</v>
      </c>
      <c r="I186" t="s">
        <v>624</v>
      </c>
      <c r="J186" t="s">
        <v>87</v>
      </c>
      <c r="K186" t="s">
        <v>88</v>
      </c>
      <c r="L186" t="s">
        <v>29</v>
      </c>
      <c r="M186" t="s">
        <v>30</v>
      </c>
      <c r="N186" t="s">
        <v>31</v>
      </c>
      <c r="Q186" t="s">
        <v>425</v>
      </c>
      <c r="R186" t="s">
        <v>426</v>
      </c>
    </row>
    <row r="187" spans="1:18" x14ac:dyDescent="0.3">
      <c r="A187" s="2" t="str">
        <f>HYPERLINK(B187,"Oppna PDF")</f>
        <v>Oppna PDF</v>
      </c>
      <c r="B187" t="s">
        <v>630</v>
      </c>
      <c r="C187" t="s">
        <v>633</v>
      </c>
      <c r="D187" t="s">
        <v>622</v>
      </c>
      <c r="E187" t="s">
        <v>632</v>
      </c>
      <c r="H187" t="s">
        <v>61</v>
      </c>
      <c r="I187" t="s">
        <v>624</v>
      </c>
      <c r="J187" t="s">
        <v>87</v>
      </c>
      <c r="K187" t="s">
        <v>88</v>
      </c>
      <c r="L187" t="s">
        <v>300</v>
      </c>
      <c r="M187" t="s">
        <v>30</v>
      </c>
      <c r="N187" t="s">
        <v>31</v>
      </c>
      <c r="Q187" t="s">
        <v>428</v>
      </c>
      <c r="R187" t="s">
        <v>428</v>
      </c>
    </row>
    <row r="188" spans="1:18" x14ac:dyDescent="0.3">
      <c r="A188" s="2" t="str">
        <f>HYPERLINK(B188,"Oppna PDF")</f>
        <v>Oppna PDF</v>
      </c>
      <c r="B188" t="s">
        <v>630</v>
      </c>
      <c r="C188" t="s">
        <v>634</v>
      </c>
      <c r="D188" t="s">
        <v>622</v>
      </c>
      <c r="E188" t="s">
        <v>632</v>
      </c>
      <c r="H188" t="s">
        <v>61</v>
      </c>
      <c r="I188" t="s">
        <v>624</v>
      </c>
      <c r="J188" t="s">
        <v>87</v>
      </c>
      <c r="K188" t="s">
        <v>88</v>
      </c>
      <c r="L188" t="s">
        <v>29</v>
      </c>
      <c r="M188" t="s">
        <v>30</v>
      </c>
      <c r="N188" t="s">
        <v>31</v>
      </c>
      <c r="Q188" t="s">
        <v>430</v>
      </c>
      <c r="R188" t="s">
        <v>430</v>
      </c>
    </row>
    <row r="189" spans="1:18" x14ac:dyDescent="0.3">
      <c r="A189" s="2" t="str">
        <f>HYPERLINK(B189,"Oppna PDF")</f>
        <v>Oppna PDF</v>
      </c>
      <c r="B189" t="s">
        <v>635</v>
      </c>
      <c r="C189" t="s">
        <v>636</v>
      </c>
      <c r="D189" t="s">
        <v>637</v>
      </c>
      <c r="E189" t="s">
        <v>638</v>
      </c>
      <c r="H189" t="s">
        <v>25</v>
      </c>
      <c r="I189" t="s">
        <v>639</v>
      </c>
      <c r="J189" t="s">
        <v>91</v>
      </c>
      <c r="K189" t="s">
        <v>92</v>
      </c>
      <c r="L189" t="s">
        <v>29</v>
      </c>
      <c r="M189" t="s">
        <v>30</v>
      </c>
      <c r="N189" t="s">
        <v>31</v>
      </c>
      <c r="Q189" t="s">
        <v>640</v>
      </c>
      <c r="R189" t="s">
        <v>640</v>
      </c>
    </row>
    <row r="190" spans="1:18" x14ac:dyDescent="0.3">
      <c r="A190" s="2" t="str">
        <f>HYPERLINK(B190,"Oppna PDF")</f>
        <v>Oppna PDF</v>
      </c>
      <c r="B190" t="s">
        <v>635</v>
      </c>
      <c r="C190" t="s">
        <v>641</v>
      </c>
      <c r="D190" t="s">
        <v>637</v>
      </c>
      <c r="E190" t="s">
        <v>638</v>
      </c>
      <c r="H190" t="s">
        <v>25</v>
      </c>
      <c r="I190" t="s">
        <v>639</v>
      </c>
      <c r="J190" t="s">
        <v>91</v>
      </c>
      <c r="K190" t="s">
        <v>92</v>
      </c>
      <c r="L190" t="s">
        <v>29</v>
      </c>
      <c r="M190" t="s">
        <v>30</v>
      </c>
      <c r="N190" t="s">
        <v>31</v>
      </c>
      <c r="Q190" t="s">
        <v>642</v>
      </c>
      <c r="R190" t="s">
        <v>642</v>
      </c>
    </row>
    <row r="191" spans="1:18" x14ac:dyDescent="0.3">
      <c r="A191" s="2" t="str">
        <f>HYPERLINK(B191,"Oppna PDF")</f>
        <v>Oppna PDF</v>
      </c>
      <c r="B191" t="s">
        <v>635</v>
      </c>
      <c r="C191" t="s">
        <v>643</v>
      </c>
      <c r="D191" t="s">
        <v>637</v>
      </c>
      <c r="E191" t="s">
        <v>638</v>
      </c>
      <c r="H191" t="s">
        <v>25</v>
      </c>
      <c r="I191" t="s">
        <v>639</v>
      </c>
      <c r="J191" t="s">
        <v>91</v>
      </c>
      <c r="K191" t="s">
        <v>92</v>
      </c>
      <c r="L191" t="s">
        <v>29</v>
      </c>
      <c r="M191" t="s">
        <v>30</v>
      </c>
      <c r="N191" t="s">
        <v>31</v>
      </c>
      <c r="Q191" t="s">
        <v>644</v>
      </c>
      <c r="R191" t="s">
        <v>644</v>
      </c>
    </row>
    <row r="192" spans="1:18" x14ac:dyDescent="0.3">
      <c r="A192" s="2" t="str">
        <f>HYPERLINK(B192,"Oppna PDF")</f>
        <v>Oppna PDF</v>
      </c>
      <c r="B192" t="s">
        <v>645</v>
      </c>
      <c r="C192" t="s">
        <v>646</v>
      </c>
      <c r="D192" t="s">
        <v>637</v>
      </c>
      <c r="E192" t="s">
        <v>647</v>
      </c>
      <c r="H192" t="s">
        <v>25</v>
      </c>
      <c r="I192" t="s">
        <v>639</v>
      </c>
      <c r="J192" t="s">
        <v>91</v>
      </c>
      <c r="K192" t="s">
        <v>92</v>
      </c>
      <c r="L192" t="s">
        <v>29</v>
      </c>
      <c r="M192" t="s">
        <v>30</v>
      </c>
      <c r="N192" t="s">
        <v>31</v>
      </c>
      <c r="Q192" t="s">
        <v>648</v>
      </c>
      <c r="R192" t="s">
        <v>649</v>
      </c>
    </row>
    <row r="193" spans="1:18" x14ac:dyDescent="0.3">
      <c r="A193" s="2" t="str">
        <f>HYPERLINK(B193,"Oppna PDF")</f>
        <v>Oppna PDF</v>
      </c>
      <c r="B193" t="s">
        <v>645</v>
      </c>
      <c r="C193" t="s">
        <v>650</v>
      </c>
      <c r="D193" t="s">
        <v>637</v>
      </c>
      <c r="E193" t="s">
        <v>647</v>
      </c>
      <c r="H193" t="s">
        <v>25</v>
      </c>
      <c r="I193" t="s">
        <v>639</v>
      </c>
      <c r="J193" t="s">
        <v>91</v>
      </c>
      <c r="K193" t="s">
        <v>92</v>
      </c>
      <c r="L193" t="s">
        <v>29</v>
      </c>
      <c r="M193" t="s">
        <v>30</v>
      </c>
      <c r="N193" t="s">
        <v>31</v>
      </c>
      <c r="Q193" t="s">
        <v>651</v>
      </c>
      <c r="R193" t="s">
        <v>651</v>
      </c>
    </row>
    <row r="194" spans="1:18" x14ac:dyDescent="0.3">
      <c r="A194" s="2" t="str">
        <f>HYPERLINK(B194,"Oppna PDF")</f>
        <v>Oppna PDF</v>
      </c>
      <c r="B194" t="s">
        <v>645</v>
      </c>
      <c r="C194" t="s">
        <v>652</v>
      </c>
      <c r="D194" t="s">
        <v>637</v>
      </c>
      <c r="E194" t="s">
        <v>647</v>
      </c>
      <c r="H194" t="s">
        <v>25</v>
      </c>
      <c r="I194" t="s">
        <v>639</v>
      </c>
      <c r="J194" t="s">
        <v>209</v>
      </c>
      <c r="K194" t="s">
        <v>210</v>
      </c>
      <c r="L194" t="s">
        <v>29</v>
      </c>
      <c r="M194" t="s">
        <v>30</v>
      </c>
      <c r="N194" t="s">
        <v>31</v>
      </c>
      <c r="Q194" t="s">
        <v>653</v>
      </c>
      <c r="R194" t="s">
        <v>654</v>
      </c>
    </row>
    <row r="195" spans="1:18" x14ac:dyDescent="0.3">
      <c r="A195" s="2" t="str">
        <f>HYPERLINK(B195,"Oppna PDF")</f>
        <v>Oppna PDF</v>
      </c>
      <c r="B195" t="s">
        <v>655</v>
      </c>
      <c r="C195" t="s">
        <v>656</v>
      </c>
      <c r="D195" t="s">
        <v>422</v>
      </c>
      <c r="E195" t="s">
        <v>657</v>
      </c>
      <c r="H195" t="s">
        <v>61</v>
      </c>
      <c r="I195" t="s">
        <v>424</v>
      </c>
      <c r="J195" t="s">
        <v>87</v>
      </c>
      <c r="K195" t="s">
        <v>88</v>
      </c>
      <c r="L195" t="s">
        <v>29</v>
      </c>
      <c r="M195" t="s">
        <v>30</v>
      </c>
      <c r="N195" t="s">
        <v>31</v>
      </c>
      <c r="Q195" t="s">
        <v>625</v>
      </c>
      <c r="R195" t="s">
        <v>625</v>
      </c>
    </row>
    <row r="196" spans="1:18" x14ac:dyDescent="0.3">
      <c r="A196" s="2" t="str">
        <f>HYPERLINK(B196,"Oppna PDF")</f>
        <v>Oppna PDF</v>
      </c>
      <c r="B196" t="s">
        <v>655</v>
      </c>
      <c r="C196" t="s">
        <v>658</v>
      </c>
      <c r="D196" t="s">
        <v>422</v>
      </c>
      <c r="E196" t="s">
        <v>657</v>
      </c>
      <c r="H196" t="s">
        <v>61</v>
      </c>
      <c r="I196" t="s">
        <v>424</v>
      </c>
      <c r="J196" t="s">
        <v>34</v>
      </c>
      <c r="K196" t="s">
        <v>35</v>
      </c>
      <c r="L196" t="s">
        <v>29</v>
      </c>
      <c r="M196" t="s">
        <v>30</v>
      </c>
      <c r="N196" t="s">
        <v>31</v>
      </c>
      <c r="Q196" t="s">
        <v>627</v>
      </c>
      <c r="R196" t="s">
        <v>627</v>
      </c>
    </row>
    <row r="197" spans="1:18" x14ac:dyDescent="0.3">
      <c r="A197" s="2" t="str">
        <f>HYPERLINK(B197,"Oppna PDF")</f>
        <v>Oppna PDF</v>
      </c>
      <c r="B197" t="s">
        <v>655</v>
      </c>
      <c r="C197" t="s">
        <v>659</v>
      </c>
      <c r="D197" t="s">
        <v>422</v>
      </c>
      <c r="E197" t="s">
        <v>657</v>
      </c>
      <c r="H197" t="s">
        <v>61</v>
      </c>
      <c r="I197" t="s">
        <v>424</v>
      </c>
      <c r="J197" t="s">
        <v>87</v>
      </c>
      <c r="K197" t="s">
        <v>88</v>
      </c>
      <c r="L197" t="s">
        <v>29</v>
      </c>
      <c r="M197" t="s">
        <v>30</v>
      </c>
      <c r="N197" t="s">
        <v>31</v>
      </c>
      <c r="Q197" t="s">
        <v>629</v>
      </c>
      <c r="R197" t="s">
        <v>629</v>
      </c>
    </row>
    <row r="198" spans="1:18" x14ac:dyDescent="0.3">
      <c r="A198" s="2" t="str">
        <f>HYPERLINK(B198,"Oppna PDF")</f>
        <v>Oppna PDF</v>
      </c>
      <c r="B198" t="s">
        <v>660</v>
      </c>
      <c r="C198" t="s">
        <v>661</v>
      </c>
      <c r="D198" t="s">
        <v>422</v>
      </c>
      <c r="E198" t="s">
        <v>662</v>
      </c>
      <c r="H198" t="s">
        <v>61</v>
      </c>
      <c r="I198" t="s">
        <v>424</v>
      </c>
      <c r="J198" t="s">
        <v>87</v>
      </c>
      <c r="K198" t="s">
        <v>88</v>
      </c>
      <c r="L198" t="s">
        <v>29</v>
      </c>
      <c r="M198" t="s">
        <v>30</v>
      </c>
      <c r="N198" t="s">
        <v>31</v>
      </c>
      <c r="Q198" t="s">
        <v>625</v>
      </c>
      <c r="R198" t="s">
        <v>625</v>
      </c>
    </row>
    <row r="199" spans="1:18" x14ac:dyDescent="0.3">
      <c r="A199" s="2" t="str">
        <f>HYPERLINK(B199,"Oppna PDF")</f>
        <v>Oppna PDF</v>
      </c>
      <c r="B199" t="s">
        <v>660</v>
      </c>
      <c r="C199" t="s">
        <v>663</v>
      </c>
      <c r="D199" t="s">
        <v>422</v>
      </c>
      <c r="E199" t="s">
        <v>662</v>
      </c>
      <c r="H199" t="s">
        <v>61</v>
      </c>
      <c r="I199" t="s">
        <v>424</v>
      </c>
      <c r="J199" t="s">
        <v>34</v>
      </c>
      <c r="K199" t="s">
        <v>35</v>
      </c>
      <c r="L199" t="s">
        <v>29</v>
      </c>
      <c r="M199" t="s">
        <v>30</v>
      </c>
      <c r="N199" t="s">
        <v>31</v>
      </c>
      <c r="Q199" t="s">
        <v>627</v>
      </c>
      <c r="R199" t="s">
        <v>627</v>
      </c>
    </row>
    <row r="200" spans="1:18" x14ac:dyDescent="0.3">
      <c r="A200" s="2" t="str">
        <f>HYPERLINK(B200,"Oppna PDF")</f>
        <v>Oppna PDF</v>
      </c>
      <c r="B200" t="s">
        <v>660</v>
      </c>
      <c r="C200" t="s">
        <v>664</v>
      </c>
      <c r="D200" t="s">
        <v>422</v>
      </c>
      <c r="E200" t="s">
        <v>662</v>
      </c>
      <c r="H200" t="s">
        <v>61</v>
      </c>
      <c r="I200" t="s">
        <v>424</v>
      </c>
      <c r="J200" t="s">
        <v>87</v>
      </c>
      <c r="K200" t="s">
        <v>88</v>
      </c>
      <c r="L200" t="s">
        <v>29</v>
      </c>
      <c r="M200" t="s">
        <v>30</v>
      </c>
      <c r="N200" t="s">
        <v>31</v>
      </c>
      <c r="Q200" t="s">
        <v>629</v>
      </c>
      <c r="R200" t="s">
        <v>629</v>
      </c>
    </row>
    <row r="201" spans="1:18" x14ac:dyDescent="0.3">
      <c r="A201" s="2" t="str">
        <f>HYPERLINK(B201,"Oppna PDF")</f>
        <v>Oppna PDF</v>
      </c>
      <c r="B201" t="s">
        <v>665</v>
      </c>
      <c r="C201" t="s">
        <v>666</v>
      </c>
      <c r="D201" t="s">
        <v>667</v>
      </c>
      <c r="E201" t="s">
        <v>668</v>
      </c>
      <c r="F201" t="s">
        <v>669</v>
      </c>
      <c r="G201" t="s">
        <v>670</v>
      </c>
      <c r="H201" t="s">
        <v>61</v>
      </c>
      <c r="I201" t="s">
        <v>671</v>
      </c>
      <c r="J201" t="s">
        <v>48</v>
      </c>
      <c r="K201" t="s">
        <v>49</v>
      </c>
      <c r="L201" t="s">
        <v>29</v>
      </c>
      <c r="M201" t="s">
        <v>30</v>
      </c>
      <c r="N201" t="s">
        <v>31</v>
      </c>
      <c r="Q201" t="s">
        <v>672</v>
      </c>
      <c r="R201" t="s">
        <v>672</v>
      </c>
    </row>
    <row r="202" spans="1:18" x14ac:dyDescent="0.3">
      <c r="A202" s="2" t="str">
        <f>HYPERLINK(B202,"Oppna PDF")</f>
        <v>Oppna PDF</v>
      </c>
      <c r="B202" t="s">
        <v>665</v>
      </c>
      <c r="C202" t="s">
        <v>673</v>
      </c>
      <c r="D202" t="s">
        <v>667</v>
      </c>
      <c r="E202" t="s">
        <v>668</v>
      </c>
      <c r="F202" t="s">
        <v>669</v>
      </c>
      <c r="G202" t="s">
        <v>670</v>
      </c>
      <c r="H202" t="s">
        <v>61</v>
      </c>
      <c r="I202" t="s">
        <v>671</v>
      </c>
      <c r="J202" t="s">
        <v>87</v>
      </c>
      <c r="K202" t="s">
        <v>88</v>
      </c>
      <c r="L202" t="s">
        <v>29</v>
      </c>
      <c r="M202" t="s">
        <v>30</v>
      </c>
      <c r="N202" t="s">
        <v>31</v>
      </c>
      <c r="Q202" t="s">
        <v>674</v>
      </c>
      <c r="R202" t="s">
        <v>674</v>
      </c>
    </row>
    <row r="203" spans="1:18" x14ac:dyDescent="0.3">
      <c r="A203" s="2" t="str">
        <f>HYPERLINK(B203,"Oppna PDF")</f>
        <v>Oppna PDF</v>
      </c>
      <c r="B203" t="s">
        <v>665</v>
      </c>
      <c r="C203" t="s">
        <v>675</v>
      </c>
      <c r="D203" t="s">
        <v>667</v>
      </c>
      <c r="E203" t="s">
        <v>668</v>
      </c>
      <c r="F203" t="s">
        <v>669</v>
      </c>
      <c r="G203" t="s">
        <v>670</v>
      </c>
      <c r="H203" t="s">
        <v>61</v>
      </c>
      <c r="I203" t="s">
        <v>671</v>
      </c>
      <c r="J203" t="s">
        <v>91</v>
      </c>
      <c r="K203" t="s">
        <v>92</v>
      </c>
      <c r="L203" t="s">
        <v>29</v>
      </c>
      <c r="M203" t="s">
        <v>30</v>
      </c>
      <c r="N203" t="s">
        <v>31</v>
      </c>
      <c r="Q203" t="s">
        <v>676</v>
      </c>
      <c r="R203" t="s">
        <v>676</v>
      </c>
    </row>
    <row r="204" spans="1:18" x14ac:dyDescent="0.3">
      <c r="A204" s="2" t="str">
        <f>HYPERLINK(B204,"Oppna PDF")</f>
        <v>Oppna PDF</v>
      </c>
      <c r="B204" t="s">
        <v>677</v>
      </c>
      <c r="C204" t="s">
        <v>678</v>
      </c>
      <c r="D204" t="s">
        <v>487</v>
      </c>
      <c r="E204" t="s">
        <v>679</v>
      </c>
      <c r="F204" t="s">
        <v>489</v>
      </c>
      <c r="G204" t="s">
        <v>490</v>
      </c>
      <c r="H204" t="s">
        <v>61</v>
      </c>
      <c r="I204" t="s">
        <v>491</v>
      </c>
      <c r="J204" t="s">
        <v>48</v>
      </c>
      <c r="K204" t="s">
        <v>49</v>
      </c>
      <c r="L204" t="s">
        <v>29</v>
      </c>
      <c r="M204" t="s">
        <v>30</v>
      </c>
      <c r="N204" t="s">
        <v>31</v>
      </c>
      <c r="Q204" t="s">
        <v>680</v>
      </c>
      <c r="R204" t="s">
        <v>681</v>
      </c>
    </row>
    <row r="205" spans="1:18" x14ac:dyDescent="0.3">
      <c r="A205" s="2" t="str">
        <f>HYPERLINK(B205,"Oppna PDF")</f>
        <v>Oppna PDF</v>
      </c>
      <c r="B205" t="s">
        <v>677</v>
      </c>
      <c r="C205" t="s">
        <v>682</v>
      </c>
      <c r="D205" t="s">
        <v>487</v>
      </c>
      <c r="E205" t="s">
        <v>679</v>
      </c>
      <c r="F205" t="s">
        <v>489</v>
      </c>
      <c r="G205" t="s">
        <v>490</v>
      </c>
      <c r="H205" t="s">
        <v>61</v>
      </c>
      <c r="I205" t="s">
        <v>491</v>
      </c>
      <c r="J205" t="s">
        <v>27</v>
      </c>
      <c r="K205" t="s">
        <v>28</v>
      </c>
      <c r="L205" t="s">
        <v>29</v>
      </c>
      <c r="M205" t="s">
        <v>30</v>
      </c>
      <c r="N205" t="s">
        <v>31</v>
      </c>
      <c r="Q205" t="s">
        <v>683</v>
      </c>
      <c r="R205" t="s">
        <v>684</v>
      </c>
    </row>
    <row r="206" spans="1:18" x14ac:dyDescent="0.3">
      <c r="A206" s="2" t="str">
        <f>HYPERLINK(B206,"Oppna PDF")</f>
        <v>Oppna PDF</v>
      </c>
      <c r="B206" t="s">
        <v>677</v>
      </c>
      <c r="C206" t="s">
        <v>685</v>
      </c>
      <c r="D206" t="s">
        <v>487</v>
      </c>
      <c r="E206" t="s">
        <v>679</v>
      </c>
      <c r="F206" t="s">
        <v>489</v>
      </c>
      <c r="G206" t="s">
        <v>490</v>
      </c>
      <c r="H206" t="s">
        <v>61</v>
      </c>
      <c r="I206" t="s">
        <v>491</v>
      </c>
      <c r="J206" t="s">
        <v>27</v>
      </c>
      <c r="K206" t="s">
        <v>28</v>
      </c>
      <c r="L206" t="s">
        <v>29</v>
      </c>
      <c r="M206" t="s">
        <v>30</v>
      </c>
      <c r="N206" t="s">
        <v>31</v>
      </c>
      <c r="Q206" t="s">
        <v>686</v>
      </c>
      <c r="R206" t="s">
        <v>686</v>
      </c>
    </row>
    <row r="207" spans="1:18" x14ac:dyDescent="0.3">
      <c r="A207" s="2" t="str">
        <f>HYPERLINK(B207,"Oppna PDF")</f>
        <v>Oppna PDF</v>
      </c>
      <c r="B207" t="s">
        <v>687</v>
      </c>
      <c r="C207" t="s">
        <v>688</v>
      </c>
      <c r="D207" t="s">
        <v>689</v>
      </c>
      <c r="E207" t="s">
        <v>690</v>
      </c>
      <c r="H207" t="s">
        <v>61</v>
      </c>
      <c r="I207" t="s">
        <v>691</v>
      </c>
      <c r="J207" t="s">
        <v>48</v>
      </c>
      <c r="K207" t="s">
        <v>49</v>
      </c>
      <c r="L207" t="s">
        <v>29</v>
      </c>
      <c r="M207" t="s">
        <v>30</v>
      </c>
      <c r="N207" t="s">
        <v>31</v>
      </c>
      <c r="Q207" t="s">
        <v>692</v>
      </c>
      <c r="R207" t="s">
        <v>692</v>
      </c>
    </row>
    <row r="208" spans="1:18" x14ac:dyDescent="0.3">
      <c r="A208" s="2" t="str">
        <f>HYPERLINK(B208,"Oppna PDF")</f>
        <v>Oppna PDF</v>
      </c>
      <c r="B208" t="s">
        <v>687</v>
      </c>
      <c r="C208" t="s">
        <v>693</v>
      </c>
      <c r="D208" t="s">
        <v>689</v>
      </c>
      <c r="E208" t="s">
        <v>690</v>
      </c>
      <c r="H208" t="s">
        <v>61</v>
      </c>
      <c r="I208" t="s">
        <v>691</v>
      </c>
      <c r="J208" t="s">
        <v>27</v>
      </c>
      <c r="K208" t="s">
        <v>28</v>
      </c>
      <c r="L208" t="s">
        <v>29</v>
      </c>
      <c r="M208" t="s">
        <v>30</v>
      </c>
      <c r="N208" t="s">
        <v>31</v>
      </c>
      <c r="Q208" t="s">
        <v>694</v>
      </c>
      <c r="R208" t="s">
        <v>694</v>
      </c>
    </row>
    <row r="209" spans="1:18" x14ac:dyDescent="0.3">
      <c r="A209" s="2" t="str">
        <f>HYPERLINK(B209,"Oppna PDF")</f>
        <v>Oppna PDF</v>
      </c>
      <c r="B209" t="s">
        <v>687</v>
      </c>
      <c r="C209" t="s">
        <v>695</v>
      </c>
      <c r="D209" t="s">
        <v>689</v>
      </c>
      <c r="E209" t="s">
        <v>690</v>
      </c>
      <c r="H209" t="s">
        <v>61</v>
      </c>
      <c r="I209" t="s">
        <v>691</v>
      </c>
      <c r="J209" t="s">
        <v>27</v>
      </c>
      <c r="K209" t="s">
        <v>28</v>
      </c>
      <c r="L209" t="s">
        <v>29</v>
      </c>
      <c r="M209" t="s">
        <v>30</v>
      </c>
      <c r="N209" t="s">
        <v>31</v>
      </c>
      <c r="Q209" t="s">
        <v>696</v>
      </c>
      <c r="R209" t="s">
        <v>696</v>
      </c>
    </row>
    <row r="210" spans="1:18" x14ac:dyDescent="0.3">
      <c r="A210" s="2" t="str">
        <f>HYPERLINK(B210,"Oppna PDF")</f>
        <v>Oppna PDF</v>
      </c>
      <c r="B210" t="s">
        <v>697</v>
      </c>
      <c r="C210" t="s">
        <v>698</v>
      </c>
      <c r="D210" t="s">
        <v>689</v>
      </c>
      <c r="E210" t="s">
        <v>699</v>
      </c>
      <c r="H210" t="s">
        <v>61</v>
      </c>
      <c r="I210" t="s">
        <v>691</v>
      </c>
      <c r="J210" t="s">
        <v>34</v>
      </c>
      <c r="K210" t="s">
        <v>35</v>
      </c>
      <c r="L210" t="s">
        <v>29</v>
      </c>
      <c r="M210" t="s">
        <v>30</v>
      </c>
      <c r="N210" t="s">
        <v>31</v>
      </c>
      <c r="Q210" t="s">
        <v>700</v>
      </c>
      <c r="R210" t="s">
        <v>701</v>
      </c>
    </row>
    <row r="211" spans="1:18" x14ac:dyDescent="0.3">
      <c r="A211" s="2" t="str">
        <f>HYPERLINK(B211,"Oppna PDF")</f>
        <v>Oppna PDF</v>
      </c>
      <c r="B211" t="s">
        <v>697</v>
      </c>
      <c r="C211" t="s">
        <v>702</v>
      </c>
      <c r="D211" t="s">
        <v>689</v>
      </c>
      <c r="E211" t="s">
        <v>699</v>
      </c>
      <c r="H211" t="s">
        <v>61</v>
      </c>
      <c r="I211" t="s">
        <v>691</v>
      </c>
      <c r="J211" t="s">
        <v>91</v>
      </c>
      <c r="K211" t="s">
        <v>92</v>
      </c>
      <c r="L211" t="s">
        <v>29</v>
      </c>
      <c r="M211" t="s">
        <v>30</v>
      </c>
      <c r="N211" t="s">
        <v>31</v>
      </c>
      <c r="Q211" t="s">
        <v>703</v>
      </c>
      <c r="R211" t="s">
        <v>704</v>
      </c>
    </row>
    <row r="212" spans="1:18" x14ac:dyDescent="0.3">
      <c r="A212" s="2" t="str">
        <f>HYPERLINK(B212,"Oppna PDF")</f>
        <v>Oppna PDF</v>
      </c>
      <c r="B212" t="s">
        <v>697</v>
      </c>
      <c r="C212" t="s">
        <v>705</v>
      </c>
      <c r="D212" t="s">
        <v>689</v>
      </c>
      <c r="E212" t="s">
        <v>699</v>
      </c>
      <c r="H212" t="s">
        <v>61</v>
      </c>
      <c r="I212" t="s">
        <v>691</v>
      </c>
      <c r="J212" t="s">
        <v>48</v>
      </c>
      <c r="K212" t="s">
        <v>49</v>
      </c>
      <c r="L212" t="s">
        <v>29</v>
      </c>
      <c r="M212" t="s">
        <v>30</v>
      </c>
      <c r="N212" t="s">
        <v>31</v>
      </c>
      <c r="Q212" t="s">
        <v>706</v>
      </c>
      <c r="R212" t="s">
        <v>707</v>
      </c>
    </row>
    <row r="213" spans="1:18" x14ac:dyDescent="0.3">
      <c r="A213" s="2" t="str">
        <f>HYPERLINK(B213,"Oppna PDF")</f>
        <v>Oppna PDF</v>
      </c>
      <c r="B213" t="s">
        <v>708</v>
      </c>
      <c r="C213" t="s">
        <v>709</v>
      </c>
      <c r="D213" t="s">
        <v>710</v>
      </c>
      <c r="E213" t="s">
        <v>711</v>
      </c>
      <c r="H213" t="s">
        <v>25</v>
      </c>
      <c r="I213" t="s">
        <v>712</v>
      </c>
      <c r="J213" t="s">
        <v>209</v>
      </c>
      <c r="K213" t="s">
        <v>210</v>
      </c>
      <c r="L213" t="s">
        <v>29</v>
      </c>
      <c r="M213" t="s">
        <v>30</v>
      </c>
      <c r="N213" t="s">
        <v>31</v>
      </c>
      <c r="Q213" t="s">
        <v>713</v>
      </c>
      <c r="R213" t="s">
        <v>713</v>
      </c>
    </row>
    <row r="214" spans="1:18" x14ac:dyDescent="0.3">
      <c r="A214" s="2" t="str">
        <f>HYPERLINK(B214,"Oppna PDF")</f>
        <v>Oppna PDF</v>
      </c>
      <c r="B214" t="s">
        <v>708</v>
      </c>
      <c r="C214" t="s">
        <v>714</v>
      </c>
      <c r="D214" t="s">
        <v>710</v>
      </c>
      <c r="E214" t="s">
        <v>711</v>
      </c>
      <c r="H214" t="s">
        <v>25</v>
      </c>
      <c r="I214" t="s">
        <v>712</v>
      </c>
      <c r="J214" t="s">
        <v>34</v>
      </c>
      <c r="K214" t="s">
        <v>35</v>
      </c>
      <c r="L214" t="s">
        <v>29</v>
      </c>
      <c r="M214" t="s">
        <v>30</v>
      </c>
      <c r="N214" t="s">
        <v>31</v>
      </c>
      <c r="Q214" t="s">
        <v>715</v>
      </c>
      <c r="R214" t="s">
        <v>715</v>
      </c>
    </row>
    <row r="215" spans="1:18" x14ac:dyDescent="0.3">
      <c r="A215" s="2" t="str">
        <f>HYPERLINK(B215,"Oppna PDF")</f>
        <v>Oppna PDF</v>
      </c>
      <c r="B215" t="s">
        <v>708</v>
      </c>
      <c r="C215" t="s">
        <v>716</v>
      </c>
      <c r="D215" t="s">
        <v>710</v>
      </c>
      <c r="E215" t="s">
        <v>711</v>
      </c>
      <c r="H215" t="s">
        <v>25</v>
      </c>
      <c r="I215" t="s">
        <v>712</v>
      </c>
      <c r="J215" t="s">
        <v>87</v>
      </c>
      <c r="K215" t="s">
        <v>88</v>
      </c>
      <c r="L215" t="s">
        <v>29</v>
      </c>
      <c r="M215" t="s">
        <v>30</v>
      </c>
      <c r="N215" t="s">
        <v>31</v>
      </c>
      <c r="Q215" t="s">
        <v>717</v>
      </c>
      <c r="R215" t="s">
        <v>717</v>
      </c>
    </row>
    <row r="216" spans="1:18" x14ac:dyDescent="0.3">
      <c r="A216" s="2" t="str">
        <f>HYPERLINK(B216,"Oppna PDF")</f>
        <v>Oppna PDF</v>
      </c>
      <c r="B216" t="s">
        <v>718</v>
      </c>
      <c r="C216" t="s">
        <v>719</v>
      </c>
      <c r="D216" t="s">
        <v>720</v>
      </c>
      <c r="E216" t="s">
        <v>721</v>
      </c>
      <c r="H216" t="s">
        <v>61</v>
      </c>
      <c r="I216" t="s">
        <v>722</v>
      </c>
      <c r="J216" t="s">
        <v>87</v>
      </c>
      <c r="K216" t="s">
        <v>88</v>
      </c>
      <c r="L216" t="s">
        <v>29</v>
      </c>
      <c r="M216" t="s">
        <v>30</v>
      </c>
      <c r="N216" t="s">
        <v>31</v>
      </c>
      <c r="Q216" t="s">
        <v>723</v>
      </c>
      <c r="R216" t="s">
        <v>723</v>
      </c>
    </row>
    <row r="217" spans="1:18" x14ac:dyDescent="0.3">
      <c r="A217" s="2" t="str">
        <f>HYPERLINK(B217,"Oppna PDF")</f>
        <v>Oppna PDF</v>
      </c>
      <c r="B217" t="s">
        <v>718</v>
      </c>
      <c r="C217" t="s">
        <v>724</v>
      </c>
      <c r="D217" t="s">
        <v>720</v>
      </c>
      <c r="E217" t="s">
        <v>721</v>
      </c>
      <c r="H217" t="s">
        <v>61</v>
      </c>
      <c r="I217" t="s">
        <v>722</v>
      </c>
      <c r="J217" t="s">
        <v>38</v>
      </c>
      <c r="K217" t="s">
        <v>39</v>
      </c>
      <c r="L217" t="s">
        <v>29</v>
      </c>
      <c r="M217" t="s">
        <v>30</v>
      </c>
      <c r="N217" t="s">
        <v>31</v>
      </c>
      <c r="Q217" t="s">
        <v>725</v>
      </c>
      <c r="R217" t="s">
        <v>725</v>
      </c>
    </row>
    <row r="218" spans="1:18" x14ac:dyDescent="0.3">
      <c r="A218" s="2" t="str">
        <f>HYPERLINK(B218,"Oppna PDF")</f>
        <v>Oppna PDF</v>
      </c>
      <c r="B218" t="s">
        <v>718</v>
      </c>
      <c r="C218" t="s">
        <v>726</v>
      </c>
      <c r="D218" t="s">
        <v>720</v>
      </c>
      <c r="E218" t="s">
        <v>721</v>
      </c>
      <c r="H218" t="s">
        <v>61</v>
      </c>
      <c r="I218" t="s">
        <v>722</v>
      </c>
      <c r="J218" t="s">
        <v>48</v>
      </c>
      <c r="K218" t="s">
        <v>49</v>
      </c>
      <c r="L218" t="s">
        <v>29</v>
      </c>
      <c r="M218" t="s">
        <v>30</v>
      </c>
      <c r="N218" t="s">
        <v>31</v>
      </c>
      <c r="Q218" t="s">
        <v>727</v>
      </c>
      <c r="R218" t="s">
        <v>727</v>
      </c>
    </row>
    <row r="219" spans="1:18" x14ac:dyDescent="0.3">
      <c r="A219" s="2" t="str">
        <f>HYPERLINK(B219,"Oppna PDF")</f>
        <v>Oppna PDF</v>
      </c>
      <c r="B219" t="s">
        <v>728</v>
      </c>
      <c r="C219" t="s">
        <v>729</v>
      </c>
      <c r="D219" t="s">
        <v>730</v>
      </c>
      <c r="E219" t="s">
        <v>731</v>
      </c>
      <c r="F219" t="s">
        <v>459</v>
      </c>
      <c r="G219" t="s">
        <v>460</v>
      </c>
      <c r="H219" t="s">
        <v>25</v>
      </c>
      <c r="I219" t="s">
        <v>732</v>
      </c>
      <c r="J219" t="s">
        <v>27</v>
      </c>
      <c r="K219" t="s">
        <v>28</v>
      </c>
      <c r="L219" t="s">
        <v>29</v>
      </c>
      <c r="M219" t="s">
        <v>30</v>
      </c>
      <c r="N219" t="s">
        <v>31</v>
      </c>
      <c r="Q219" t="s">
        <v>733</v>
      </c>
      <c r="R219" t="s">
        <v>733</v>
      </c>
    </row>
    <row r="220" spans="1:18" x14ac:dyDescent="0.3">
      <c r="A220" s="2" t="str">
        <f>HYPERLINK(B220,"Oppna PDF")</f>
        <v>Oppna PDF</v>
      </c>
      <c r="B220" t="s">
        <v>728</v>
      </c>
      <c r="C220" t="s">
        <v>734</v>
      </c>
      <c r="D220" t="s">
        <v>730</v>
      </c>
      <c r="E220" t="s">
        <v>731</v>
      </c>
      <c r="F220" t="s">
        <v>459</v>
      </c>
      <c r="G220" t="s">
        <v>460</v>
      </c>
      <c r="H220" t="s">
        <v>25</v>
      </c>
      <c r="I220" t="s">
        <v>732</v>
      </c>
      <c r="J220" t="s">
        <v>34</v>
      </c>
      <c r="K220" t="s">
        <v>35</v>
      </c>
      <c r="L220" t="s">
        <v>29</v>
      </c>
      <c r="M220" t="s">
        <v>30</v>
      </c>
      <c r="N220" t="s">
        <v>31</v>
      </c>
      <c r="Q220" t="s">
        <v>735</v>
      </c>
      <c r="R220" t="s">
        <v>735</v>
      </c>
    </row>
    <row r="221" spans="1:18" x14ac:dyDescent="0.3">
      <c r="A221" s="2" t="str">
        <f>HYPERLINK(B221,"Oppna PDF")</f>
        <v>Oppna PDF</v>
      </c>
      <c r="B221" t="s">
        <v>728</v>
      </c>
      <c r="C221" t="s">
        <v>736</v>
      </c>
      <c r="D221" t="s">
        <v>730</v>
      </c>
      <c r="E221" t="s">
        <v>731</v>
      </c>
      <c r="F221" t="s">
        <v>459</v>
      </c>
      <c r="G221" t="s">
        <v>460</v>
      </c>
      <c r="H221" t="s">
        <v>25</v>
      </c>
      <c r="I221" t="s">
        <v>732</v>
      </c>
      <c r="J221" t="s">
        <v>34</v>
      </c>
      <c r="K221" t="s">
        <v>35</v>
      </c>
      <c r="L221" t="s">
        <v>29</v>
      </c>
      <c r="M221" t="s">
        <v>30</v>
      </c>
      <c r="N221" t="s">
        <v>31</v>
      </c>
      <c r="Q221" t="s">
        <v>737</v>
      </c>
      <c r="R221" t="s">
        <v>737</v>
      </c>
    </row>
    <row r="222" spans="1:18" x14ac:dyDescent="0.3">
      <c r="A222" s="2" t="str">
        <f>HYPERLINK(B222,"Oppna PDF")</f>
        <v>Oppna PDF</v>
      </c>
      <c r="B222" t="s">
        <v>738</v>
      </c>
      <c r="C222" t="s">
        <v>739</v>
      </c>
      <c r="D222" t="s">
        <v>740</v>
      </c>
      <c r="E222" t="s">
        <v>741</v>
      </c>
      <c r="F222" t="s">
        <v>459</v>
      </c>
      <c r="G222" t="s">
        <v>460</v>
      </c>
      <c r="H222" t="s">
        <v>25</v>
      </c>
      <c r="I222" t="s">
        <v>732</v>
      </c>
      <c r="J222" t="s">
        <v>27</v>
      </c>
      <c r="K222" t="s">
        <v>28</v>
      </c>
      <c r="L222" t="s">
        <v>29</v>
      </c>
      <c r="M222" t="s">
        <v>30</v>
      </c>
      <c r="N222" t="s">
        <v>31</v>
      </c>
      <c r="Q222" t="s">
        <v>742</v>
      </c>
      <c r="R222" t="s">
        <v>742</v>
      </c>
    </row>
    <row r="223" spans="1:18" x14ac:dyDescent="0.3">
      <c r="A223" s="2" t="str">
        <f>HYPERLINK(B223,"Oppna PDF")</f>
        <v>Oppna PDF</v>
      </c>
      <c r="B223" t="s">
        <v>738</v>
      </c>
      <c r="C223" t="s">
        <v>743</v>
      </c>
      <c r="D223" t="s">
        <v>740</v>
      </c>
      <c r="E223" t="s">
        <v>741</v>
      </c>
      <c r="F223" t="s">
        <v>459</v>
      </c>
      <c r="G223" t="s">
        <v>460</v>
      </c>
      <c r="H223" t="s">
        <v>25</v>
      </c>
      <c r="I223" t="s">
        <v>732</v>
      </c>
      <c r="J223" t="s">
        <v>34</v>
      </c>
      <c r="K223" t="s">
        <v>35</v>
      </c>
      <c r="L223" t="s">
        <v>29</v>
      </c>
      <c r="M223" t="s">
        <v>30</v>
      </c>
      <c r="N223" t="s">
        <v>31</v>
      </c>
      <c r="Q223" t="s">
        <v>735</v>
      </c>
      <c r="R223" t="s">
        <v>735</v>
      </c>
    </row>
    <row r="224" spans="1:18" x14ac:dyDescent="0.3">
      <c r="A224" s="2" t="str">
        <f>HYPERLINK(B224,"Oppna PDF")</f>
        <v>Oppna PDF</v>
      </c>
      <c r="B224" t="s">
        <v>738</v>
      </c>
      <c r="C224" t="s">
        <v>744</v>
      </c>
      <c r="D224" t="s">
        <v>740</v>
      </c>
      <c r="E224" t="s">
        <v>741</v>
      </c>
      <c r="F224" t="s">
        <v>459</v>
      </c>
      <c r="G224" t="s">
        <v>460</v>
      </c>
      <c r="H224" t="s">
        <v>25</v>
      </c>
      <c r="I224" t="s">
        <v>732</v>
      </c>
      <c r="J224" t="s">
        <v>34</v>
      </c>
      <c r="K224" t="s">
        <v>35</v>
      </c>
      <c r="L224" t="s">
        <v>29</v>
      </c>
      <c r="M224" t="s">
        <v>30</v>
      </c>
      <c r="N224" t="s">
        <v>31</v>
      </c>
      <c r="Q224" t="s">
        <v>745</v>
      </c>
      <c r="R224" t="s">
        <v>745</v>
      </c>
    </row>
    <row r="225" spans="1:18" x14ac:dyDescent="0.3">
      <c r="A225" s="2" t="str">
        <f>HYPERLINK(B225,"Oppna PDF")</f>
        <v>Oppna PDF</v>
      </c>
      <c r="B225" t="s">
        <v>746</v>
      </c>
      <c r="C225" t="s">
        <v>747</v>
      </c>
      <c r="D225" t="s">
        <v>748</v>
      </c>
      <c r="E225" t="s">
        <v>749</v>
      </c>
      <c r="F225" t="s">
        <v>459</v>
      </c>
      <c r="G225" t="s">
        <v>460</v>
      </c>
      <c r="H225" t="s">
        <v>25</v>
      </c>
      <c r="I225" t="s">
        <v>750</v>
      </c>
      <c r="J225" t="s">
        <v>87</v>
      </c>
      <c r="K225" t="s">
        <v>88</v>
      </c>
      <c r="L225" t="s">
        <v>29</v>
      </c>
      <c r="M225" t="s">
        <v>30</v>
      </c>
      <c r="N225" t="s">
        <v>31</v>
      </c>
      <c r="Q225" t="s">
        <v>751</v>
      </c>
      <c r="R225" t="s">
        <v>751</v>
      </c>
    </row>
    <row r="226" spans="1:18" x14ac:dyDescent="0.3">
      <c r="A226" s="2" t="str">
        <f>HYPERLINK(B226,"Oppna PDF")</f>
        <v>Oppna PDF</v>
      </c>
      <c r="B226" t="s">
        <v>746</v>
      </c>
      <c r="C226" t="s">
        <v>752</v>
      </c>
      <c r="D226" t="s">
        <v>748</v>
      </c>
      <c r="E226" t="s">
        <v>749</v>
      </c>
      <c r="F226" t="s">
        <v>459</v>
      </c>
      <c r="G226" t="s">
        <v>460</v>
      </c>
      <c r="H226" t="s">
        <v>25</v>
      </c>
      <c r="I226" t="s">
        <v>750</v>
      </c>
      <c r="J226" t="s">
        <v>27</v>
      </c>
      <c r="K226" t="s">
        <v>28</v>
      </c>
      <c r="L226" t="s">
        <v>29</v>
      </c>
      <c r="M226" t="s">
        <v>30</v>
      </c>
      <c r="N226" t="s">
        <v>31</v>
      </c>
      <c r="Q226" t="s">
        <v>753</v>
      </c>
      <c r="R226" t="s">
        <v>753</v>
      </c>
    </row>
    <row r="227" spans="1:18" x14ac:dyDescent="0.3">
      <c r="A227" s="2" t="str">
        <f>HYPERLINK(B227,"Oppna PDF")</f>
        <v>Oppna PDF</v>
      </c>
      <c r="B227" t="s">
        <v>746</v>
      </c>
      <c r="C227" t="s">
        <v>754</v>
      </c>
      <c r="D227" t="s">
        <v>748</v>
      </c>
      <c r="E227" t="s">
        <v>749</v>
      </c>
      <c r="F227" t="s">
        <v>459</v>
      </c>
      <c r="G227" t="s">
        <v>460</v>
      </c>
      <c r="H227" t="s">
        <v>25</v>
      </c>
      <c r="I227" t="s">
        <v>750</v>
      </c>
      <c r="J227" t="s">
        <v>91</v>
      </c>
      <c r="K227" t="s">
        <v>92</v>
      </c>
      <c r="L227" t="s">
        <v>29</v>
      </c>
      <c r="M227" t="s">
        <v>30</v>
      </c>
      <c r="N227" t="s">
        <v>31</v>
      </c>
      <c r="Q227" t="s">
        <v>755</v>
      </c>
      <c r="R227" t="s">
        <v>755</v>
      </c>
    </row>
    <row r="228" spans="1:18" x14ac:dyDescent="0.3">
      <c r="A228" s="2" t="str">
        <f>HYPERLINK(B228,"Oppna PDF")</f>
        <v>Oppna PDF</v>
      </c>
      <c r="B228" t="s">
        <v>756</v>
      </c>
      <c r="C228" t="s">
        <v>757</v>
      </c>
      <c r="D228" t="s">
        <v>748</v>
      </c>
      <c r="E228" t="s">
        <v>758</v>
      </c>
      <c r="F228" t="s">
        <v>459</v>
      </c>
      <c r="G228" t="s">
        <v>460</v>
      </c>
      <c r="H228" t="s">
        <v>25</v>
      </c>
      <c r="I228" t="s">
        <v>750</v>
      </c>
      <c r="J228" t="s">
        <v>34</v>
      </c>
      <c r="K228" t="s">
        <v>35</v>
      </c>
      <c r="L228" t="s">
        <v>29</v>
      </c>
      <c r="M228" t="s">
        <v>30</v>
      </c>
      <c r="N228" t="s">
        <v>31</v>
      </c>
      <c r="Q228" t="s">
        <v>759</v>
      </c>
      <c r="R228" t="s">
        <v>759</v>
      </c>
    </row>
    <row r="229" spans="1:18" x14ac:dyDescent="0.3">
      <c r="A229" s="2" t="str">
        <f>HYPERLINK(B229,"Oppna PDF")</f>
        <v>Oppna PDF</v>
      </c>
      <c r="B229" t="s">
        <v>756</v>
      </c>
      <c r="C229" t="s">
        <v>760</v>
      </c>
      <c r="D229" t="s">
        <v>748</v>
      </c>
      <c r="E229" t="s">
        <v>758</v>
      </c>
      <c r="F229" t="s">
        <v>459</v>
      </c>
      <c r="G229" t="s">
        <v>460</v>
      </c>
      <c r="H229" t="s">
        <v>25</v>
      </c>
      <c r="I229" t="s">
        <v>750</v>
      </c>
      <c r="J229" t="s">
        <v>34</v>
      </c>
      <c r="K229" t="s">
        <v>35</v>
      </c>
      <c r="L229" t="s">
        <v>29</v>
      </c>
      <c r="M229" t="s">
        <v>30</v>
      </c>
      <c r="N229" t="s">
        <v>31</v>
      </c>
      <c r="Q229" t="s">
        <v>761</v>
      </c>
      <c r="R229" t="s">
        <v>761</v>
      </c>
    </row>
    <row r="230" spans="1:18" x14ac:dyDescent="0.3">
      <c r="A230" s="2" t="str">
        <f>HYPERLINK(B230,"Oppna PDF")</f>
        <v>Oppna PDF</v>
      </c>
      <c r="B230" t="s">
        <v>762</v>
      </c>
      <c r="C230" t="s">
        <v>763</v>
      </c>
      <c r="D230" t="s">
        <v>748</v>
      </c>
      <c r="E230" t="s">
        <v>764</v>
      </c>
      <c r="F230" t="s">
        <v>459</v>
      </c>
      <c r="G230" t="s">
        <v>460</v>
      </c>
      <c r="H230" t="s">
        <v>25</v>
      </c>
      <c r="I230" t="s">
        <v>750</v>
      </c>
      <c r="J230" t="s">
        <v>87</v>
      </c>
      <c r="K230" t="s">
        <v>88</v>
      </c>
      <c r="L230" t="s">
        <v>29</v>
      </c>
      <c r="M230" t="s">
        <v>30</v>
      </c>
      <c r="N230" t="s">
        <v>31</v>
      </c>
      <c r="Q230" t="s">
        <v>765</v>
      </c>
      <c r="R230" t="s">
        <v>766</v>
      </c>
    </row>
    <row r="231" spans="1:18" x14ac:dyDescent="0.3">
      <c r="A231" s="2" t="str">
        <f>HYPERLINK(B231,"Oppna PDF")</f>
        <v>Oppna PDF</v>
      </c>
      <c r="B231" t="s">
        <v>767</v>
      </c>
      <c r="C231" t="s">
        <v>768</v>
      </c>
      <c r="D231" t="s">
        <v>748</v>
      </c>
      <c r="E231" t="s">
        <v>769</v>
      </c>
      <c r="F231" t="s">
        <v>459</v>
      </c>
      <c r="G231" t="s">
        <v>460</v>
      </c>
      <c r="H231" t="s">
        <v>25</v>
      </c>
      <c r="I231" t="s">
        <v>750</v>
      </c>
      <c r="J231" t="s">
        <v>34</v>
      </c>
      <c r="K231" t="s">
        <v>35</v>
      </c>
      <c r="L231" t="s">
        <v>29</v>
      </c>
      <c r="M231" t="s">
        <v>30</v>
      </c>
      <c r="N231" t="s">
        <v>31</v>
      </c>
      <c r="Q231" t="s">
        <v>770</v>
      </c>
      <c r="R231" t="s">
        <v>770</v>
      </c>
    </row>
    <row r="232" spans="1:18" x14ac:dyDescent="0.3">
      <c r="A232" s="2" t="str">
        <f>HYPERLINK(B232,"Oppna PDF")</f>
        <v>Oppna PDF</v>
      </c>
      <c r="B232" t="s">
        <v>767</v>
      </c>
      <c r="C232" t="s">
        <v>771</v>
      </c>
      <c r="D232" t="s">
        <v>748</v>
      </c>
      <c r="E232" t="s">
        <v>769</v>
      </c>
      <c r="F232" t="s">
        <v>459</v>
      </c>
      <c r="G232" t="s">
        <v>460</v>
      </c>
      <c r="H232" t="s">
        <v>25</v>
      </c>
      <c r="I232" t="s">
        <v>750</v>
      </c>
      <c r="J232" t="s">
        <v>34</v>
      </c>
      <c r="K232" t="s">
        <v>35</v>
      </c>
      <c r="L232" t="s">
        <v>29</v>
      </c>
      <c r="M232" t="s">
        <v>30</v>
      </c>
      <c r="N232" t="s">
        <v>31</v>
      </c>
      <c r="Q232" t="s">
        <v>772</v>
      </c>
      <c r="R232" t="s">
        <v>772</v>
      </c>
    </row>
    <row r="233" spans="1:18" x14ac:dyDescent="0.3">
      <c r="A233" s="2" t="str">
        <f>HYPERLINK(B233,"Oppna PDF")</f>
        <v>Oppna PDF</v>
      </c>
      <c r="B233" t="s">
        <v>773</v>
      </c>
      <c r="C233" t="s">
        <v>774</v>
      </c>
      <c r="D233" t="s">
        <v>775</v>
      </c>
      <c r="E233" t="s">
        <v>776</v>
      </c>
      <c r="H233" t="s">
        <v>25</v>
      </c>
      <c r="I233" t="s">
        <v>777</v>
      </c>
      <c r="J233" t="s">
        <v>27</v>
      </c>
      <c r="K233" t="s">
        <v>28</v>
      </c>
      <c r="L233" t="s">
        <v>29</v>
      </c>
      <c r="M233" t="s">
        <v>30</v>
      </c>
      <c r="N233" t="s">
        <v>31</v>
      </c>
      <c r="Q233" t="s">
        <v>778</v>
      </c>
      <c r="R233" t="s">
        <v>778</v>
      </c>
    </row>
    <row r="234" spans="1:18" x14ac:dyDescent="0.3">
      <c r="A234" s="2" t="str">
        <f>HYPERLINK(B234,"Oppna PDF")</f>
        <v>Oppna PDF</v>
      </c>
      <c r="B234" t="s">
        <v>773</v>
      </c>
      <c r="C234" t="s">
        <v>779</v>
      </c>
      <c r="D234" t="s">
        <v>775</v>
      </c>
      <c r="E234" t="s">
        <v>776</v>
      </c>
      <c r="H234" t="s">
        <v>25</v>
      </c>
      <c r="I234" t="s">
        <v>777</v>
      </c>
      <c r="J234" t="s">
        <v>38</v>
      </c>
      <c r="K234" t="s">
        <v>39</v>
      </c>
      <c r="L234" t="s">
        <v>29</v>
      </c>
      <c r="M234" t="s">
        <v>30</v>
      </c>
      <c r="N234" t="s">
        <v>31</v>
      </c>
      <c r="Q234" t="s">
        <v>780</v>
      </c>
      <c r="R234" t="s">
        <v>780</v>
      </c>
    </row>
    <row r="235" spans="1:18" x14ac:dyDescent="0.3">
      <c r="A235" s="2" t="str">
        <f>HYPERLINK(B235,"Oppna PDF")</f>
        <v>Oppna PDF</v>
      </c>
      <c r="B235" t="s">
        <v>773</v>
      </c>
      <c r="C235" t="s">
        <v>781</v>
      </c>
      <c r="D235" t="s">
        <v>775</v>
      </c>
      <c r="E235" t="s">
        <v>776</v>
      </c>
      <c r="H235" t="s">
        <v>25</v>
      </c>
      <c r="I235" t="s">
        <v>777</v>
      </c>
      <c r="J235" t="s">
        <v>38</v>
      </c>
      <c r="K235" t="s">
        <v>39</v>
      </c>
      <c r="L235" t="s">
        <v>29</v>
      </c>
      <c r="M235" t="s">
        <v>30</v>
      </c>
      <c r="N235" t="s">
        <v>31</v>
      </c>
      <c r="Q235" t="s">
        <v>782</v>
      </c>
      <c r="R235" t="s">
        <v>782</v>
      </c>
    </row>
    <row r="236" spans="1:18" x14ac:dyDescent="0.3">
      <c r="A236" s="2" t="str">
        <f>HYPERLINK(B236,"Oppna PDF")</f>
        <v>Oppna PDF</v>
      </c>
      <c r="B236" t="s">
        <v>783</v>
      </c>
      <c r="C236" t="s">
        <v>784</v>
      </c>
      <c r="D236" t="s">
        <v>775</v>
      </c>
      <c r="E236" t="s">
        <v>785</v>
      </c>
      <c r="H236" t="s">
        <v>25</v>
      </c>
      <c r="I236" t="s">
        <v>777</v>
      </c>
      <c r="J236" t="s">
        <v>91</v>
      </c>
      <c r="K236" t="s">
        <v>92</v>
      </c>
      <c r="L236" t="s">
        <v>29</v>
      </c>
      <c r="M236" t="s">
        <v>30</v>
      </c>
      <c r="N236" t="s">
        <v>31</v>
      </c>
      <c r="Q236" t="s">
        <v>786</v>
      </c>
      <c r="R236" t="s">
        <v>787</v>
      </c>
    </row>
    <row r="237" spans="1:18" x14ac:dyDescent="0.3">
      <c r="A237" s="2" t="str">
        <f>HYPERLINK(B237,"Oppna PDF")</f>
        <v>Oppna PDF</v>
      </c>
      <c r="B237" t="s">
        <v>783</v>
      </c>
      <c r="C237" t="s">
        <v>788</v>
      </c>
      <c r="D237" t="s">
        <v>775</v>
      </c>
      <c r="E237" t="s">
        <v>785</v>
      </c>
      <c r="H237" t="s">
        <v>25</v>
      </c>
      <c r="I237" t="s">
        <v>777</v>
      </c>
      <c r="J237" t="s">
        <v>38</v>
      </c>
      <c r="K237" t="s">
        <v>39</v>
      </c>
      <c r="L237" t="s">
        <v>29</v>
      </c>
      <c r="M237" t="s">
        <v>30</v>
      </c>
      <c r="N237" t="s">
        <v>31</v>
      </c>
      <c r="Q237" t="s">
        <v>782</v>
      </c>
      <c r="R237" t="s">
        <v>782</v>
      </c>
    </row>
    <row r="238" spans="1:18" x14ac:dyDescent="0.3">
      <c r="A238" s="2" t="str">
        <f>HYPERLINK(B238,"Oppna PDF")</f>
        <v>Oppna PDF</v>
      </c>
      <c r="B238" t="s">
        <v>783</v>
      </c>
      <c r="C238" t="s">
        <v>789</v>
      </c>
      <c r="D238" t="s">
        <v>775</v>
      </c>
      <c r="E238" t="s">
        <v>785</v>
      </c>
      <c r="H238" t="s">
        <v>25</v>
      </c>
      <c r="I238" t="s">
        <v>777</v>
      </c>
      <c r="J238" t="s">
        <v>34</v>
      </c>
      <c r="K238" t="s">
        <v>35</v>
      </c>
      <c r="L238" t="s">
        <v>29</v>
      </c>
      <c r="M238" t="s">
        <v>30</v>
      </c>
      <c r="N238" t="s">
        <v>31</v>
      </c>
      <c r="Q238" t="e">
        <f>- Skalenliga profilskisser av platsen där avfallet ska användas.</f>
        <v>#NAME?</v>
      </c>
      <c r="R238" t="e">
        <f>- Skalenliga profilskisser av platsen där avfallet ska användas.</f>
        <v>#NAME?</v>
      </c>
    </row>
    <row r="239" spans="1:18" x14ac:dyDescent="0.3">
      <c r="A239" s="2" t="str">
        <f>HYPERLINK(B239,"Oppna PDF")</f>
        <v>Oppna PDF</v>
      </c>
      <c r="B239" t="s">
        <v>790</v>
      </c>
      <c r="C239" t="s">
        <v>791</v>
      </c>
      <c r="D239" t="s">
        <v>775</v>
      </c>
      <c r="E239" t="s">
        <v>792</v>
      </c>
      <c r="H239" t="s">
        <v>25</v>
      </c>
      <c r="I239" t="s">
        <v>777</v>
      </c>
      <c r="J239" t="s">
        <v>27</v>
      </c>
      <c r="K239" t="s">
        <v>28</v>
      </c>
      <c r="L239" t="s">
        <v>29</v>
      </c>
      <c r="M239" t="s">
        <v>30</v>
      </c>
      <c r="N239" t="s">
        <v>31</v>
      </c>
      <c r="Q239" t="s">
        <v>793</v>
      </c>
      <c r="R239" t="s">
        <v>793</v>
      </c>
    </row>
    <row r="240" spans="1:18" x14ac:dyDescent="0.3">
      <c r="A240" s="2" t="str">
        <f>HYPERLINK(B240,"Oppna PDF")</f>
        <v>Oppna PDF</v>
      </c>
      <c r="B240" t="s">
        <v>790</v>
      </c>
      <c r="C240" t="s">
        <v>794</v>
      </c>
      <c r="D240" t="s">
        <v>775</v>
      </c>
      <c r="E240" t="s">
        <v>792</v>
      </c>
      <c r="H240" t="s">
        <v>25</v>
      </c>
      <c r="I240" t="s">
        <v>777</v>
      </c>
      <c r="J240" t="s">
        <v>34</v>
      </c>
      <c r="K240" t="s">
        <v>35</v>
      </c>
      <c r="L240" t="s">
        <v>29</v>
      </c>
      <c r="M240" t="s">
        <v>30</v>
      </c>
      <c r="N240" t="s">
        <v>31</v>
      </c>
      <c r="Q240" t="s">
        <v>795</v>
      </c>
      <c r="R240" t="s">
        <v>795</v>
      </c>
    </row>
    <row r="241" spans="1:18" x14ac:dyDescent="0.3">
      <c r="A241" s="2" t="str">
        <f>HYPERLINK(B241,"Oppna PDF")</f>
        <v>Oppna PDF</v>
      </c>
      <c r="B241" t="s">
        <v>790</v>
      </c>
      <c r="C241" t="s">
        <v>796</v>
      </c>
      <c r="D241" t="s">
        <v>775</v>
      </c>
      <c r="E241" t="s">
        <v>792</v>
      </c>
      <c r="H241" t="s">
        <v>25</v>
      </c>
      <c r="I241" t="s">
        <v>777</v>
      </c>
      <c r="J241" t="s">
        <v>91</v>
      </c>
      <c r="K241" t="s">
        <v>92</v>
      </c>
      <c r="L241" t="s">
        <v>29</v>
      </c>
      <c r="M241" t="s">
        <v>30</v>
      </c>
      <c r="N241" t="s">
        <v>31</v>
      </c>
      <c r="Q241" t="s">
        <v>797</v>
      </c>
      <c r="R241" t="s">
        <v>797</v>
      </c>
    </row>
    <row r="242" spans="1:18" x14ac:dyDescent="0.3">
      <c r="A242" s="2" t="str">
        <f>HYPERLINK(B242,"Oppna PDF")</f>
        <v>Oppna PDF</v>
      </c>
      <c r="B242" t="s">
        <v>798</v>
      </c>
      <c r="C242" t="s">
        <v>799</v>
      </c>
      <c r="D242" t="s">
        <v>800</v>
      </c>
      <c r="E242" t="s">
        <v>801</v>
      </c>
      <c r="F242" t="s">
        <v>802</v>
      </c>
      <c r="G242" t="s">
        <v>803</v>
      </c>
      <c r="H242" t="s">
        <v>61</v>
      </c>
      <c r="I242" t="s">
        <v>804</v>
      </c>
      <c r="J242" t="s">
        <v>48</v>
      </c>
      <c r="K242" t="s">
        <v>49</v>
      </c>
      <c r="L242" t="s">
        <v>29</v>
      </c>
      <c r="M242" t="s">
        <v>30</v>
      </c>
      <c r="N242" t="s">
        <v>31</v>
      </c>
      <c r="Q242" t="s">
        <v>805</v>
      </c>
      <c r="R242" t="s">
        <v>805</v>
      </c>
    </row>
    <row r="243" spans="1:18" x14ac:dyDescent="0.3">
      <c r="A243" s="2" t="str">
        <f>HYPERLINK(B243,"Oppna PDF")</f>
        <v>Oppna PDF</v>
      </c>
      <c r="B243" t="s">
        <v>806</v>
      </c>
      <c r="C243" t="s">
        <v>807</v>
      </c>
      <c r="D243" t="s">
        <v>775</v>
      </c>
      <c r="E243" t="s">
        <v>808</v>
      </c>
      <c r="H243" t="s">
        <v>25</v>
      </c>
      <c r="I243" t="s">
        <v>777</v>
      </c>
      <c r="J243" t="s">
        <v>91</v>
      </c>
      <c r="K243" t="s">
        <v>92</v>
      </c>
      <c r="L243" t="s">
        <v>29</v>
      </c>
      <c r="M243" t="s">
        <v>30</v>
      </c>
      <c r="N243" t="s">
        <v>31</v>
      </c>
      <c r="Q243" t="s">
        <v>786</v>
      </c>
      <c r="R243" t="s">
        <v>787</v>
      </c>
    </row>
    <row r="244" spans="1:18" x14ac:dyDescent="0.3">
      <c r="A244" s="2" t="str">
        <f>HYPERLINK(B244,"Oppna PDF")</f>
        <v>Oppna PDF</v>
      </c>
      <c r="B244" t="s">
        <v>806</v>
      </c>
      <c r="C244" t="s">
        <v>809</v>
      </c>
      <c r="D244" t="s">
        <v>775</v>
      </c>
      <c r="E244" t="s">
        <v>808</v>
      </c>
      <c r="H244" t="s">
        <v>25</v>
      </c>
      <c r="I244" t="s">
        <v>777</v>
      </c>
      <c r="J244" t="s">
        <v>38</v>
      </c>
      <c r="K244" t="s">
        <v>39</v>
      </c>
      <c r="L244" t="s">
        <v>29</v>
      </c>
      <c r="M244" t="s">
        <v>30</v>
      </c>
      <c r="N244" t="s">
        <v>31</v>
      </c>
      <c r="Q244" t="s">
        <v>782</v>
      </c>
      <c r="R244" t="s">
        <v>782</v>
      </c>
    </row>
    <row r="245" spans="1:18" x14ac:dyDescent="0.3">
      <c r="A245" s="2" t="str">
        <f>HYPERLINK(B245,"Oppna PDF")</f>
        <v>Oppna PDF</v>
      </c>
      <c r="B245" t="s">
        <v>806</v>
      </c>
      <c r="C245" t="s">
        <v>810</v>
      </c>
      <c r="D245" t="s">
        <v>775</v>
      </c>
      <c r="E245" t="s">
        <v>808</v>
      </c>
      <c r="H245" t="s">
        <v>25</v>
      </c>
      <c r="I245" t="s">
        <v>777</v>
      </c>
      <c r="J245" t="s">
        <v>34</v>
      </c>
      <c r="K245" t="s">
        <v>35</v>
      </c>
      <c r="L245" t="s">
        <v>29</v>
      </c>
      <c r="M245" t="s">
        <v>30</v>
      </c>
      <c r="N245" t="s">
        <v>31</v>
      </c>
      <c r="Q245" t="e">
        <f>- Skalenliga profilskisser av platsen där avfallet ska användas.</f>
        <v>#NAME?</v>
      </c>
      <c r="R245" t="e">
        <f>- Skalenliga profilskisser av platsen där avfallet ska användas.</f>
        <v>#NAME?</v>
      </c>
    </row>
    <row r="246" spans="1:18" x14ac:dyDescent="0.3">
      <c r="A246" s="2" t="str">
        <f>HYPERLINK(B246,"Oppna PDF")</f>
        <v>Oppna PDF</v>
      </c>
      <c r="B246" t="s">
        <v>811</v>
      </c>
      <c r="C246" t="s">
        <v>812</v>
      </c>
      <c r="D246" t="s">
        <v>457</v>
      </c>
      <c r="E246" t="s">
        <v>813</v>
      </c>
      <c r="F246" t="s">
        <v>459</v>
      </c>
      <c r="G246" t="s">
        <v>460</v>
      </c>
      <c r="H246" t="s">
        <v>25</v>
      </c>
      <c r="I246" t="s">
        <v>461</v>
      </c>
      <c r="J246" t="s">
        <v>27</v>
      </c>
      <c r="K246" t="s">
        <v>28</v>
      </c>
      <c r="L246" t="s">
        <v>29</v>
      </c>
      <c r="M246" t="s">
        <v>30</v>
      </c>
      <c r="N246" t="s">
        <v>31</v>
      </c>
      <c r="Q246" t="s">
        <v>814</v>
      </c>
      <c r="R246" t="s">
        <v>814</v>
      </c>
    </row>
    <row r="247" spans="1:18" x14ac:dyDescent="0.3">
      <c r="A247" s="2" t="str">
        <f>HYPERLINK(B247,"Oppna PDF")</f>
        <v>Oppna PDF</v>
      </c>
      <c r="B247" t="s">
        <v>811</v>
      </c>
      <c r="C247" t="s">
        <v>815</v>
      </c>
      <c r="D247" t="s">
        <v>457</v>
      </c>
      <c r="E247" t="s">
        <v>813</v>
      </c>
      <c r="F247" t="s">
        <v>459</v>
      </c>
      <c r="G247" t="s">
        <v>460</v>
      </c>
      <c r="H247" t="s">
        <v>25</v>
      </c>
      <c r="I247" t="s">
        <v>461</v>
      </c>
      <c r="J247" t="s">
        <v>87</v>
      </c>
      <c r="K247" t="s">
        <v>88</v>
      </c>
      <c r="L247" t="s">
        <v>29</v>
      </c>
      <c r="M247" t="s">
        <v>30</v>
      </c>
      <c r="N247" t="s">
        <v>31</v>
      </c>
      <c r="Q247" t="s">
        <v>816</v>
      </c>
      <c r="R247" t="s">
        <v>816</v>
      </c>
    </row>
    <row r="248" spans="1:18" x14ac:dyDescent="0.3">
      <c r="A248" s="2" t="str">
        <f>HYPERLINK(B248,"Oppna PDF")</f>
        <v>Oppna PDF</v>
      </c>
      <c r="B248" t="s">
        <v>811</v>
      </c>
      <c r="C248" t="s">
        <v>817</v>
      </c>
      <c r="D248" t="s">
        <v>457</v>
      </c>
      <c r="E248" t="s">
        <v>813</v>
      </c>
      <c r="F248" t="s">
        <v>459</v>
      </c>
      <c r="G248" t="s">
        <v>460</v>
      </c>
      <c r="H248" t="s">
        <v>25</v>
      </c>
      <c r="I248" t="s">
        <v>461</v>
      </c>
      <c r="J248" t="s">
        <v>27</v>
      </c>
      <c r="K248" t="s">
        <v>28</v>
      </c>
      <c r="L248" t="s">
        <v>29</v>
      </c>
      <c r="M248" t="s">
        <v>30</v>
      </c>
      <c r="N248" t="s">
        <v>31</v>
      </c>
      <c r="Q248" t="s">
        <v>818</v>
      </c>
      <c r="R248" t="s">
        <v>819</v>
      </c>
    </row>
    <row r="249" spans="1:18" x14ac:dyDescent="0.3">
      <c r="A249" s="2" t="str">
        <f>HYPERLINK(B249,"Oppna PDF")</f>
        <v>Oppna PDF</v>
      </c>
      <c r="B249" t="s">
        <v>820</v>
      </c>
      <c r="C249" t="s">
        <v>821</v>
      </c>
      <c r="D249" t="s">
        <v>457</v>
      </c>
      <c r="E249" t="s">
        <v>822</v>
      </c>
      <c r="F249" t="s">
        <v>459</v>
      </c>
      <c r="G249" t="s">
        <v>460</v>
      </c>
      <c r="H249" t="s">
        <v>25</v>
      </c>
      <c r="I249" t="s">
        <v>461</v>
      </c>
      <c r="J249" t="s">
        <v>38</v>
      </c>
      <c r="K249" t="s">
        <v>39</v>
      </c>
      <c r="L249" t="s">
        <v>142</v>
      </c>
      <c r="M249" t="s">
        <v>30</v>
      </c>
      <c r="N249" t="s">
        <v>31</v>
      </c>
      <c r="Q249" t="s">
        <v>823</v>
      </c>
      <c r="R249" t="s">
        <v>823</v>
      </c>
    </row>
    <row r="250" spans="1:18" x14ac:dyDescent="0.3">
      <c r="A250" s="2" t="str">
        <f>HYPERLINK(B250,"Oppna PDF")</f>
        <v>Oppna PDF</v>
      </c>
      <c r="B250" t="s">
        <v>820</v>
      </c>
      <c r="C250" t="s">
        <v>824</v>
      </c>
      <c r="D250" t="s">
        <v>457</v>
      </c>
      <c r="E250" t="s">
        <v>822</v>
      </c>
      <c r="F250" t="s">
        <v>459</v>
      </c>
      <c r="G250" t="s">
        <v>460</v>
      </c>
      <c r="H250" t="s">
        <v>25</v>
      </c>
      <c r="I250" t="s">
        <v>461</v>
      </c>
      <c r="J250" t="s">
        <v>87</v>
      </c>
      <c r="K250" t="s">
        <v>88</v>
      </c>
      <c r="L250" t="s">
        <v>142</v>
      </c>
      <c r="M250" t="s">
        <v>30</v>
      </c>
      <c r="N250" t="s">
        <v>31</v>
      </c>
      <c r="Q250" t="s">
        <v>825</v>
      </c>
      <c r="R250" t="s">
        <v>825</v>
      </c>
    </row>
    <row r="251" spans="1:18" x14ac:dyDescent="0.3">
      <c r="A251" s="2" t="str">
        <f>HYPERLINK(B251,"Oppna PDF")</f>
        <v>Oppna PDF</v>
      </c>
      <c r="B251" t="s">
        <v>820</v>
      </c>
      <c r="C251" t="s">
        <v>826</v>
      </c>
      <c r="D251" t="s">
        <v>457</v>
      </c>
      <c r="E251" t="s">
        <v>822</v>
      </c>
      <c r="F251" t="s">
        <v>459</v>
      </c>
      <c r="G251" t="s">
        <v>460</v>
      </c>
      <c r="H251" t="s">
        <v>25</v>
      </c>
      <c r="I251" t="s">
        <v>461</v>
      </c>
      <c r="J251" t="s">
        <v>38</v>
      </c>
      <c r="K251" t="s">
        <v>39</v>
      </c>
      <c r="L251" t="s">
        <v>142</v>
      </c>
      <c r="M251" t="s">
        <v>30</v>
      </c>
      <c r="N251" t="s">
        <v>31</v>
      </c>
      <c r="Q251" t="s">
        <v>827</v>
      </c>
      <c r="R251" t="s">
        <v>827</v>
      </c>
    </row>
    <row r="252" spans="1:18" x14ac:dyDescent="0.3">
      <c r="A252" s="2" t="str">
        <f>HYPERLINK(B252,"Oppna PDF")</f>
        <v>Oppna PDF</v>
      </c>
      <c r="B252" t="s">
        <v>828</v>
      </c>
      <c r="C252" t="s">
        <v>829</v>
      </c>
      <c r="D252" t="s">
        <v>830</v>
      </c>
      <c r="E252" t="s">
        <v>831</v>
      </c>
      <c r="H252" t="s">
        <v>61</v>
      </c>
      <c r="I252" t="s">
        <v>832</v>
      </c>
      <c r="J252" t="s">
        <v>34</v>
      </c>
      <c r="K252" t="s">
        <v>35</v>
      </c>
      <c r="L252" t="s">
        <v>29</v>
      </c>
      <c r="M252" t="s">
        <v>30</v>
      </c>
      <c r="N252" t="s">
        <v>31</v>
      </c>
      <c r="Q252" t="s">
        <v>833</v>
      </c>
      <c r="R252" t="s">
        <v>833</v>
      </c>
    </row>
    <row r="253" spans="1:18" x14ac:dyDescent="0.3">
      <c r="A253" s="2" t="str">
        <f>HYPERLINK(B253,"Oppna PDF")</f>
        <v>Oppna PDF</v>
      </c>
      <c r="B253" t="s">
        <v>828</v>
      </c>
      <c r="C253" t="s">
        <v>834</v>
      </c>
      <c r="D253" t="s">
        <v>830</v>
      </c>
      <c r="E253" t="s">
        <v>831</v>
      </c>
      <c r="H253" t="s">
        <v>61</v>
      </c>
      <c r="I253" t="s">
        <v>832</v>
      </c>
      <c r="J253" t="s">
        <v>27</v>
      </c>
      <c r="K253" t="s">
        <v>28</v>
      </c>
      <c r="L253" t="s">
        <v>29</v>
      </c>
      <c r="M253" t="s">
        <v>30</v>
      </c>
      <c r="N253" t="s">
        <v>31</v>
      </c>
      <c r="Q253" t="s">
        <v>835</v>
      </c>
      <c r="R253" t="s">
        <v>835</v>
      </c>
    </row>
    <row r="254" spans="1:18" x14ac:dyDescent="0.3">
      <c r="A254" s="2" t="str">
        <f>HYPERLINK(B254,"Oppna PDF")</f>
        <v>Oppna PDF</v>
      </c>
      <c r="B254" t="s">
        <v>828</v>
      </c>
      <c r="C254" t="s">
        <v>836</v>
      </c>
      <c r="D254" t="s">
        <v>830</v>
      </c>
      <c r="E254" t="s">
        <v>831</v>
      </c>
      <c r="H254" t="s">
        <v>61</v>
      </c>
      <c r="I254" t="s">
        <v>832</v>
      </c>
      <c r="J254" t="s">
        <v>34</v>
      </c>
      <c r="K254" t="s">
        <v>35</v>
      </c>
      <c r="L254" t="s">
        <v>29</v>
      </c>
      <c r="M254" t="s">
        <v>30</v>
      </c>
      <c r="N254" t="s">
        <v>31</v>
      </c>
      <c r="Q254" t="s">
        <v>837</v>
      </c>
      <c r="R254" t="s">
        <v>837</v>
      </c>
    </row>
    <row r="255" spans="1:18" x14ac:dyDescent="0.3">
      <c r="A255" s="2" t="str">
        <f>HYPERLINK(B255,"Oppna PDF")</f>
        <v>Oppna PDF</v>
      </c>
      <c r="B255" t="s">
        <v>838</v>
      </c>
      <c r="C255" t="s">
        <v>839</v>
      </c>
      <c r="D255" t="s">
        <v>830</v>
      </c>
      <c r="E255" t="s">
        <v>840</v>
      </c>
      <c r="H255" t="s">
        <v>61</v>
      </c>
      <c r="I255" t="s">
        <v>832</v>
      </c>
      <c r="J255" t="s">
        <v>48</v>
      </c>
      <c r="K255" t="s">
        <v>49</v>
      </c>
      <c r="L255" t="s">
        <v>29</v>
      </c>
      <c r="M255" t="s">
        <v>30</v>
      </c>
      <c r="N255" t="s">
        <v>31</v>
      </c>
      <c r="Q255" t="s">
        <v>841</v>
      </c>
      <c r="R255" t="s">
        <v>841</v>
      </c>
    </row>
    <row r="256" spans="1:18" x14ac:dyDescent="0.3">
      <c r="A256" s="2" t="str">
        <f>HYPERLINK(B256,"Oppna PDF")</f>
        <v>Oppna PDF</v>
      </c>
      <c r="B256" t="s">
        <v>842</v>
      </c>
      <c r="C256" t="s">
        <v>843</v>
      </c>
      <c r="D256" t="s">
        <v>844</v>
      </c>
      <c r="E256" t="s">
        <v>845</v>
      </c>
      <c r="H256" t="s">
        <v>25</v>
      </c>
      <c r="I256" t="s">
        <v>846</v>
      </c>
      <c r="J256" t="s">
        <v>27</v>
      </c>
      <c r="K256" t="s">
        <v>28</v>
      </c>
      <c r="L256" t="s">
        <v>29</v>
      </c>
      <c r="M256" t="s">
        <v>30</v>
      </c>
      <c r="N256" t="s">
        <v>31</v>
      </c>
      <c r="Q256" t="s">
        <v>847</v>
      </c>
      <c r="R256" t="s">
        <v>847</v>
      </c>
    </row>
    <row r="257" spans="1:18" x14ac:dyDescent="0.3">
      <c r="A257" s="2" t="str">
        <f>HYPERLINK(B257,"Oppna PDF")</f>
        <v>Oppna PDF</v>
      </c>
      <c r="B257" t="s">
        <v>842</v>
      </c>
      <c r="C257" t="s">
        <v>848</v>
      </c>
      <c r="D257" t="s">
        <v>844</v>
      </c>
      <c r="E257" t="s">
        <v>845</v>
      </c>
      <c r="H257" t="s">
        <v>25</v>
      </c>
      <c r="I257" t="s">
        <v>846</v>
      </c>
      <c r="J257" t="s">
        <v>27</v>
      </c>
      <c r="K257" t="s">
        <v>28</v>
      </c>
      <c r="L257" t="s">
        <v>29</v>
      </c>
      <c r="M257" t="s">
        <v>30</v>
      </c>
      <c r="N257" t="s">
        <v>31</v>
      </c>
      <c r="Q257" t="s">
        <v>849</v>
      </c>
      <c r="R257" t="s">
        <v>849</v>
      </c>
    </row>
    <row r="258" spans="1:18" x14ac:dyDescent="0.3">
      <c r="A258" s="2" t="str">
        <f>HYPERLINK(B258,"Oppna PDF")</f>
        <v>Oppna PDF</v>
      </c>
      <c r="B258" t="s">
        <v>850</v>
      </c>
      <c r="C258" t="s">
        <v>851</v>
      </c>
      <c r="D258" t="s">
        <v>852</v>
      </c>
      <c r="E258" t="s">
        <v>853</v>
      </c>
      <c r="F258" t="s">
        <v>854</v>
      </c>
      <c r="G258" t="s">
        <v>855</v>
      </c>
      <c r="H258" t="s">
        <v>25</v>
      </c>
      <c r="I258" t="s">
        <v>856</v>
      </c>
      <c r="J258" t="s">
        <v>48</v>
      </c>
      <c r="K258" t="s">
        <v>49</v>
      </c>
      <c r="L258" t="s">
        <v>29</v>
      </c>
      <c r="M258" t="s">
        <v>30</v>
      </c>
      <c r="N258" t="s">
        <v>31</v>
      </c>
      <c r="Q258" t="s">
        <v>857</v>
      </c>
      <c r="R258" t="s">
        <v>857</v>
      </c>
    </row>
    <row r="259" spans="1:18" x14ac:dyDescent="0.3">
      <c r="A259" s="2" t="str">
        <f>HYPERLINK(B259,"Oppna PDF")</f>
        <v>Oppna PDF</v>
      </c>
      <c r="B259" t="s">
        <v>858</v>
      </c>
      <c r="C259" t="s">
        <v>859</v>
      </c>
      <c r="D259" t="s">
        <v>860</v>
      </c>
      <c r="E259" t="s">
        <v>861</v>
      </c>
      <c r="F259" t="s">
        <v>862</v>
      </c>
      <c r="G259" t="s">
        <v>863</v>
      </c>
      <c r="H259" t="s">
        <v>61</v>
      </c>
      <c r="I259" t="s">
        <v>864</v>
      </c>
      <c r="J259" t="s">
        <v>48</v>
      </c>
      <c r="K259" t="s">
        <v>49</v>
      </c>
      <c r="L259" t="s">
        <v>29</v>
      </c>
      <c r="M259" t="s">
        <v>30</v>
      </c>
      <c r="N259" t="s">
        <v>31</v>
      </c>
      <c r="Q259" t="s">
        <v>865</v>
      </c>
      <c r="R259" t="s">
        <v>865</v>
      </c>
    </row>
    <row r="260" spans="1:18" x14ac:dyDescent="0.3">
      <c r="A260" s="2" t="str">
        <f>HYPERLINK(B260,"Oppna PDF")</f>
        <v>Oppna PDF</v>
      </c>
      <c r="B260" t="s">
        <v>858</v>
      </c>
      <c r="C260" t="s">
        <v>866</v>
      </c>
      <c r="D260" t="s">
        <v>860</v>
      </c>
      <c r="E260" t="s">
        <v>861</v>
      </c>
      <c r="F260" t="s">
        <v>862</v>
      </c>
      <c r="G260" t="s">
        <v>863</v>
      </c>
      <c r="H260" t="s">
        <v>61</v>
      </c>
      <c r="I260" t="s">
        <v>864</v>
      </c>
      <c r="J260" t="s">
        <v>48</v>
      </c>
      <c r="K260" t="s">
        <v>49</v>
      </c>
      <c r="L260" t="s">
        <v>29</v>
      </c>
      <c r="M260" t="s">
        <v>30</v>
      </c>
      <c r="N260" t="s">
        <v>31</v>
      </c>
      <c r="Q260" t="s">
        <v>867</v>
      </c>
      <c r="R260" t="s">
        <v>867</v>
      </c>
    </row>
    <row r="261" spans="1:18" x14ac:dyDescent="0.3">
      <c r="A261" s="2" t="str">
        <f>HYPERLINK(B261,"Oppna PDF")</f>
        <v>Oppna PDF</v>
      </c>
      <c r="B261" t="s">
        <v>858</v>
      </c>
      <c r="C261" t="s">
        <v>868</v>
      </c>
      <c r="D261" t="s">
        <v>860</v>
      </c>
      <c r="E261" t="s">
        <v>861</v>
      </c>
      <c r="F261" t="s">
        <v>862</v>
      </c>
      <c r="G261" t="s">
        <v>863</v>
      </c>
      <c r="H261" t="s">
        <v>61</v>
      </c>
      <c r="I261" t="s">
        <v>864</v>
      </c>
      <c r="J261" t="s">
        <v>48</v>
      </c>
      <c r="K261" t="s">
        <v>49</v>
      </c>
      <c r="L261" t="s">
        <v>29</v>
      </c>
      <c r="M261" t="s">
        <v>30</v>
      </c>
      <c r="N261" t="s">
        <v>31</v>
      </c>
      <c r="Q261" t="s">
        <v>869</v>
      </c>
      <c r="R261" t="s">
        <v>869</v>
      </c>
    </row>
    <row r="262" spans="1:18" x14ac:dyDescent="0.3">
      <c r="A262" s="2" t="str">
        <f>HYPERLINK(B262,"Oppna PDF")</f>
        <v>Oppna PDF</v>
      </c>
      <c r="B262" t="s">
        <v>870</v>
      </c>
      <c r="C262" t="s">
        <v>871</v>
      </c>
      <c r="D262" t="s">
        <v>872</v>
      </c>
      <c r="E262" t="s">
        <v>873</v>
      </c>
      <c r="H262" t="s">
        <v>25</v>
      </c>
      <c r="I262" t="s">
        <v>874</v>
      </c>
      <c r="J262" t="s">
        <v>87</v>
      </c>
      <c r="K262" t="s">
        <v>88</v>
      </c>
      <c r="L262" t="s">
        <v>29</v>
      </c>
      <c r="M262" t="s">
        <v>30</v>
      </c>
      <c r="N262" t="s">
        <v>31</v>
      </c>
      <c r="Q262" t="s">
        <v>875</v>
      </c>
      <c r="R262" t="s">
        <v>875</v>
      </c>
    </row>
    <row r="263" spans="1:18" x14ac:dyDescent="0.3">
      <c r="A263" s="2" t="str">
        <f>HYPERLINK(B263,"Oppna PDF")</f>
        <v>Oppna PDF</v>
      </c>
      <c r="B263" t="s">
        <v>870</v>
      </c>
      <c r="C263" t="s">
        <v>876</v>
      </c>
      <c r="D263" t="s">
        <v>872</v>
      </c>
      <c r="E263" t="s">
        <v>873</v>
      </c>
      <c r="H263" t="s">
        <v>25</v>
      </c>
      <c r="I263" t="s">
        <v>874</v>
      </c>
      <c r="J263" t="s">
        <v>87</v>
      </c>
      <c r="K263" t="s">
        <v>88</v>
      </c>
      <c r="L263" t="s">
        <v>29</v>
      </c>
      <c r="M263" t="s">
        <v>30</v>
      </c>
      <c r="N263" t="s">
        <v>31</v>
      </c>
      <c r="Q263" t="s">
        <v>877</v>
      </c>
      <c r="R263" t="s">
        <v>878</v>
      </c>
    </row>
    <row r="264" spans="1:18" x14ac:dyDescent="0.3">
      <c r="A264" s="2" t="str">
        <f>HYPERLINK(B264,"Oppna PDF")</f>
        <v>Oppna PDF</v>
      </c>
      <c r="B264" t="s">
        <v>879</v>
      </c>
      <c r="C264" t="s">
        <v>880</v>
      </c>
      <c r="D264" t="s">
        <v>740</v>
      </c>
      <c r="E264" t="s">
        <v>881</v>
      </c>
      <c r="F264" t="s">
        <v>459</v>
      </c>
      <c r="G264" t="s">
        <v>460</v>
      </c>
      <c r="H264" t="s">
        <v>25</v>
      </c>
      <c r="I264" t="s">
        <v>732</v>
      </c>
      <c r="J264" t="s">
        <v>38</v>
      </c>
      <c r="K264" t="s">
        <v>39</v>
      </c>
      <c r="L264" t="s">
        <v>29</v>
      </c>
      <c r="M264" t="s">
        <v>30</v>
      </c>
      <c r="N264" t="s">
        <v>31</v>
      </c>
      <c r="Q264" t="s">
        <v>882</v>
      </c>
      <c r="R264" t="s">
        <v>882</v>
      </c>
    </row>
    <row r="265" spans="1:18" x14ac:dyDescent="0.3">
      <c r="A265" s="2" t="str">
        <f>HYPERLINK(B265,"Oppna PDF")</f>
        <v>Oppna PDF</v>
      </c>
      <c r="B265" t="s">
        <v>879</v>
      </c>
      <c r="C265" t="s">
        <v>883</v>
      </c>
      <c r="D265" t="s">
        <v>740</v>
      </c>
      <c r="E265" t="s">
        <v>881</v>
      </c>
      <c r="F265" t="s">
        <v>459</v>
      </c>
      <c r="G265" t="s">
        <v>460</v>
      </c>
      <c r="H265" t="s">
        <v>25</v>
      </c>
      <c r="I265" t="s">
        <v>732</v>
      </c>
      <c r="J265" t="s">
        <v>27</v>
      </c>
      <c r="K265" t="s">
        <v>28</v>
      </c>
      <c r="L265" t="s">
        <v>29</v>
      </c>
      <c r="M265" t="s">
        <v>30</v>
      </c>
      <c r="N265" t="s">
        <v>31</v>
      </c>
      <c r="Q265" t="s">
        <v>884</v>
      </c>
      <c r="R265" t="s">
        <v>884</v>
      </c>
    </row>
    <row r="266" spans="1:18" x14ac:dyDescent="0.3">
      <c r="A266" s="2" t="str">
        <f>HYPERLINK(B266,"Oppna PDF")</f>
        <v>Oppna PDF</v>
      </c>
      <c r="B266" t="s">
        <v>879</v>
      </c>
      <c r="C266" t="s">
        <v>885</v>
      </c>
      <c r="D266" t="s">
        <v>740</v>
      </c>
      <c r="E266" t="s">
        <v>881</v>
      </c>
      <c r="F266" t="s">
        <v>459</v>
      </c>
      <c r="G266" t="s">
        <v>460</v>
      </c>
      <c r="H266" t="s">
        <v>25</v>
      </c>
      <c r="I266" t="s">
        <v>732</v>
      </c>
      <c r="J266" t="s">
        <v>48</v>
      </c>
      <c r="K266" t="s">
        <v>49</v>
      </c>
      <c r="L266" t="s">
        <v>29</v>
      </c>
      <c r="M266" t="s">
        <v>30</v>
      </c>
      <c r="N266" t="s">
        <v>31</v>
      </c>
      <c r="Q266" t="s">
        <v>886</v>
      </c>
      <c r="R266" t="s">
        <v>886</v>
      </c>
    </row>
    <row r="267" spans="1:18" x14ac:dyDescent="0.3">
      <c r="A267" s="2" t="str">
        <f>HYPERLINK(B267,"Oppna PDF")</f>
        <v>Oppna PDF</v>
      </c>
      <c r="B267" t="s">
        <v>887</v>
      </c>
      <c r="C267" t="s">
        <v>888</v>
      </c>
      <c r="D267" t="s">
        <v>748</v>
      </c>
      <c r="E267" t="s">
        <v>889</v>
      </c>
      <c r="F267" t="s">
        <v>459</v>
      </c>
      <c r="G267" t="s">
        <v>460</v>
      </c>
      <c r="H267" t="s">
        <v>25</v>
      </c>
      <c r="I267" t="s">
        <v>750</v>
      </c>
      <c r="J267" t="s">
        <v>27</v>
      </c>
      <c r="K267" t="s">
        <v>28</v>
      </c>
      <c r="L267" t="s">
        <v>300</v>
      </c>
      <c r="M267" t="s">
        <v>30</v>
      </c>
      <c r="N267" t="s">
        <v>31</v>
      </c>
      <c r="Q267" t="s">
        <v>890</v>
      </c>
      <c r="R267" t="s">
        <v>890</v>
      </c>
    </row>
    <row r="268" spans="1:18" x14ac:dyDescent="0.3">
      <c r="A268" s="2" t="str">
        <f>HYPERLINK(B268,"Oppna PDF")</f>
        <v>Oppna PDF</v>
      </c>
      <c r="B268" t="s">
        <v>887</v>
      </c>
      <c r="C268" t="s">
        <v>891</v>
      </c>
      <c r="D268" t="s">
        <v>748</v>
      </c>
      <c r="E268" t="s">
        <v>889</v>
      </c>
      <c r="F268" t="s">
        <v>459</v>
      </c>
      <c r="G268" t="s">
        <v>460</v>
      </c>
      <c r="H268" t="s">
        <v>25</v>
      </c>
      <c r="I268" t="s">
        <v>750</v>
      </c>
      <c r="J268" t="s">
        <v>34</v>
      </c>
      <c r="K268" t="s">
        <v>35</v>
      </c>
      <c r="L268" t="s">
        <v>29</v>
      </c>
      <c r="M268" t="s">
        <v>30</v>
      </c>
      <c r="N268" t="s">
        <v>31</v>
      </c>
      <c r="Q268" t="s">
        <v>892</v>
      </c>
      <c r="R268" t="s">
        <v>892</v>
      </c>
    </row>
    <row r="269" spans="1:18" x14ac:dyDescent="0.3">
      <c r="A269" s="2" t="str">
        <f>HYPERLINK(B269,"Oppna PDF")</f>
        <v>Oppna PDF</v>
      </c>
      <c r="B269" t="s">
        <v>887</v>
      </c>
      <c r="C269" t="s">
        <v>893</v>
      </c>
      <c r="D269" t="s">
        <v>748</v>
      </c>
      <c r="E269" t="s">
        <v>889</v>
      </c>
      <c r="F269" t="s">
        <v>459</v>
      </c>
      <c r="G269" t="s">
        <v>460</v>
      </c>
      <c r="H269" t="s">
        <v>25</v>
      </c>
      <c r="I269" t="s">
        <v>750</v>
      </c>
      <c r="J269" t="s">
        <v>91</v>
      </c>
      <c r="K269" t="s">
        <v>92</v>
      </c>
      <c r="L269" t="s">
        <v>29</v>
      </c>
      <c r="M269" t="s">
        <v>30</v>
      </c>
      <c r="N269" t="s">
        <v>31</v>
      </c>
      <c r="Q269" t="s">
        <v>894</v>
      </c>
      <c r="R269" t="s">
        <v>894</v>
      </c>
    </row>
    <row r="270" spans="1:18" x14ac:dyDescent="0.3">
      <c r="A270" s="2" t="str">
        <f>HYPERLINK(B270,"Oppna PDF")</f>
        <v>Oppna PDF</v>
      </c>
      <c r="B270" t="s">
        <v>895</v>
      </c>
      <c r="C270" t="s">
        <v>896</v>
      </c>
      <c r="D270" t="s">
        <v>748</v>
      </c>
      <c r="E270" t="s">
        <v>897</v>
      </c>
      <c r="F270" t="s">
        <v>459</v>
      </c>
      <c r="G270" t="s">
        <v>460</v>
      </c>
      <c r="H270" t="s">
        <v>25</v>
      </c>
      <c r="I270" t="s">
        <v>750</v>
      </c>
      <c r="J270" t="s">
        <v>38</v>
      </c>
      <c r="K270" t="s">
        <v>39</v>
      </c>
      <c r="L270" t="s">
        <v>29</v>
      </c>
      <c r="M270" t="s">
        <v>30</v>
      </c>
      <c r="N270" t="s">
        <v>31</v>
      </c>
      <c r="Q270" t="s">
        <v>882</v>
      </c>
      <c r="R270" t="s">
        <v>882</v>
      </c>
    </row>
    <row r="271" spans="1:18" x14ac:dyDescent="0.3">
      <c r="A271" s="2" t="str">
        <f>HYPERLINK(B271,"Oppna PDF")</f>
        <v>Oppna PDF</v>
      </c>
      <c r="B271" t="s">
        <v>895</v>
      </c>
      <c r="C271" t="s">
        <v>898</v>
      </c>
      <c r="D271" t="s">
        <v>748</v>
      </c>
      <c r="E271" t="s">
        <v>897</v>
      </c>
      <c r="F271" t="s">
        <v>459</v>
      </c>
      <c r="G271" t="s">
        <v>460</v>
      </c>
      <c r="H271" t="s">
        <v>25</v>
      </c>
      <c r="I271" t="s">
        <v>750</v>
      </c>
      <c r="J271" t="s">
        <v>27</v>
      </c>
      <c r="K271" t="s">
        <v>28</v>
      </c>
      <c r="L271" t="s">
        <v>29</v>
      </c>
      <c r="M271" t="s">
        <v>30</v>
      </c>
      <c r="N271" t="s">
        <v>31</v>
      </c>
      <c r="Q271" t="s">
        <v>884</v>
      </c>
      <c r="R271" t="s">
        <v>884</v>
      </c>
    </row>
    <row r="272" spans="1:18" x14ac:dyDescent="0.3">
      <c r="A272" s="2" t="str">
        <f>HYPERLINK(B272,"Oppna PDF")</f>
        <v>Oppna PDF</v>
      </c>
      <c r="B272" t="s">
        <v>895</v>
      </c>
      <c r="C272" t="s">
        <v>899</v>
      </c>
      <c r="D272" t="s">
        <v>748</v>
      </c>
      <c r="E272" t="s">
        <v>897</v>
      </c>
      <c r="F272" t="s">
        <v>459</v>
      </c>
      <c r="G272" t="s">
        <v>460</v>
      </c>
      <c r="H272" t="s">
        <v>25</v>
      </c>
      <c r="I272" t="s">
        <v>750</v>
      </c>
      <c r="J272" t="s">
        <v>48</v>
      </c>
      <c r="K272" t="s">
        <v>49</v>
      </c>
      <c r="L272" t="s">
        <v>29</v>
      </c>
      <c r="M272" t="s">
        <v>30</v>
      </c>
      <c r="N272" t="s">
        <v>31</v>
      </c>
      <c r="Q272" t="s">
        <v>886</v>
      </c>
      <c r="R272" t="s">
        <v>886</v>
      </c>
    </row>
    <row r="273" spans="1:18" x14ac:dyDescent="0.3">
      <c r="A273" s="2" t="str">
        <f>HYPERLINK(B273,"Oppna PDF")</f>
        <v>Oppna PDF</v>
      </c>
      <c r="B273" t="s">
        <v>900</v>
      </c>
      <c r="C273" t="s">
        <v>901</v>
      </c>
      <c r="D273" t="s">
        <v>748</v>
      </c>
      <c r="E273" t="s">
        <v>902</v>
      </c>
      <c r="F273" t="s">
        <v>459</v>
      </c>
      <c r="G273" t="s">
        <v>460</v>
      </c>
      <c r="H273" t="s">
        <v>25</v>
      </c>
      <c r="I273" t="s">
        <v>750</v>
      </c>
      <c r="J273" t="s">
        <v>87</v>
      </c>
      <c r="K273" t="s">
        <v>88</v>
      </c>
      <c r="L273" t="s">
        <v>29</v>
      </c>
      <c r="M273" t="s">
        <v>30</v>
      </c>
      <c r="N273" t="s">
        <v>31</v>
      </c>
      <c r="Q273" t="s">
        <v>903</v>
      </c>
      <c r="R273" t="s">
        <v>903</v>
      </c>
    </row>
    <row r="274" spans="1:18" x14ac:dyDescent="0.3">
      <c r="A274" s="2" t="str">
        <f>HYPERLINK(B274,"Oppna PDF")</f>
        <v>Oppna PDF</v>
      </c>
      <c r="B274" t="s">
        <v>900</v>
      </c>
      <c r="C274" t="s">
        <v>904</v>
      </c>
      <c r="D274" t="s">
        <v>748</v>
      </c>
      <c r="E274" t="s">
        <v>902</v>
      </c>
      <c r="F274" t="s">
        <v>459</v>
      </c>
      <c r="G274" t="s">
        <v>460</v>
      </c>
      <c r="H274" t="s">
        <v>25</v>
      </c>
      <c r="I274" t="s">
        <v>750</v>
      </c>
      <c r="J274" t="s">
        <v>87</v>
      </c>
      <c r="K274" t="s">
        <v>88</v>
      </c>
      <c r="L274" t="s">
        <v>29</v>
      </c>
      <c r="M274" t="s">
        <v>30</v>
      </c>
      <c r="N274" t="s">
        <v>31</v>
      </c>
      <c r="Q274" t="s">
        <v>905</v>
      </c>
      <c r="R274" t="s">
        <v>905</v>
      </c>
    </row>
    <row r="275" spans="1:18" x14ac:dyDescent="0.3">
      <c r="A275" s="2" t="str">
        <f>HYPERLINK(B275,"Oppna PDF")</f>
        <v>Oppna PDF</v>
      </c>
      <c r="B275" t="s">
        <v>900</v>
      </c>
      <c r="C275" t="s">
        <v>906</v>
      </c>
      <c r="D275" t="s">
        <v>748</v>
      </c>
      <c r="E275" t="s">
        <v>902</v>
      </c>
      <c r="F275" t="s">
        <v>459</v>
      </c>
      <c r="G275" t="s">
        <v>460</v>
      </c>
      <c r="H275" t="s">
        <v>25</v>
      </c>
      <c r="I275" t="s">
        <v>750</v>
      </c>
      <c r="J275" t="s">
        <v>87</v>
      </c>
      <c r="K275" t="s">
        <v>88</v>
      </c>
      <c r="L275" t="s">
        <v>29</v>
      </c>
      <c r="M275" t="s">
        <v>30</v>
      </c>
      <c r="N275" t="s">
        <v>31</v>
      </c>
      <c r="Q275" t="s">
        <v>907</v>
      </c>
      <c r="R275" t="s">
        <v>907</v>
      </c>
    </row>
    <row r="276" spans="1:18" x14ac:dyDescent="0.3">
      <c r="A276" s="2" t="str">
        <f>HYPERLINK(B276,"Oppna PDF")</f>
        <v>Oppna PDF</v>
      </c>
      <c r="B276" t="s">
        <v>908</v>
      </c>
      <c r="C276" t="s">
        <v>909</v>
      </c>
      <c r="D276" t="s">
        <v>775</v>
      </c>
      <c r="E276" t="s">
        <v>910</v>
      </c>
      <c r="H276" t="s">
        <v>25</v>
      </c>
      <c r="I276" t="s">
        <v>777</v>
      </c>
      <c r="J276" t="s">
        <v>27</v>
      </c>
      <c r="K276" t="s">
        <v>28</v>
      </c>
      <c r="L276" t="s">
        <v>300</v>
      </c>
      <c r="M276" t="s">
        <v>30</v>
      </c>
      <c r="N276" t="s">
        <v>31</v>
      </c>
      <c r="Q276" t="s">
        <v>890</v>
      </c>
      <c r="R276" t="s">
        <v>890</v>
      </c>
    </row>
    <row r="277" spans="1:18" x14ac:dyDescent="0.3">
      <c r="A277" s="2" t="str">
        <f>HYPERLINK(B277,"Oppna PDF")</f>
        <v>Oppna PDF</v>
      </c>
      <c r="B277" t="s">
        <v>908</v>
      </c>
      <c r="C277" t="s">
        <v>911</v>
      </c>
      <c r="D277" t="s">
        <v>775</v>
      </c>
      <c r="E277" t="s">
        <v>910</v>
      </c>
      <c r="H277" t="s">
        <v>25</v>
      </c>
      <c r="I277" t="s">
        <v>777</v>
      </c>
      <c r="J277" t="s">
        <v>34</v>
      </c>
      <c r="K277" t="s">
        <v>35</v>
      </c>
      <c r="L277" t="s">
        <v>29</v>
      </c>
      <c r="M277" t="s">
        <v>30</v>
      </c>
      <c r="N277" t="s">
        <v>31</v>
      </c>
      <c r="Q277" t="s">
        <v>892</v>
      </c>
      <c r="R277" t="s">
        <v>892</v>
      </c>
    </row>
    <row r="278" spans="1:18" x14ac:dyDescent="0.3">
      <c r="A278" s="2" t="str">
        <f>HYPERLINK(B278,"Oppna PDF")</f>
        <v>Oppna PDF</v>
      </c>
      <c r="B278" t="s">
        <v>908</v>
      </c>
      <c r="C278" t="s">
        <v>912</v>
      </c>
      <c r="D278" t="s">
        <v>775</v>
      </c>
      <c r="E278" t="s">
        <v>910</v>
      </c>
      <c r="H278" t="s">
        <v>25</v>
      </c>
      <c r="I278" t="s">
        <v>777</v>
      </c>
      <c r="J278" t="s">
        <v>91</v>
      </c>
      <c r="K278" t="s">
        <v>92</v>
      </c>
      <c r="L278" t="s">
        <v>29</v>
      </c>
      <c r="M278" t="s">
        <v>30</v>
      </c>
      <c r="N278" t="s">
        <v>31</v>
      </c>
      <c r="Q278" t="s">
        <v>894</v>
      </c>
      <c r="R278" t="s">
        <v>894</v>
      </c>
    </row>
    <row r="279" spans="1:18" x14ac:dyDescent="0.3">
      <c r="A279" s="2" t="str">
        <f>HYPERLINK(B279,"Oppna PDF")</f>
        <v>Oppna PDF</v>
      </c>
      <c r="B279" t="s">
        <v>913</v>
      </c>
      <c r="C279" t="s">
        <v>914</v>
      </c>
      <c r="D279" t="s">
        <v>775</v>
      </c>
      <c r="E279" t="s">
        <v>915</v>
      </c>
      <c r="H279" t="s">
        <v>25</v>
      </c>
      <c r="I279" t="s">
        <v>777</v>
      </c>
      <c r="J279" t="s">
        <v>91</v>
      </c>
      <c r="K279" t="s">
        <v>92</v>
      </c>
      <c r="L279" t="s">
        <v>29</v>
      </c>
      <c r="M279" t="s">
        <v>30</v>
      </c>
      <c r="N279" t="s">
        <v>31</v>
      </c>
      <c r="Q279" t="s">
        <v>786</v>
      </c>
      <c r="R279" t="s">
        <v>787</v>
      </c>
    </row>
    <row r="280" spans="1:18" x14ac:dyDescent="0.3">
      <c r="A280" s="2" t="str">
        <f>HYPERLINK(B280,"Oppna PDF")</f>
        <v>Oppna PDF</v>
      </c>
      <c r="B280" t="s">
        <v>913</v>
      </c>
      <c r="C280" t="s">
        <v>916</v>
      </c>
      <c r="D280" t="s">
        <v>775</v>
      </c>
      <c r="E280" t="s">
        <v>915</v>
      </c>
      <c r="H280" t="s">
        <v>25</v>
      </c>
      <c r="I280" t="s">
        <v>777</v>
      </c>
      <c r="J280" t="s">
        <v>38</v>
      </c>
      <c r="K280" t="s">
        <v>39</v>
      </c>
      <c r="L280" t="s">
        <v>29</v>
      </c>
      <c r="M280" t="s">
        <v>30</v>
      </c>
      <c r="N280" t="s">
        <v>31</v>
      </c>
      <c r="Q280" t="s">
        <v>782</v>
      </c>
      <c r="R280" t="s">
        <v>782</v>
      </c>
    </row>
    <row r="281" spans="1:18" x14ac:dyDescent="0.3">
      <c r="A281" s="2" t="str">
        <f>HYPERLINK(B281,"Oppna PDF")</f>
        <v>Oppna PDF</v>
      </c>
      <c r="B281" t="s">
        <v>913</v>
      </c>
      <c r="C281" t="s">
        <v>917</v>
      </c>
      <c r="D281" t="s">
        <v>775</v>
      </c>
      <c r="E281" t="s">
        <v>915</v>
      </c>
      <c r="H281" t="s">
        <v>25</v>
      </c>
      <c r="I281" t="s">
        <v>777</v>
      </c>
      <c r="J281" t="s">
        <v>34</v>
      </c>
      <c r="K281" t="s">
        <v>35</v>
      </c>
      <c r="L281" t="s">
        <v>29</v>
      </c>
      <c r="M281" t="s">
        <v>30</v>
      </c>
      <c r="N281" t="s">
        <v>31</v>
      </c>
      <c r="Q281" t="e">
        <f>- Skalenliga profilskisser av platsen där avfallet ska användas.</f>
        <v>#NAME?</v>
      </c>
      <c r="R281" t="e">
        <f>- Skalenliga profilskisser av platsen där avfallet ska användas.</f>
        <v>#NAME?</v>
      </c>
    </row>
    <row r="282" spans="1:18" x14ac:dyDescent="0.3">
      <c r="A282" s="2" t="str">
        <f>HYPERLINK(B282,"Oppna PDF")</f>
        <v>Oppna PDF</v>
      </c>
      <c r="B282" t="s">
        <v>918</v>
      </c>
      <c r="C282" t="s">
        <v>919</v>
      </c>
      <c r="D282" t="s">
        <v>775</v>
      </c>
      <c r="E282" t="s">
        <v>920</v>
      </c>
      <c r="H282" t="s">
        <v>25</v>
      </c>
      <c r="I282" t="s">
        <v>777</v>
      </c>
      <c r="J282" t="s">
        <v>91</v>
      </c>
      <c r="K282" t="s">
        <v>92</v>
      </c>
      <c r="L282" t="s">
        <v>29</v>
      </c>
      <c r="M282" t="s">
        <v>30</v>
      </c>
      <c r="N282" t="s">
        <v>31</v>
      </c>
      <c r="Q282" t="s">
        <v>786</v>
      </c>
      <c r="R282" t="s">
        <v>787</v>
      </c>
    </row>
    <row r="283" spans="1:18" x14ac:dyDescent="0.3">
      <c r="A283" s="2" t="str">
        <f>HYPERLINK(B283,"Oppna PDF")</f>
        <v>Oppna PDF</v>
      </c>
      <c r="B283" t="s">
        <v>918</v>
      </c>
      <c r="C283" t="s">
        <v>921</v>
      </c>
      <c r="D283" t="s">
        <v>775</v>
      </c>
      <c r="E283" t="s">
        <v>920</v>
      </c>
      <c r="H283" t="s">
        <v>25</v>
      </c>
      <c r="I283" t="s">
        <v>777</v>
      </c>
      <c r="J283" t="s">
        <v>38</v>
      </c>
      <c r="K283" t="s">
        <v>39</v>
      </c>
      <c r="L283" t="s">
        <v>29</v>
      </c>
      <c r="M283" t="s">
        <v>30</v>
      </c>
      <c r="N283" t="s">
        <v>31</v>
      </c>
      <c r="Q283" t="s">
        <v>782</v>
      </c>
      <c r="R283" t="s">
        <v>782</v>
      </c>
    </row>
    <row r="284" spans="1:18" x14ac:dyDescent="0.3">
      <c r="A284" s="2" t="str">
        <f>HYPERLINK(B284,"Oppna PDF")</f>
        <v>Oppna PDF</v>
      </c>
      <c r="B284" t="s">
        <v>918</v>
      </c>
      <c r="C284" t="s">
        <v>922</v>
      </c>
      <c r="D284" t="s">
        <v>775</v>
      </c>
      <c r="E284" t="s">
        <v>920</v>
      </c>
      <c r="H284" t="s">
        <v>25</v>
      </c>
      <c r="I284" t="s">
        <v>777</v>
      </c>
      <c r="J284" t="s">
        <v>34</v>
      </c>
      <c r="K284" t="s">
        <v>35</v>
      </c>
      <c r="L284" t="s">
        <v>29</v>
      </c>
      <c r="M284" t="s">
        <v>30</v>
      </c>
      <c r="N284" t="s">
        <v>31</v>
      </c>
      <c r="Q284" t="e">
        <f>- Skalenliga profilskisser av platsen där avfallet ska användas.</f>
        <v>#NAME?</v>
      </c>
      <c r="R284" t="e">
        <f>- Skalenliga profilskisser av platsen där avfallet ska användas.</f>
        <v>#NAME?</v>
      </c>
    </row>
    <row r="285" spans="1:18" x14ac:dyDescent="0.3">
      <c r="A285" s="2" t="str">
        <f>HYPERLINK(B285,"Oppna PDF")</f>
        <v>Oppna PDF</v>
      </c>
      <c r="B285" t="s">
        <v>923</v>
      </c>
      <c r="C285" t="s">
        <v>924</v>
      </c>
      <c r="D285" t="s">
        <v>872</v>
      </c>
      <c r="E285" t="s">
        <v>925</v>
      </c>
      <c r="H285" t="s">
        <v>25</v>
      </c>
      <c r="I285" t="s">
        <v>874</v>
      </c>
      <c r="J285" t="s">
        <v>48</v>
      </c>
      <c r="K285" t="s">
        <v>49</v>
      </c>
      <c r="L285" t="s">
        <v>29</v>
      </c>
      <c r="M285" t="s">
        <v>30</v>
      </c>
      <c r="N285" t="s">
        <v>31</v>
      </c>
      <c r="Q285" t="s">
        <v>926</v>
      </c>
      <c r="R285" t="s">
        <v>926</v>
      </c>
    </row>
    <row r="286" spans="1:18" x14ac:dyDescent="0.3">
      <c r="A286" s="2" t="str">
        <f>HYPERLINK(B286,"Oppna PDF")</f>
        <v>Oppna PDF</v>
      </c>
      <c r="B286" t="s">
        <v>923</v>
      </c>
      <c r="C286" t="s">
        <v>927</v>
      </c>
      <c r="D286" t="s">
        <v>872</v>
      </c>
      <c r="E286" t="s">
        <v>925</v>
      </c>
      <c r="H286" t="s">
        <v>25</v>
      </c>
      <c r="I286" t="s">
        <v>874</v>
      </c>
      <c r="J286" t="s">
        <v>87</v>
      </c>
      <c r="K286" t="s">
        <v>88</v>
      </c>
      <c r="L286" t="s">
        <v>29</v>
      </c>
      <c r="M286" t="s">
        <v>30</v>
      </c>
      <c r="N286" t="s">
        <v>31</v>
      </c>
      <c r="Q286" t="s">
        <v>928</v>
      </c>
      <c r="R286" t="s">
        <v>928</v>
      </c>
    </row>
    <row r="287" spans="1:18" x14ac:dyDescent="0.3">
      <c r="A287" s="2" t="str">
        <f>HYPERLINK(B287,"Oppna PDF")</f>
        <v>Oppna PDF</v>
      </c>
      <c r="B287" t="s">
        <v>923</v>
      </c>
      <c r="C287" t="s">
        <v>929</v>
      </c>
      <c r="D287" t="s">
        <v>872</v>
      </c>
      <c r="E287" t="s">
        <v>925</v>
      </c>
      <c r="H287" t="s">
        <v>25</v>
      </c>
      <c r="I287" t="s">
        <v>874</v>
      </c>
      <c r="J287" t="s">
        <v>209</v>
      </c>
      <c r="K287" t="s">
        <v>210</v>
      </c>
      <c r="L287" t="s">
        <v>29</v>
      </c>
      <c r="M287" t="s">
        <v>30</v>
      </c>
      <c r="N287" t="s">
        <v>31</v>
      </c>
      <c r="Q287" t="s">
        <v>930</v>
      </c>
      <c r="R287" t="s">
        <v>930</v>
      </c>
    </row>
    <row r="288" spans="1:18" x14ac:dyDescent="0.3">
      <c r="A288" s="2" t="str">
        <f>HYPERLINK(B288,"Oppna PDF")</f>
        <v>Oppna PDF</v>
      </c>
      <c r="B288" t="s">
        <v>931</v>
      </c>
      <c r="C288" t="s">
        <v>932</v>
      </c>
      <c r="D288" t="s">
        <v>872</v>
      </c>
      <c r="E288" t="s">
        <v>933</v>
      </c>
      <c r="H288" t="s">
        <v>25</v>
      </c>
      <c r="I288" t="s">
        <v>874</v>
      </c>
      <c r="J288" t="s">
        <v>87</v>
      </c>
      <c r="K288" t="s">
        <v>88</v>
      </c>
      <c r="L288" t="s">
        <v>29</v>
      </c>
      <c r="M288" t="s">
        <v>30</v>
      </c>
      <c r="N288" t="s">
        <v>31</v>
      </c>
      <c r="Q288" t="s">
        <v>934</v>
      </c>
      <c r="R288" t="s">
        <v>934</v>
      </c>
    </row>
    <row r="289" spans="1:18" x14ac:dyDescent="0.3">
      <c r="A289" s="2" t="str">
        <f>HYPERLINK(B289,"Oppna PDF")</f>
        <v>Oppna PDF</v>
      </c>
      <c r="B289" t="s">
        <v>931</v>
      </c>
      <c r="C289" t="s">
        <v>935</v>
      </c>
      <c r="D289" t="s">
        <v>872</v>
      </c>
      <c r="E289" t="s">
        <v>933</v>
      </c>
      <c r="H289" t="s">
        <v>25</v>
      </c>
      <c r="I289" t="s">
        <v>874</v>
      </c>
      <c r="J289" t="s">
        <v>27</v>
      </c>
      <c r="K289" t="s">
        <v>28</v>
      </c>
      <c r="L289" t="s">
        <v>29</v>
      </c>
      <c r="M289" t="s">
        <v>30</v>
      </c>
      <c r="N289" t="s">
        <v>31</v>
      </c>
      <c r="Q289" t="s">
        <v>936</v>
      </c>
      <c r="R289" t="s">
        <v>936</v>
      </c>
    </row>
    <row r="290" spans="1:18" x14ac:dyDescent="0.3">
      <c r="A290" s="2" t="str">
        <f>HYPERLINK(B290,"Oppna PDF")</f>
        <v>Oppna PDF</v>
      </c>
      <c r="B290" t="s">
        <v>931</v>
      </c>
      <c r="C290" t="s">
        <v>937</v>
      </c>
      <c r="D290" t="s">
        <v>872</v>
      </c>
      <c r="E290" t="s">
        <v>933</v>
      </c>
      <c r="H290" t="s">
        <v>25</v>
      </c>
      <c r="I290" t="s">
        <v>874</v>
      </c>
      <c r="J290" t="s">
        <v>91</v>
      </c>
      <c r="K290" t="s">
        <v>92</v>
      </c>
      <c r="L290" t="s">
        <v>29</v>
      </c>
      <c r="M290" t="s">
        <v>30</v>
      </c>
      <c r="N290" t="s">
        <v>31</v>
      </c>
      <c r="Q290" t="s">
        <v>938</v>
      </c>
      <c r="R290" t="s">
        <v>938</v>
      </c>
    </row>
    <row r="291" spans="1:18" x14ac:dyDescent="0.3">
      <c r="A291" s="2" t="str">
        <f>HYPERLINK(B291,"Oppna PDF")</f>
        <v>Oppna PDF</v>
      </c>
      <c r="B291" t="s">
        <v>939</v>
      </c>
      <c r="C291" t="s">
        <v>940</v>
      </c>
      <c r="D291" t="s">
        <v>598</v>
      </c>
      <c r="E291" t="s">
        <v>941</v>
      </c>
      <c r="F291" t="s">
        <v>459</v>
      </c>
      <c r="G291" t="s">
        <v>460</v>
      </c>
      <c r="H291" t="s">
        <v>25</v>
      </c>
      <c r="I291" t="s">
        <v>600</v>
      </c>
      <c r="J291" t="s">
        <v>91</v>
      </c>
      <c r="K291" t="s">
        <v>92</v>
      </c>
      <c r="L291" t="s">
        <v>29</v>
      </c>
      <c r="M291" t="s">
        <v>30</v>
      </c>
      <c r="N291" t="s">
        <v>31</v>
      </c>
      <c r="Q291" t="s">
        <v>942</v>
      </c>
      <c r="R291" t="s">
        <v>942</v>
      </c>
    </row>
    <row r="292" spans="1:18" x14ac:dyDescent="0.3">
      <c r="A292" s="2" t="str">
        <f>HYPERLINK(B292,"Oppna PDF")</f>
        <v>Oppna PDF</v>
      </c>
      <c r="B292" t="s">
        <v>939</v>
      </c>
      <c r="C292" t="s">
        <v>943</v>
      </c>
      <c r="D292" t="s">
        <v>598</v>
      </c>
      <c r="E292" t="s">
        <v>941</v>
      </c>
      <c r="F292" t="s">
        <v>459</v>
      </c>
      <c r="G292" t="s">
        <v>460</v>
      </c>
      <c r="H292" t="s">
        <v>25</v>
      </c>
      <c r="I292" t="s">
        <v>600</v>
      </c>
      <c r="J292" t="s">
        <v>27</v>
      </c>
      <c r="K292" t="s">
        <v>28</v>
      </c>
      <c r="L292" t="s">
        <v>29</v>
      </c>
      <c r="M292" t="s">
        <v>30</v>
      </c>
      <c r="N292" t="s">
        <v>31</v>
      </c>
      <c r="Q292" t="s">
        <v>944</v>
      </c>
      <c r="R292" t="s">
        <v>944</v>
      </c>
    </row>
    <row r="293" spans="1:18" x14ac:dyDescent="0.3">
      <c r="A293" s="2" t="str">
        <f>HYPERLINK(B293,"Oppna PDF")</f>
        <v>Oppna PDF</v>
      </c>
      <c r="B293" t="s">
        <v>939</v>
      </c>
      <c r="C293" t="s">
        <v>945</v>
      </c>
      <c r="D293" t="s">
        <v>598</v>
      </c>
      <c r="E293" t="s">
        <v>941</v>
      </c>
      <c r="F293" t="s">
        <v>459</v>
      </c>
      <c r="G293" t="s">
        <v>460</v>
      </c>
      <c r="H293" t="s">
        <v>25</v>
      </c>
      <c r="I293" t="s">
        <v>600</v>
      </c>
      <c r="J293" t="s">
        <v>34</v>
      </c>
      <c r="K293" t="s">
        <v>35</v>
      </c>
      <c r="L293" t="s">
        <v>29</v>
      </c>
      <c r="M293" t="s">
        <v>30</v>
      </c>
      <c r="N293" t="s">
        <v>31</v>
      </c>
      <c r="Q293" t="s">
        <v>946</v>
      </c>
      <c r="R293" t="s">
        <v>946</v>
      </c>
    </row>
    <row r="294" spans="1:18" x14ac:dyDescent="0.3">
      <c r="A294" s="2" t="str">
        <f>HYPERLINK(B294,"Oppna PDF")</f>
        <v>Oppna PDF</v>
      </c>
      <c r="B294" t="s">
        <v>947</v>
      </c>
      <c r="C294" t="s">
        <v>948</v>
      </c>
      <c r="D294" t="s">
        <v>598</v>
      </c>
      <c r="E294" t="s">
        <v>949</v>
      </c>
      <c r="F294" t="s">
        <v>459</v>
      </c>
      <c r="G294" t="s">
        <v>460</v>
      </c>
      <c r="H294" t="s">
        <v>25</v>
      </c>
      <c r="I294" t="s">
        <v>600</v>
      </c>
      <c r="J294" t="s">
        <v>38</v>
      </c>
      <c r="K294" t="s">
        <v>39</v>
      </c>
      <c r="L294" t="s">
        <v>29</v>
      </c>
      <c r="M294" t="s">
        <v>30</v>
      </c>
      <c r="N294" t="s">
        <v>31</v>
      </c>
      <c r="Q294" t="s">
        <v>950</v>
      </c>
      <c r="R294" t="s">
        <v>950</v>
      </c>
    </row>
    <row r="295" spans="1:18" x14ac:dyDescent="0.3">
      <c r="A295" s="2" t="str">
        <f>HYPERLINK(B295,"Oppna PDF")</f>
        <v>Oppna PDF</v>
      </c>
      <c r="B295" t="s">
        <v>947</v>
      </c>
      <c r="C295" t="s">
        <v>951</v>
      </c>
      <c r="D295" t="s">
        <v>598</v>
      </c>
      <c r="E295" t="s">
        <v>949</v>
      </c>
      <c r="F295" t="s">
        <v>459</v>
      </c>
      <c r="G295" t="s">
        <v>460</v>
      </c>
      <c r="H295" t="s">
        <v>25</v>
      </c>
      <c r="I295" t="s">
        <v>600</v>
      </c>
      <c r="J295" t="s">
        <v>27</v>
      </c>
      <c r="K295" t="s">
        <v>28</v>
      </c>
      <c r="L295" t="s">
        <v>29</v>
      </c>
      <c r="M295" t="s">
        <v>30</v>
      </c>
      <c r="N295" t="s">
        <v>31</v>
      </c>
      <c r="Q295" t="s">
        <v>952</v>
      </c>
      <c r="R295" t="s">
        <v>952</v>
      </c>
    </row>
    <row r="296" spans="1:18" x14ac:dyDescent="0.3">
      <c r="A296" s="2" t="str">
        <f>HYPERLINK(B296,"Oppna PDF")</f>
        <v>Oppna PDF</v>
      </c>
      <c r="B296" t="s">
        <v>947</v>
      </c>
      <c r="C296" t="s">
        <v>953</v>
      </c>
      <c r="D296" t="s">
        <v>598</v>
      </c>
      <c r="E296" t="s">
        <v>949</v>
      </c>
      <c r="F296" t="s">
        <v>459</v>
      </c>
      <c r="G296" t="s">
        <v>460</v>
      </c>
      <c r="H296" t="s">
        <v>25</v>
      </c>
      <c r="I296" t="s">
        <v>600</v>
      </c>
      <c r="J296" t="s">
        <v>48</v>
      </c>
      <c r="K296" t="s">
        <v>49</v>
      </c>
      <c r="L296" t="s">
        <v>29</v>
      </c>
      <c r="M296" t="s">
        <v>30</v>
      </c>
      <c r="N296" t="s">
        <v>31</v>
      </c>
      <c r="Q296" t="s">
        <v>954</v>
      </c>
      <c r="R296" t="s">
        <v>954</v>
      </c>
    </row>
    <row r="297" spans="1:18" x14ac:dyDescent="0.3">
      <c r="A297" s="2" t="str">
        <f>HYPERLINK(B297,"Oppna PDF")</f>
        <v>Oppna PDF</v>
      </c>
      <c r="B297" t="s">
        <v>955</v>
      </c>
      <c r="C297" t="s">
        <v>956</v>
      </c>
      <c r="D297" t="s">
        <v>957</v>
      </c>
      <c r="E297" t="s">
        <v>958</v>
      </c>
      <c r="F297" t="s">
        <v>959</v>
      </c>
      <c r="G297" t="s">
        <v>960</v>
      </c>
      <c r="H297" t="s">
        <v>61</v>
      </c>
      <c r="I297" t="s">
        <v>961</v>
      </c>
      <c r="J297" t="s">
        <v>38</v>
      </c>
      <c r="K297" t="s">
        <v>39</v>
      </c>
      <c r="L297" t="s">
        <v>29</v>
      </c>
      <c r="M297" t="s">
        <v>30</v>
      </c>
      <c r="N297" t="s">
        <v>31</v>
      </c>
      <c r="Q297" t="s">
        <v>962</v>
      </c>
      <c r="R297" t="s">
        <v>963</v>
      </c>
    </row>
    <row r="298" spans="1:18" x14ac:dyDescent="0.3">
      <c r="A298" s="2" t="str">
        <f>HYPERLINK(B298,"Oppna PDF")</f>
        <v>Oppna PDF</v>
      </c>
      <c r="B298" t="s">
        <v>955</v>
      </c>
      <c r="C298" t="s">
        <v>964</v>
      </c>
      <c r="D298" t="s">
        <v>957</v>
      </c>
      <c r="E298" t="s">
        <v>958</v>
      </c>
      <c r="F298" t="s">
        <v>959</v>
      </c>
      <c r="G298" t="s">
        <v>960</v>
      </c>
      <c r="H298" t="s">
        <v>61</v>
      </c>
      <c r="I298" t="s">
        <v>961</v>
      </c>
      <c r="J298" t="s">
        <v>38</v>
      </c>
      <c r="K298" t="s">
        <v>39</v>
      </c>
      <c r="L298" t="s">
        <v>29</v>
      </c>
      <c r="M298" t="s">
        <v>30</v>
      </c>
      <c r="N298" t="s">
        <v>31</v>
      </c>
      <c r="Q298" t="s">
        <v>965</v>
      </c>
      <c r="R298" t="s">
        <v>965</v>
      </c>
    </row>
    <row r="299" spans="1:18" x14ac:dyDescent="0.3">
      <c r="A299" s="2" t="str">
        <f>HYPERLINK(B299,"Oppna PDF")</f>
        <v>Oppna PDF</v>
      </c>
      <c r="B299" t="s">
        <v>955</v>
      </c>
      <c r="C299" t="s">
        <v>966</v>
      </c>
      <c r="D299" t="s">
        <v>957</v>
      </c>
      <c r="E299" t="s">
        <v>958</v>
      </c>
      <c r="F299" t="s">
        <v>959</v>
      </c>
      <c r="G299" t="s">
        <v>960</v>
      </c>
      <c r="H299" t="s">
        <v>61</v>
      </c>
      <c r="I299" t="s">
        <v>961</v>
      </c>
      <c r="J299" t="s">
        <v>38</v>
      </c>
      <c r="K299" t="s">
        <v>39</v>
      </c>
      <c r="L299" t="s">
        <v>29</v>
      </c>
      <c r="M299" t="s">
        <v>30</v>
      </c>
      <c r="N299" t="s">
        <v>31</v>
      </c>
      <c r="Q299" t="s">
        <v>967</v>
      </c>
      <c r="R299" t="s">
        <v>967</v>
      </c>
    </row>
    <row r="300" spans="1:18" x14ac:dyDescent="0.3">
      <c r="A300" s="2" t="str">
        <f>HYPERLINK(B300,"Oppna PDF")</f>
        <v>Oppna PDF</v>
      </c>
      <c r="B300" t="s">
        <v>968</v>
      </c>
      <c r="C300" t="s">
        <v>969</v>
      </c>
      <c r="D300" t="s">
        <v>970</v>
      </c>
      <c r="E300" t="s">
        <v>971</v>
      </c>
      <c r="H300" t="s">
        <v>61</v>
      </c>
      <c r="I300" t="s">
        <v>972</v>
      </c>
      <c r="J300" t="s">
        <v>27</v>
      </c>
      <c r="K300" t="s">
        <v>28</v>
      </c>
      <c r="L300" t="s">
        <v>29</v>
      </c>
      <c r="M300" t="s">
        <v>30</v>
      </c>
      <c r="N300" t="s">
        <v>31</v>
      </c>
      <c r="Q300" t="s">
        <v>973</v>
      </c>
      <c r="R300" t="s">
        <v>973</v>
      </c>
    </row>
    <row r="301" spans="1:18" x14ac:dyDescent="0.3">
      <c r="A301" s="2" t="str">
        <f>HYPERLINK(B301,"Oppna PDF")</f>
        <v>Oppna PDF</v>
      </c>
      <c r="B301" t="s">
        <v>974</v>
      </c>
      <c r="C301" t="s">
        <v>975</v>
      </c>
      <c r="D301" t="s">
        <v>976</v>
      </c>
      <c r="E301" t="s">
        <v>977</v>
      </c>
      <c r="H301" t="s">
        <v>61</v>
      </c>
      <c r="I301" t="s">
        <v>978</v>
      </c>
      <c r="J301" t="s">
        <v>48</v>
      </c>
      <c r="K301" t="s">
        <v>49</v>
      </c>
      <c r="L301" t="s">
        <v>29</v>
      </c>
      <c r="M301" t="s">
        <v>30</v>
      </c>
      <c r="N301" t="s">
        <v>31</v>
      </c>
      <c r="Q301" t="s">
        <v>979</v>
      </c>
      <c r="R301" t="s">
        <v>980</v>
      </c>
    </row>
    <row r="302" spans="1:18" x14ac:dyDescent="0.3">
      <c r="A302" s="2" t="str">
        <f>HYPERLINK(B302,"Oppna PDF")</f>
        <v>Oppna PDF</v>
      </c>
      <c r="B302" t="s">
        <v>974</v>
      </c>
      <c r="C302" t="s">
        <v>981</v>
      </c>
      <c r="D302" t="s">
        <v>976</v>
      </c>
      <c r="E302" t="s">
        <v>977</v>
      </c>
      <c r="H302" t="s">
        <v>61</v>
      </c>
      <c r="I302" t="s">
        <v>978</v>
      </c>
      <c r="J302" t="s">
        <v>27</v>
      </c>
      <c r="K302" t="s">
        <v>28</v>
      </c>
      <c r="L302" t="s">
        <v>29</v>
      </c>
      <c r="M302" t="s">
        <v>30</v>
      </c>
      <c r="N302" t="s">
        <v>31</v>
      </c>
      <c r="Q302" t="s">
        <v>982</v>
      </c>
      <c r="R302" t="s">
        <v>983</v>
      </c>
    </row>
    <row r="303" spans="1:18" x14ac:dyDescent="0.3">
      <c r="A303" s="2" t="str">
        <f>HYPERLINK(B303,"Oppna PDF")</f>
        <v>Oppna PDF</v>
      </c>
      <c r="B303" t="s">
        <v>974</v>
      </c>
      <c r="C303" t="s">
        <v>984</v>
      </c>
      <c r="D303" t="s">
        <v>976</v>
      </c>
      <c r="E303" t="s">
        <v>977</v>
      </c>
      <c r="H303" t="s">
        <v>61</v>
      </c>
      <c r="I303" t="s">
        <v>978</v>
      </c>
      <c r="J303" t="s">
        <v>38</v>
      </c>
      <c r="K303" t="s">
        <v>39</v>
      </c>
      <c r="L303" t="s">
        <v>29</v>
      </c>
      <c r="M303" t="s">
        <v>30</v>
      </c>
      <c r="N303" t="s">
        <v>31</v>
      </c>
      <c r="Q303" t="s">
        <v>985</v>
      </c>
      <c r="R303" t="s">
        <v>985</v>
      </c>
    </row>
    <row r="304" spans="1:18" x14ac:dyDescent="0.3">
      <c r="A304" s="2" t="str">
        <f>HYPERLINK(B304,"Oppna PDF")</f>
        <v>Oppna PDF</v>
      </c>
      <c r="B304" t="s">
        <v>986</v>
      </c>
      <c r="C304" t="s">
        <v>987</v>
      </c>
      <c r="D304" t="s">
        <v>988</v>
      </c>
      <c r="E304" t="s">
        <v>989</v>
      </c>
      <c r="H304" t="s">
        <v>25</v>
      </c>
      <c r="I304" t="s">
        <v>990</v>
      </c>
      <c r="J304" t="s">
        <v>34</v>
      </c>
      <c r="K304" t="s">
        <v>35</v>
      </c>
      <c r="L304" t="s">
        <v>29</v>
      </c>
      <c r="M304" t="s">
        <v>30</v>
      </c>
      <c r="N304" t="s">
        <v>31</v>
      </c>
      <c r="Q304" t="s">
        <v>991</v>
      </c>
      <c r="R304" t="s">
        <v>991</v>
      </c>
    </row>
    <row r="305" spans="1:18" x14ac:dyDescent="0.3">
      <c r="A305" s="2" t="str">
        <f>HYPERLINK(B305,"Oppna PDF")</f>
        <v>Oppna PDF</v>
      </c>
      <c r="B305" t="s">
        <v>986</v>
      </c>
      <c r="C305" t="s">
        <v>992</v>
      </c>
      <c r="D305" t="s">
        <v>988</v>
      </c>
      <c r="E305" t="s">
        <v>989</v>
      </c>
      <c r="H305" t="s">
        <v>25</v>
      </c>
      <c r="I305" t="s">
        <v>990</v>
      </c>
      <c r="J305" t="s">
        <v>91</v>
      </c>
      <c r="K305" t="s">
        <v>92</v>
      </c>
      <c r="L305" t="s">
        <v>29</v>
      </c>
      <c r="M305" t="s">
        <v>30</v>
      </c>
      <c r="N305" t="s">
        <v>31</v>
      </c>
      <c r="Q305" t="s">
        <v>993</v>
      </c>
      <c r="R305" t="s">
        <v>993</v>
      </c>
    </row>
    <row r="306" spans="1:18" x14ac:dyDescent="0.3">
      <c r="A306" s="2" t="str">
        <f>HYPERLINK(B306,"Oppna PDF")</f>
        <v>Oppna PDF</v>
      </c>
      <c r="B306" t="s">
        <v>986</v>
      </c>
      <c r="C306" t="s">
        <v>994</v>
      </c>
      <c r="D306" t="s">
        <v>988</v>
      </c>
      <c r="E306" t="s">
        <v>989</v>
      </c>
      <c r="H306" t="s">
        <v>25</v>
      </c>
      <c r="I306" t="s">
        <v>990</v>
      </c>
      <c r="J306" t="s">
        <v>38</v>
      </c>
      <c r="K306" t="s">
        <v>39</v>
      </c>
      <c r="L306" t="s">
        <v>29</v>
      </c>
      <c r="M306" t="s">
        <v>30</v>
      </c>
      <c r="N306" t="s">
        <v>31</v>
      </c>
      <c r="Q306" t="s">
        <v>995</v>
      </c>
      <c r="R306" t="s">
        <v>995</v>
      </c>
    </row>
    <row r="307" spans="1:18" x14ac:dyDescent="0.3">
      <c r="A307" s="2" t="str">
        <f>HYPERLINK(B307,"Oppna PDF")</f>
        <v>Oppna PDF</v>
      </c>
      <c r="B307" t="s">
        <v>996</v>
      </c>
      <c r="C307" t="s">
        <v>997</v>
      </c>
      <c r="D307" t="s">
        <v>998</v>
      </c>
      <c r="E307" t="s">
        <v>999</v>
      </c>
      <c r="H307" t="s">
        <v>25</v>
      </c>
      <c r="I307" t="s">
        <v>990</v>
      </c>
      <c r="J307" t="s">
        <v>34</v>
      </c>
      <c r="K307" t="s">
        <v>35</v>
      </c>
      <c r="L307" t="s">
        <v>29</v>
      </c>
      <c r="M307" t="s">
        <v>30</v>
      </c>
      <c r="N307" t="s">
        <v>31</v>
      </c>
      <c r="Q307" t="s">
        <v>991</v>
      </c>
      <c r="R307" t="s">
        <v>991</v>
      </c>
    </row>
    <row r="308" spans="1:18" x14ac:dyDescent="0.3">
      <c r="A308" s="2" t="str">
        <f>HYPERLINK(B308,"Oppna PDF")</f>
        <v>Oppna PDF</v>
      </c>
      <c r="B308" t="s">
        <v>996</v>
      </c>
      <c r="C308" t="s">
        <v>1000</v>
      </c>
      <c r="D308" t="s">
        <v>998</v>
      </c>
      <c r="E308" t="s">
        <v>999</v>
      </c>
      <c r="H308" t="s">
        <v>25</v>
      </c>
      <c r="I308" t="s">
        <v>990</v>
      </c>
      <c r="J308" t="s">
        <v>91</v>
      </c>
      <c r="K308" t="s">
        <v>92</v>
      </c>
      <c r="L308" t="s">
        <v>29</v>
      </c>
      <c r="M308" t="s">
        <v>30</v>
      </c>
      <c r="N308" t="s">
        <v>31</v>
      </c>
      <c r="Q308" t="s">
        <v>993</v>
      </c>
      <c r="R308" t="s">
        <v>993</v>
      </c>
    </row>
    <row r="309" spans="1:18" x14ac:dyDescent="0.3">
      <c r="A309" s="2" t="str">
        <f>HYPERLINK(B309,"Oppna PDF")</f>
        <v>Oppna PDF</v>
      </c>
      <c r="B309" t="s">
        <v>996</v>
      </c>
      <c r="C309" t="s">
        <v>1001</v>
      </c>
      <c r="D309" t="s">
        <v>998</v>
      </c>
      <c r="E309" t="s">
        <v>999</v>
      </c>
      <c r="H309" t="s">
        <v>25</v>
      </c>
      <c r="I309" t="s">
        <v>990</v>
      </c>
      <c r="J309" t="s">
        <v>38</v>
      </c>
      <c r="K309" t="s">
        <v>39</v>
      </c>
      <c r="L309" t="s">
        <v>29</v>
      </c>
      <c r="M309" t="s">
        <v>30</v>
      </c>
      <c r="N309" t="s">
        <v>31</v>
      </c>
      <c r="Q309" t="s">
        <v>995</v>
      </c>
      <c r="R309" t="s">
        <v>995</v>
      </c>
    </row>
    <row r="310" spans="1:18" x14ac:dyDescent="0.3">
      <c r="A310" s="2" t="str">
        <f>HYPERLINK(B310,"Oppna PDF")</f>
        <v>Oppna PDF</v>
      </c>
      <c r="B310" t="s">
        <v>1002</v>
      </c>
      <c r="C310" t="s">
        <v>1003</v>
      </c>
      <c r="D310" t="s">
        <v>1004</v>
      </c>
      <c r="E310" t="s">
        <v>1005</v>
      </c>
      <c r="H310" t="s">
        <v>25</v>
      </c>
      <c r="I310" t="s">
        <v>1006</v>
      </c>
      <c r="J310" t="s">
        <v>87</v>
      </c>
      <c r="K310" t="s">
        <v>88</v>
      </c>
      <c r="L310" t="s">
        <v>300</v>
      </c>
      <c r="M310" t="s">
        <v>30</v>
      </c>
      <c r="N310" t="s">
        <v>31</v>
      </c>
      <c r="Q310" t="s">
        <v>1007</v>
      </c>
      <c r="R310" t="s">
        <v>1007</v>
      </c>
    </row>
    <row r="311" spans="1:18" x14ac:dyDescent="0.3">
      <c r="A311" s="2" t="str">
        <f>HYPERLINK(B311,"Oppna PDF")</f>
        <v>Oppna PDF</v>
      </c>
      <c r="B311" t="s">
        <v>1008</v>
      </c>
      <c r="C311" t="s">
        <v>1009</v>
      </c>
      <c r="D311" t="s">
        <v>1010</v>
      </c>
      <c r="E311" t="s">
        <v>1011</v>
      </c>
      <c r="F311" t="s">
        <v>1012</v>
      </c>
      <c r="G311" t="s">
        <v>1013</v>
      </c>
      <c r="H311" t="s">
        <v>25</v>
      </c>
      <c r="I311" t="s">
        <v>1014</v>
      </c>
      <c r="J311" t="s">
        <v>27</v>
      </c>
      <c r="K311" t="s">
        <v>28</v>
      </c>
      <c r="L311" t="s">
        <v>29</v>
      </c>
      <c r="M311" t="s">
        <v>30</v>
      </c>
      <c r="N311" t="s">
        <v>31</v>
      </c>
      <c r="Q311" t="s">
        <v>1015</v>
      </c>
      <c r="R311" t="s">
        <v>1015</v>
      </c>
    </row>
    <row r="312" spans="1:18" x14ac:dyDescent="0.3">
      <c r="A312" s="2" t="str">
        <f>HYPERLINK(B312,"Oppna PDF")</f>
        <v>Oppna PDF</v>
      </c>
      <c r="B312" t="s">
        <v>1008</v>
      </c>
      <c r="C312" t="s">
        <v>1016</v>
      </c>
      <c r="D312" t="s">
        <v>1010</v>
      </c>
      <c r="E312" t="s">
        <v>1011</v>
      </c>
      <c r="F312" t="s">
        <v>1012</v>
      </c>
      <c r="G312" t="s">
        <v>1013</v>
      </c>
      <c r="H312" t="s">
        <v>25</v>
      </c>
      <c r="I312" t="s">
        <v>1014</v>
      </c>
      <c r="J312" t="s">
        <v>27</v>
      </c>
      <c r="K312" t="s">
        <v>28</v>
      </c>
      <c r="L312" t="s">
        <v>29</v>
      </c>
      <c r="M312" t="s">
        <v>30</v>
      </c>
      <c r="N312" t="s">
        <v>31</v>
      </c>
      <c r="Q312" t="s">
        <v>1017</v>
      </c>
      <c r="R312" t="s">
        <v>1017</v>
      </c>
    </row>
    <row r="313" spans="1:18" x14ac:dyDescent="0.3">
      <c r="A313" s="2" t="str">
        <f>HYPERLINK(B313,"Oppna PDF")</f>
        <v>Oppna PDF</v>
      </c>
      <c r="B313" t="s">
        <v>1008</v>
      </c>
      <c r="C313" t="s">
        <v>1018</v>
      </c>
      <c r="D313" t="s">
        <v>1010</v>
      </c>
      <c r="E313" t="s">
        <v>1011</v>
      </c>
      <c r="F313" t="s">
        <v>1012</v>
      </c>
      <c r="G313" t="s">
        <v>1013</v>
      </c>
      <c r="H313" t="s">
        <v>25</v>
      </c>
      <c r="I313" t="s">
        <v>1014</v>
      </c>
      <c r="J313" t="s">
        <v>48</v>
      </c>
      <c r="K313" t="s">
        <v>49</v>
      </c>
      <c r="L313" t="s">
        <v>29</v>
      </c>
      <c r="M313" t="s">
        <v>30</v>
      </c>
      <c r="N313" t="s">
        <v>31</v>
      </c>
      <c r="Q313" t="s">
        <v>1019</v>
      </c>
      <c r="R313" t="s">
        <v>1019</v>
      </c>
    </row>
    <row r="314" spans="1:18" x14ac:dyDescent="0.3">
      <c r="A314" s="2" t="str">
        <f>HYPERLINK(B314,"Oppna PDF")</f>
        <v>Oppna PDF</v>
      </c>
      <c r="B314" t="s">
        <v>1020</v>
      </c>
      <c r="C314" t="s">
        <v>1021</v>
      </c>
      <c r="D314" t="s">
        <v>1010</v>
      </c>
      <c r="E314" t="s">
        <v>1022</v>
      </c>
      <c r="F314" t="s">
        <v>1012</v>
      </c>
      <c r="G314" t="s">
        <v>1013</v>
      </c>
      <c r="H314" t="s">
        <v>25</v>
      </c>
      <c r="I314" t="s">
        <v>1014</v>
      </c>
      <c r="J314" t="s">
        <v>34</v>
      </c>
      <c r="K314" t="s">
        <v>35</v>
      </c>
      <c r="L314" t="s">
        <v>29</v>
      </c>
      <c r="M314" t="s">
        <v>30</v>
      </c>
      <c r="N314" t="s">
        <v>31</v>
      </c>
      <c r="Q314" t="s">
        <v>1023</v>
      </c>
      <c r="R314" t="s">
        <v>1023</v>
      </c>
    </row>
    <row r="315" spans="1:18" x14ac:dyDescent="0.3">
      <c r="A315" s="2" t="str">
        <f>HYPERLINK(B315,"Oppna PDF")</f>
        <v>Oppna PDF</v>
      </c>
      <c r="B315" t="s">
        <v>1020</v>
      </c>
      <c r="C315" t="s">
        <v>1024</v>
      </c>
      <c r="D315" t="s">
        <v>1010</v>
      </c>
      <c r="E315" t="s">
        <v>1022</v>
      </c>
      <c r="F315" t="s">
        <v>1012</v>
      </c>
      <c r="G315" t="s">
        <v>1013</v>
      </c>
      <c r="H315" t="s">
        <v>25</v>
      </c>
      <c r="I315" t="s">
        <v>1014</v>
      </c>
      <c r="J315" t="s">
        <v>87</v>
      </c>
      <c r="K315" t="s">
        <v>88</v>
      </c>
      <c r="L315" t="s">
        <v>29</v>
      </c>
      <c r="M315" t="s">
        <v>30</v>
      </c>
      <c r="N315" t="s">
        <v>31</v>
      </c>
      <c r="Q315" t="s">
        <v>1025</v>
      </c>
      <c r="R315" t="s">
        <v>1025</v>
      </c>
    </row>
    <row r="316" spans="1:18" x14ac:dyDescent="0.3">
      <c r="A316" s="2" t="str">
        <f>HYPERLINK(B316,"Oppna PDF")</f>
        <v>Oppna PDF</v>
      </c>
      <c r="B316" t="s">
        <v>1026</v>
      </c>
      <c r="C316" t="s">
        <v>1027</v>
      </c>
      <c r="D316" t="s">
        <v>1028</v>
      </c>
      <c r="E316" t="s">
        <v>1029</v>
      </c>
      <c r="H316" t="s">
        <v>25</v>
      </c>
      <c r="I316" t="s">
        <v>1030</v>
      </c>
      <c r="J316" t="s">
        <v>87</v>
      </c>
      <c r="K316" t="s">
        <v>88</v>
      </c>
      <c r="L316" t="s">
        <v>300</v>
      </c>
      <c r="M316" t="s">
        <v>30</v>
      </c>
      <c r="N316" t="s">
        <v>31</v>
      </c>
      <c r="Q316" t="s">
        <v>1031</v>
      </c>
      <c r="R316" t="s">
        <v>1031</v>
      </c>
    </row>
    <row r="317" spans="1:18" x14ac:dyDescent="0.3">
      <c r="A317" s="2" t="str">
        <f>HYPERLINK(B317,"Oppna PDF")</f>
        <v>Oppna PDF</v>
      </c>
      <c r="B317" t="s">
        <v>1026</v>
      </c>
      <c r="C317" t="s">
        <v>1032</v>
      </c>
      <c r="D317" t="s">
        <v>1028</v>
      </c>
      <c r="E317" t="s">
        <v>1029</v>
      </c>
      <c r="H317" t="s">
        <v>25</v>
      </c>
      <c r="I317" t="s">
        <v>1030</v>
      </c>
      <c r="J317" t="s">
        <v>48</v>
      </c>
      <c r="K317" t="s">
        <v>49</v>
      </c>
      <c r="L317" t="s">
        <v>300</v>
      </c>
      <c r="M317" t="s">
        <v>30</v>
      </c>
      <c r="N317" t="s">
        <v>31</v>
      </c>
      <c r="Q317" t="s">
        <v>1033</v>
      </c>
      <c r="R317" t="s">
        <v>1033</v>
      </c>
    </row>
    <row r="318" spans="1:18" x14ac:dyDescent="0.3">
      <c r="A318" s="2" t="str">
        <f>HYPERLINK(B318,"Oppna PDF")</f>
        <v>Oppna PDF</v>
      </c>
      <c r="B318" t="s">
        <v>1026</v>
      </c>
      <c r="C318" t="s">
        <v>1034</v>
      </c>
      <c r="D318" t="s">
        <v>1028</v>
      </c>
      <c r="E318" t="s">
        <v>1029</v>
      </c>
      <c r="H318" t="s">
        <v>25</v>
      </c>
      <c r="I318" t="s">
        <v>1030</v>
      </c>
      <c r="J318" t="s">
        <v>87</v>
      </c>
      <c r="K318" t="s">
        <v>88</v>
      </c>
      <c r="L318" t="s">
        <v>300</v>
      </c>
      <c r="M318" t="s">
        <v>30</v>
      </c>
      <c r="N318" t="s">
        <v>31</v>
      </c>
      <c r="Q318" t="s">
        <v>1035</v>
      </c>
      <c r="R318" t="s">
        <v>1035</v>
      </c>
    </row>
    <row r="319" spans="1:18" x14ac:dyDescent="0.3">
      <c r="A319" s="2" t="str">
        <f>HYPERLINK(B319,"Oppna PDF")</f>
        <v>Oppna PDF</v>
      </c>
      <c r="B319" t="s">
        <v>1036</v>
      </c>
      <c r="C319" t="s">
        <v>1037</v>
      </c>
      <c r="D319" t="s">
        <v>1028</v>
      </c>
      <c r="E319" t="s">
        <v>1038</v>
      </c>
      <c r="H319" t="s">
        <v>25</v>
      </c>
      <c r="I319" t="s">
        <v>1030</v>
      </c>
      <c r="J319" t="s">
        <v>27</v>
      </c>
      <c r="K319" t="s">
        <v>28</v>
      </c>
      <c r="L319" t="s">
        <v>29</v>
      </c>
      <c r="M319" t="s">
        <v>30</v>
      </c>
      <c r="N319" t="s">
        <v>31</v>
      </c>
      <c r="Q319" t="s">
        <v>1039</v>
      </c>
      <c r="R319" t="s">
        <v>1039</v>
      </c>
    </row>
    <row r="320" spans="1:18" x14ac:dyDescent="0.3">
      <c r="A320" s="2" t="str">
        <f>HYPERLINK(B320,"Oppna PDF")</f>
        <v>Oppna PDF</v>
      </c>
      <c r="B320" t="s">
        <v>1036</v>
      </c>
      <c r="C320" t="s">
        <v>1040</v>
      </c>
      <c r="D320" t="s">
        <v>1028</v>
      </c>
      <c r="E320" t="s">
        <v>1038</v>
      </c>
      <c r="H320" t="s">
        <v>25</v>
      </c>
      <c r="I320" t="s">
        <v>1030</v>
      </c>
      <c r="J320" t="s">
        <v>209</v>
      </c>
      <c r="K320" t="s">
        <v>210</v>
      </c>
      <c r="L320" t="s">
        <v>29</v>
      </c>
      <c r="M320" t="s">
        <v>30</v>
      </c>
      <c r="N320" t="s">
        <v>31</v>
      </c>
      <c r="Q320" t="s">
        <v>1041</v>
      </c>
      <c r="R320" t="s">
        <v>1042</v>
      </c>
    </row>
    <row r="321" spans="1:18" x14ac:dyDescent="0.3">
      <c r="A321" s="2" t="str">
        <f>HYPERLINK(B321,"Oppna PDF")</f>
        <v>Oppna PDF</v>
      </c>
      <c r="B321" t="s">
        <v>1036</v>
      </c>
      <c r="C321" t="s">
        <v>1043</v>
      </c>
      <c r="D321" t="s">
        <v>1028</v>
      </c>
      <c r="E321" t="s">
        <v>1038</v>
      </c>
      <c r="H321" t="s">
        <v>25</v>
      </c>
      <c r="I321" t="s">
        <v>1030</v>
      </c>
      <c r="J321" t="s">
        <v>87</v>
      </c>
      <c r="K321" t="s">
        <v>88</v>
      </c>
      <c r="L321" t="s">
        <v>29</v>
      </c>
      <c r="M321" t="s">
        <v>30</v>
      </c>
      <c r="N321" t="s">
        <v>31</v>
      </c>
      <c r="Q321" t="s">
        <v>1044</v>
      </c>
      <c r="R321" t="s">
        <v>1044</v>
      </c>
    </row>
    <row r="322" spans="1:18" x14ac:dyDescent="0.3">
      <c r="A322" s="2" t="str">
        <f>HYPERLINK(B322,"Oppna PDF")</f>
        <v>Oppna PDF</v>
      </c>
      <c r="B322" t="s">
        <v>1045</v>
      </c>
      <c r="C322" t="s">
        <v>1046</v>
      </c>
      <c r="D322" t="s">
        <v>1047</v>
      </c>
      <c r="E322" t="s">
        <v>1048</v>
      </c>
      <c r="F322" t="s">
        <v>447</v>
      </c>
      <c r="G322" t="s">
        <v>448</v>
      </c>
      <c r="H322" t="s">
        <v>61</v>
      </c>
      <c r="I322" t="s">
        <v>1049</v>
      </c>
      <c r="J322" t="s">
        <v>87</v>
      </c>
      <c r="K322" t="s">
        <v>88</v>
      </c>
      <c r="L322" t="s">
        <v>29</v>
      </c>
      <c r="M322" t="s">
        <v>30</v>
      </c>
      <c r="N322" t="s">
        <v>31</v>
      </c>
      <c r="Q322" t="s">
        <v>1050</v>
      </c>
      <c r="R322" t="s">
        <v>1051</v>
      </c>
    </row>
    <row r="323" spans="1:18" x14ac:dyDescent="0.3">
      <c r="A323" s="2" t="str">
        <f>HYPERLINK(B323,"Oppna PDF")</f>
        <v>Oppna PDF</v>
      </c>
      <c r="B323" t="s">
        <v>1045</v>
      </c>
      <c r="C323" t="s">
        <v>1052</v>
      </c>
      <c r="D323" t="s">
        <v>1047</v>
      </c>
      <c r="E323" t="s">
        <v>1048</v>
      </c>
      <c r="F323" t="s">
        <v>447</v>
      </c>
      <c r="G323" t="s">
        <v>448</v>
      </c>
      <c r="H323" t="s">
        <v>61</v>
      </c>
      <c r="I323" t="s">
        <v>1049</v>
      </c>
      <c r="J323" t="s">
        <v>87</v>
      </c>
      <c r="K323" t="s">
        <v>88</v>
      </c>
      <c r="L323" t="s">
        <v>29</v>
      </c>
      <c r="M323" t="s">
        <v>30</v>
      </c>
      <c r="N323" t="s">
        <v>31</v>
      </c>
      <c r="Q323" t="s">
        <v>1053</v>
      </c>
      <c r="R323" t="s">
        <v>1053</v>
      </c>
    </row>
    <row r="324" spans="1:18" x14ac:dyDescent="0.3">
      <c r="A324" s="2" t="str">
        <f>HYPERLINK(B324,"Oppna PDF")</f>
        <v>Oppna PDF</v>
      </c>
      <c r="B324" t="s">
        <v>1045</v>
      </c>
      <c r="C324" t="s">
        <v>1054</v>
      </c>
      <c r="D324" t="s">
        <v>1047</v>
      </c>
      <c r="E324" t="s">
        <v>1048</v>
      </c>
      <c r="F324" t="s">
        <v>447</v>
      </c>
      <c r="G324" t="s">
        <v>448</v>
      </c>
      <c r="H324" t="s">
        <v>61</v>
      </c>
      <c r="I324" t="s">
        <v>1049</v>
      </c>
      <c r="J324" t="s">
        <v>87</v>
      </c>
      <c r="K324" t="s">
        <v>88</v>
      </c>
      <c r="L324" t="s">
        <v>29</v>
      </c>
      <c r="M324" t="s">
        <v>30</v>
      </c>
      <c r="N324" t="s">
        <v>31</v>
      </c>
      <c r="Q324" t="s">
        <v>1055</v>
      </c>
      <c r="R324" t="s">
        <v>1055</v>
      </c>
    </row>
    <row r="325" spans="1:18" x14ac:dyDescent="0.3">
      <c r="A325" s="2" t="str">
        <f>HYPERLINK(B325,"Oppna PDF")</f>
        <v>Oppna PDF</v>
      </c>
      <c r="B325" t="s">
        <v>1056</v>
      </c>
      <c r="C325" t="s">
        <v>1057</v>
      </c>
      <c r="D325" t="s">
        <v>1058</v>
      </c>
      <c r="E325" t="s">
        <v>1059</v>
      </c>
      <c r="F325" t="s">
        <v>1060</v>
      </c>
      <c r="G325" t="s">
        <v>1061</v>
      </c>
      <c r="H325" t="s">
        <v>25</v>
      </c>
      <c r="I325" t="s">
        <v>1062</v>
      </c>
      <c r="J325" t="s">
        <v>34</v>
      </c>
      <c r="K325" t="s">
        <v>35</v>
      </c>
      <c r="L325" t="s">
        <v>142</v>
      </c>
      <c r="M325" t="s">
        <v>30</v>
      </c>
      <c r="N325" t="s">
        <v>31</v>
      </c>
      <c r="Q325" t="s">
        <v>1063</v>
      </c>
      <c r="R325" t="s">
        <v>1063</v>
      </c>
    </row>
    <row r="326" spans="1:18" x14ac:dyDescent="0.3">
      <c r="A326" s="2" t="str">
        <f>HYPERLINK(B326,"Oppna PDF")</f>
        <v>Oppna PDF</v>
      </c>
      <c r="B326" t="s">
        <v>1056</v>
      </c>
      <c r="C326" t="s">
        <v>1064</v>
      </c>
      <c r="D326" t="s">
        <v>1058</v>
      </c>
      <c r="E326" t="s">
        <v>1059</v>
      </c>
      <c r="F326" t="s">
        <v>1060</v>
      </c>
      <c r="G326" t="s">
        <v>1061</v>
      </c>
      <c r="H326" t="s">
        <v>25</v>
      </c>
      <c r="I326" t="s">
        <v>1062</v>
      </c>
      <c r="J326" t="s">
        <v>34</v>
      </c>
      <c r="K326" t="s">
        <v>35</v>
      </c>
      <c r="L326" t="s">
        <v>142</v>
      </c>
      <c r="M326" t="s">
        <v>30</v>
      </c>
      <c r="N326" t="s">
        <v>31</v>
      </c>
      <c r="Q326" t="s">
        <v>1065</v>
      </c>
      <c r="R326" t="s">
        <v>1065</v>
      </c>
    </row>
    <row r="327" spans="1:18" x14ac:dyDescent="0.3">
      <c r="A327" s="2" t="str">
        <f>HYPERLINK(B327,"Oppna PDF")</f>
        <v>Oppna PDF</v>
      </c>
      <c r="B327" t="s">
        <v>1056</v>
      </c>
      <c r="C327" t="s">
        <v>1066</v>
      </c>
      <c r="D327" t="s">
        <v>1058</v>
      </c>
      <c r="E327" t="s">
        <v>1059</v>
      </c>
      <c r="F327" t="s">
        <v>1060</v>
      </c>
      <c r="G327" t="s">
        <v>1061</v>
      </c>
      <c r="H327" t="s">
        <v>25</v>
      </c>
      <c r="I327" t="s">
        <v>1062</v>
      </c>
      <c r="J327" t="s">
        <v>87</v>
      </c>
      <c r="K327" t="s">
        <v>88</v>
      </c>
      <c r="L327" t="s">
        <v>142</v>
      </c>
      <c r="M327" t="s">
        <v>30</v>
      </c>
      <c r="N327" t="s">
        <v>31</v>
      </c>
      <c r="Q327" t="s">
        <v>1067</v>
      </c>
      <c r="R327" t="s">
        <v>1068</v>
      </c>
    </row>
    <row r="328" spans="1:18" x14ac:dyDescent="0.3">
      <c r="A328" s="2" t="str">
        <f>HYPERLINK(B328,"Oppna PDF")</f>
        <v>Oppna PDF</v>
      </c>
      <c r="B328" t="s">
        <v>1069</v>
      </c>
      <c r="C328" t="s">
        <v>1070</v>
      </c>
      <c r="D328" t="s">
        <v>1071</v>
      </c>
      <c r="E328" t="s">
        <v>1072</v>
      </c>
      <c r="F328" t="e">
        <f>-- Borgholms</f>
        <v>#NAME?</v>
      </c>
      <c r="G328" t="e">
        <f>-- Borgholms kommun</f>
        <v>#NAME?</v>
      </c>
      <c r="H328" t="s">
        <v>61</v>
      </c>
      <c r="I328" t="s">
        <v>1073</v>
      </c>
      <c r="J328" t="s">
        <v>91</v>
      </c>
      <c r="K328" t="s">
        <v>92</v>
      </c>
      <c r="L328" t="s">
        <v>29</v>
      </c>
      <c r="M328" t="s">
        <v>30</v>
      </c>
      <c r="N328" t="s">
        <v>31</v>
      </c>
      <c r="Q328" t="s">
        <v>1074</v>
      </c>
      <c r="R328" t="s">
        <v>1075</v>
      </c>
    </row>
    <row r="329" spans="1:18" x14ac:dyDescent="0.3">
      <c r="A329" s="2" t="str">
        <f>HYPERLINK(B329,"Oppna PDF")</f>
        <v>Oppna PDF</v>
      </c>
      <c r="B329" t="s">
        <v>1069</v>
      </c>
      <c r="C329" t="s">
        <v>1076</v>
      </c>
      <c r="D329" t="s">
        <v>1071</v>
      </c>
      <c r="E329" t="s">
        <v>1072</v>
      </c>
      <c r="F329" t="e">
        <f>-- Borgholms</f>
        <v>#NAME?</v>
      </c>
      <c r="G329" t="e">
        <f>-- Borgholms kommun</f>
        <v>#NAME?</v>
      </c>
      <c r="H329" t="s">
        <v>61</v>
      </c>
      <c r="I329" t="s">
        <v>1073</v>
      </c>
      <c r="J329" t="s">
        <v>34</v>
      </c>
      <c r="K329" t="s">
        <v>35</v>
      </c>
      <c r="L329" t="s">
        <v>29</v>
      </c>
      <c r="M329" t="s">
        <v>30</v>
      </c>
      <c r="N329" t="s">
        <v>31</v>
      </c>
      <c r="Q329" t="s">
        <v>1077</v>
      </c>
      <c r="R329" t="s">
        <v>1077</v>
      </c>
    </row>
    <row r="330" spans="1:18" x14ac:dyDescent="0.3">
      <c r="A330" s="2" t="str">
        <f>HYPERLINK(B330,"Oppna PDF")</f>
        <v>Oppna PDF</v>
      </c>
      <c r="B330" t="s">
        <v>1078</v>
      </c>
      <c r="C330" t="s">
        <v>1079</v>
      </c>
      <c r="D330" t="s">
        <v>570</v>
      </c>
      <c r="E330" t="s">
        <v>1080</v>
      </c>
      <c r="H330" t="s">
        <v>25</v>
      </c>
      <c r="I330" t="s">
        <v>572</v>
      </c>
      <c r="J330" t="s">
        <v>34</v>
      </c>
      <c r="K330" t="s">
        <v>35</v>
      </c>
      <c r="L330" t="s">
        <v>29</v>
      </c>
      <c r="M330" t="s">
        <v>30</v>
      </c>
      <c r="N330" t="s">
        <v>31</v>
      </c>
      <c r="Q330" t="s">
        <v>585</v>
      </c>
      <c r="R330" t="s">
        <v>585</v>
      </c>
    </row>
    <row r="331" spans="1:18" x14ac:dyDescent="0.3">
      <c r="A331" s="2" t="str">
        <f>HYPERLINK(B331,"Oppna PDF")</f>
        <v>Oppna PDF</v>
      </c>
      <c r="B331" t="s">
        <v>1078</v>
      </c>
      <c r="C331" t="s">
        <v>1081</v>
      </c>
      <c r="D331" t="s">
        <v>570</v>
      </c>
      <c r="E331" t="s">
        <v>1080</v>
      </c>
      <c r="H331" t="s">
        <v>25</v>
      </c>
      <c r="I331" t="s">
        <v>572</v>
      </c>
      <c r="J331" t="s">
        <v>38</v>
      </c>
      <c r="K331" t="s">
        <v>39</v>
      </c>
      <c r="L331" t="s">
        <v>29</v>
      </c>
      <c r="M331" t="s">
        <v>30</v>
      </c>
      <c r="N331" t="s">
        <v>31</v>
      </c>
      <c r="Q331" t="s">
        <v>587</v>
      </c>
      <c r="R331" t="s">
        <v>588</v>
      </c>
    </row>
    <row r="332" spans="1:18" x14ac:dyDescent="0.3">
      <c r="A332" s="2" t="str">
        <f>HYPERLINK(B332,"Oppna PDF")</f>
        <v>Oppna PDF</v>
      </c>
      <c r="B332" t="s">
        <v>1078</v>
      </c>
      <c r="C332" t="s">
        <v>1082</v>
      </c>
      <c r="D332" t="s">
        <v>570</v>
      </c>
      <c r="E332" t="s">
        <v>1080</v>
      </c>
      <c r="H332" t="s">
        <v>25</v>
      </c>
      <c r="I332" t="s">
        <v>572</v>
      </c>
      <c r="J332" t="s">
        <v>27</v>
      </c>
      <c r="K332" t="s">
        <v>28</v>
      </c>
      <c r="L332" t="s">
        <v>29</v>
      </c>
      <c r="M332" t="s">
        <v>30</v>
      </c>
      <c r="N332" t="s">
        <v>31</v>
      </c>
      <c r="Q332" t="s">
        <v>590</v>
      </c>
      <c r="R332" t="s">
        <v>590</v>
      </c>
    </row>
    <row r="333" spans="1:18" x14ac:dyDescent="0.3">
      <c r="A333" s="2" t="str">
        <f>HYPERLINK(B333,"Oppna PDF")</f>
        <v>Oppna PDF</v>
      </c>
      <c r="B333" t="s">
        <v>1083</v>
      </c>
      <c r="C333" t="s">
        <v>1084</v>
      </c>
      <c r="D333" t="s">
        <v>622</v>
      </c>
      <c r="E333" t="s">
        <v>1085</v>
      </c>
      <c r="H333" t="s">
        <v>61</v>
      </c>
      <c r="I333" t="s">
        <v>624</v>
      </c>
      <c r="J333" t="s">
        <v>87</v>
      </c>
      <c r="K333" t="s">
        <v>88</v>
      </c>
      <c r="L333" t="s">
        <v>29</v>
      </c>
      <c r="M333" t="s">
        <v>30</v>
      </c>
      <c r="N333" t="s">
        <v>31</v>
      </c>
      <c r="Q333" t="s">
        <v>1086</v>
      </c>
      <c r="R333" t="s">
        <v>1087</v>
      </c>
    </row>
    <row r="334" spans="1:18" x14ac:dyDescent="0.3">
      <c r="A334" s="2" t="str">
        <f>HYPERLINK(B334,"Oppna PDF")</f>
        <v>Oppna PDF</v>
      </c>
      <c r="B334" t="s">
        <v>1083</v>
      </c>
      <c r="C334" t="s">
        <v>1088</v>
      </c>
      <c r="D334" t="s">
        <v>622</v>
      </c>
      <c r="E334" t="s">
        <v>1085</v>
      </c>
      <c r="H334" t="s">
        <v>61</v>
      </c>
      <c r="I334" t="s">
        <v>624</v>
      </c>
      <c r="J334" t="s">
        <v>87</v>
      </c>
      <c r="K334" t="s">
        <v>88</v>
      </c>
      <c r="L334" t="s">
        <v>300</v>
      </c>
      <c r="M334" t="s">
        <v>30</v>
      </c>
      <c r="N334" t="s">
        <v>31</v>
      </c>
      <c r="Q334" t="s">
        <v>428</v>
      </c>
      <c r="R334" t="s">
        <v>428</v>
      </c>
    </row>
    <row r="335" spans="1:18" x14ac:dyDescent="0.3">
      <c r="A335" s="2" t="str">
        <f>HYPERLINK(B335,"Oppna PDF")</f>
        <v>Oppna PDF</v>
      </c>
      <c r="B335" t="s">
        <v>1083</v>
      </c>
      <c r="C335" t="s">
        <v>1089</v>
      </c>
      <c r="D335" t="s">
        <v>622</v>
      </c>
      <c r="E335" t="s">
        <v>1085</v>
      </c>
      <c r="H335" t="s">
        <v>61</v>
      </c>
      <c r="I335" t="s">
        <v>624</v>
      </c>
      <c r="J335" t="s">
        <v>87</v>
      </c>
      <c r="K335" t="s">
        <v>88</v>
      </c>
      <c r="L335" t="s">
        <v>29</v>
      </c>
      <c r="M335" t="s">
        <v>30</v>
      </c>
      <c r="N335" t="s">
        <v>31</v>
      </c>
      <c r="Q335" t="s">
        <v>1090</v>
      </c>
      <c r="R335" t="s">
        <v>1090</v>
      </c>
    </row>
    <row r="336" spans="1:18" x14ac:dyDescent="0.3">
      <c r="A336" s="2" t="str">
        <f>HYPERLINK(B336,"Oppna PDF")</f>
        <v>Oppna PDF</v>
      </c>
      <c r="B336" t="s">
        <v>1091</v>
      </c>
      <c r="C336" t="s">
        <v>1092</v>
      </c>
      <c r="D336" t="s">
        <v>622</v>
      </c>
      <c r="E336" t="s">
        <v>1093</v>
      </c>
      <c r="H336" t="s">
        <v>61</v>
      </c>
      <c r="I336" t="s">
        <v>624</v>
      </c>
      <c r="J336" t="s">
        <v>87</v>
      </c>
      <c r="K336" t="s">
        <v>88</v>
      </c>
      <c r="L336" t="s">
        <v>29</v>
      </c>
      <c r="M336" t="s">
        <v>30</v>
      </c>
      <c r="N336" t="s">
        <v>31</v>
      </c>
      <c r="Q336" t="s">
        <v>625</v>
      </c>
      <c r="R336" t="s">
        <v>625</v>
      </c>
    </row>
    <row r="337" spans="1:18" x14ac:dyDescent="0.3">
      <c r="A337" s="2" t="str">
        <f>HYPERLINK(B337,"Oppna PDF")</f>
        <v>Oppna PDF</v>
      </c>
      <c r="B337" t="s">
        <v>1091</v>
      </c>
      <c r="C337" t="s">
        <v>1094</v>
      </c>
      <c r="D337" t="s">
        <v>622</v>
      </c>
      <c r="E337" t="s">
        <v>1093</v>
      </c>
      <c r="H337" t="s">
        <v>61</v>
      </c>
      <c r="I337" t="s">
        <v>624</v>
      </c>
      <c r="J337" t="s">
        <v>34</v>
      </c>
      <c r="K337" t="s">
        <v>35</v>
      </c>
      <c r="L337" t="s">
        <v>29</v>
      </c>
      <c r="M337" t="s">
        <v>30</v>
      </c>
      <c r="N337" t="s">
        <v>31</v>
      </c>
      <c r="Q337" t="s">
        <v>627</v>
      </c>
      <c r="R337" t="s">
        <v>627</v>
      </c>
    </row>
    <row r="338" spans="1:18" x14ac:dyDescent="0.3">
      <c r="A338" s="2" t="str">
        <f>HYPERLINK(B338,"Oppna PDF")</f>
        <v>Oppna PDF</v>
      </c>
      <c r="B338" t="s">
        <v>1091</v>
      </c>
      <c r="C338" t="s">
        <v>1095</v>
      </c>
      <c r="D338" t="s">
        <v>622</v>
      </c>
      <c r="E338" t="s">
        <v>1093</v>
      </c>
      <c r="H338" t="s">
        <v>61</v>
      </c>
      <c r="I338" t="s">
        <v>624</v>
      </c>
      <c r="J338" t="s">
        <v>87</v>
      </c>
      <c r="K338" t="s">
        <v>88</v>
      </c>
      <c r="L338" t="s">
        <v>29</v>
      </c>
      <c r="M338" t="s">
        <v>30</v>
      </c>
      <c r="N338" t="s">
        <v>31</v>
      </c>
      <c r="Q338" t="s">
        <v>629</v>
      </c>
      <c r="R338" t="s">
        <v>629</v>
      </c>
    </row>
    <row r="339" spans="1:18" x14ac:dyDescent="0.3">
      <c r="A339" s="2" t="str">
        <f>HYPERLINK(B339,"Oppna PDF")</f>
        <v>Oppna PDF</v>
      </c>
      <c r="B339" t="s">
        <v>1096</v>
      </c>
      <c r="C339" t="s">
        <v>1097</v>
      </c>
      <c r="D339" t="s">
        <v>457</v>
      </c>
      <c r="E339" t="s">
        <v>1098</v>
      </c>
      <c r="F339" t="s">
        <v>459</v>
      </c>
      <c r="G339" t="s">
        <v>460</v>
      </c>
      <c r="H339" t="s">
        <v>25</v>
      </c>
      <c r="I339" t="s">
        <v>461</v>
      </c>
      <c r="J339" t="s">
        <v>34</v>
      </c>
      <c r="K339" t="s">
        <v>35</v>
      </c>
      <c r="L339" t="s">
        <v>29</v>
      </c>
      <c r="M339" t="s">
        <v>30</v>
      </c>
      <c r="N339" t="s">
        <v>31</v>
      </c>
      <c r="Q339" t="s">
        <v>601</v>
      </c>
      <c r="R339" t="s">
        <v>601</v>
      </c>
    </row>
    <row r="340" spans="1:18" x14ac:dyDescent="0.3">
      <c r="A340" s="2" t="str">
        <f>HYPERLINK(B340,"Oppna PDF")</f>
        <v>Oppna PDF</v>
      </c>
      <c r="B340" t="s">
        <v>1099</v>
      </c>
      <c r="C340" t="s">
        <v>1100</v>
      </c>
      <c r="D340" t="s">
        <v>457</v>
      </c>
      <c r="E340" t="s">
        <v>1101</v>
      </c>
      <c r="F340" t="s">
        <v>459</v>
      </c>
      <c r="G340" t="s">
        <v>460</v>
      </c>
      <c r="H340" t="s">
        <v>25</v>
      </c>
      <c r="I340" t="s">
        <v>461</v>
      </c>
      <c r="J340" t="s">
        <v>91</v>
      </c>
      <c r="K340" t="s">
        <v>92</v>
      </c>
      <c r="L340" t="s">
        <v>29</v>
      </c>
      <c r="M340" t="s">
        <v>30</v>
      </c>
      <c r="N340" t="s">
        <v>31</v>
      </c>
      <c r="Q340" t="s">
        <v>942</v>
      </c>
      <c r="R340" t="s">
        <v>942</v>
      </c>
    </row>
    <row r="341" spans="1:18" x14ac:dyDescent="0.3">
      <c r="A341" s="2" t="str">
        <f>HYPERLINK(B341,"Oppna PDF")</f>
        <v>Oppna PDF</v>
      </c>
      <c r="B341" t="s">
        <v>1099</v>
      </c>
      <c r="C341" t="s">
        <v>1102</v>
      </c>
      <c r="D341" t="s">
        <v>457</v>
      </c>
      <c r="E341" t="s">
        <v>1101</v>
      </c>
      <c r="F341" t="s">
        <v>459</v>
      </c>
      <c r="G341" t="s">
        <v>460</v>
      </c>
      <c r="H341" t="s">
        <v>25</v>
      </c>
      <c r="I341" t="s">
        <v>461</v>
      </c>
      <c r="J341" t="s">
        <v>27</v>
      </c>
      <c r="K341" t="s">
        <v>28</v>
      </c>
      <c r="L341" t="s">
        <v>29</v>
      </c>
      <c r="M341" t="s">
        <v>30</v>
      </c>
      <c r="N341" t="s">
        <v>31</v>
      </c>
      <c r="Q341" t="s">
        <v>944</v>
      </c>
      <c r="R341" t="s">
        <v>944</v>
      </c>
    </row>
    <row r="342" spans="1:18" x14ac:dyDescent="0.3">
      <c r="A342" s="2" t="str">
        <f>HYPERLINK(B342,"Oppna PDF")</f>
        <v>Oppna PDF</v>
      </c>
      <c r="B342" t="s">
        <v>1099</v>
      </c>
      <c r="C342" t="s">
        <v>1103</v>
      </c>
      <c r="D342" t="s">
        <v>457</v>
      </c>
      <c r="E342" t="s">
        <v>1101</v>
      </c>
      <c r="F342" t="s">
        <v>459</v>
      </c>
      <c r="G342" t="s">
        <v>460</v>
      </c>
      <c r="H342" t="s">
        <v>25</v>
      </c>
      <c r="I342" t="s">
        <v>461</v>
      </c>
      <c r="J342" t="s">
        <v>34</v>
      </c>
      <c r="K342" t="s">
        <v>35</v>
      </c>
      <c r="L342" t="s">
        <v>29</v>
      </c>
      <c r="M342" t="s">
        <v>30</v>
      </c>
      <c r="N342" t="s">
        <v>31</v>
      </c>
      <c r="Q342" t="s">
        <v>946</v>
      </c>
      <c r="R342" t="s">
        <v>946</v>
      </c>
    </row>
    <row r="343" spans="1:18" x14ac:dyDescent="0.3">
      <c r="A343" s="2" t="str">
        <f>HYPERLINK(B343,"Oppna PDF")</f>
        <v>Oppna PDF</v>
      </c>
      <c r="B343" t="s">
        <v>1104</v>
      </c>
      <c r="C343" t="s">
        <v>1105</v>
      </c>
      <c r="D343" t="s">
        <v>457</v>
      </c>
      <c r="E343" t="s">
        <v>1106</v>
      </c>
      <c r="F343" t="s">
        <v>459</v>
      </c>
      <c r="G343" t="s">
        <v>460</v>
      </c>
      <c r="H343" t="s">
        <v>25</v>
      </c>
      <c r="I343" t="s">
        <v>461</v>
      </c>
      <c r="J343" t="s">
        <v>38</v>
      </c>
      <c r="K343" t="s">
        <v>39</v>
      </c>
      <c r="L343" t="s">
        <v>29</v>
      </c>
      <c r="M343" t="s">
        <v>30</v>
      </c>
      <c r="N343" t="s">
        <v>31</v>
      </c>
      <c r="Q343" t="s">
        <v>1107</v>
      </c>
      <c r="R343" t="s">
        <v>1108</v>
      </c>
    </row>
    <row r="344" spans="1:18" x14ac:dyDescent="0.3">
      <c r="A344" s="2" t="str">
        <f>HYPERLINK(B344,"Oppna PDF")</f>
        <v>Oppna PDF</v>
      </c>
      <c r="B344" t="s">
        <v>1104</v>
      </c>
      <c r="C344" t="s">
        <v>1109</v>
      </c>
      <c r="D344" t="s">
        <v>457</v>
      </c>
      <c r="E344" t="s">
        <v>1106</v>
      </c>
      <c r="F344" t="s">
        <v>459</v>
      </c>
      <c r="G344" t="s">
        <v>460</v>
      </c>
      <c r="H344" t="s">
        <v>25</v>
      </c>
      <c r="I344" t="s">
        <v>461</v>
      </c>
      <c r="J344" t="s">
        <v>38</v>
      </c>
      <c r="K344" t="s">
        <v>39</v>
      </c>
      <c r="L344" t="s">
        <v>29</v>
      </c>
      <c r="M344" t="s">
        <v>30</v>
      </c>
      <c r="N344" t="s">
        <v>31</v>
      </c>
      <c r="Q344" t="s">
        <v>782</v>
      </c>
      <c r="R344" t="s">
        <v>782</v>
      </c>
    </row>
    <row r="345" spans="1:18" x14ac:dyDescent="0.3">
      <c r="A345" s="2" t="str">
        <f>HYPERLINK(B345,"Oppna PDF")</f>
        <v>Oppna PDF</v>
      </c>
      <c r="B345" t="s">
        <v>1104</v>
      </c>
      <c r="C345" t="s">
        <v>1110</v>
      </c>
      <c r="D345" t="s">
        <v>457</v>
      </c>
      <c r="E345" t="s">
        <v>1106</v>
      </c>
      <c r="F345" t="s">
        <v>459</v>
      </c>
      <c r="G345" t="s">
        <v>460</v>
      </c>
      <c r="H345" t="s">
        <v>25</v>
      </c>
      <c r="I345" t="s">
        <v>461</v>
      </c>
      <c r="J345" t="s">
        <v>34</v>
      </c>
      <c r="K345" t="s">
        <v>35</v>
      </c>
      <c r="L345" t="s">
        <v>29</v>
      </c>
      <c r="M345" t="s">
        <v>30</v>
      </c>
      <c r="N345" t="s">
        <v>31</v>
      </c>
      <c r="Q345" t="s">
        <v>1111</v>
      </c>
      <c r="R345" t="s">
        <v>1111</v>
      </c>
    </row>
    <row r="346" spans="1:18" x14ac:dyDescent="0.3">
      <c r="A346" s="2" t="str">
        <f>HYPERLINK(B346,"Oppna PDF")</f>
        <v>Oppna PDF</v>
      </c>
      <c r="B346" t="s">
        <v>1112</v>
      </c>
      <c r="C346" t="s">
        <v>1113</v>
      </c>
      <c r="D346" t="s">
        <v>457</v>
      </c>
      <c r="E346" t="s">
        <v>1114</v>
      </c>
      <c r="F346" t="s">
        <v>459</v>
      </c>
      <c r="G346" t="s">
        <v>460</v>
      </c>
      <c r="H346" t="s">
        <v>25</v>
      </c>
      <c r="I346" t="s">
        <v>461</v>
      </c>
      <c r="J346" t="s">
        <v>38</v>
      </c>
      <c r="K346" t="s">
        <v>39</v>
      </c>
      <c r="L346" t="s">
        <v>29</v>
      </c>
      <c r="M346" t="s">
        <v>30</v>
      </c>
      <c r="N346" t="s">
        <v>31</v>
      </c>
      <c r="Q346" t="s">
        <v>950</v>
      </c>
      <c r="R346" t="s">
        <v>950</v>
      </c>
    </row>
    <row r="347" spans="1:18" x14ac:dyDescent="0.3">
      <c r="A347" s="2" t="str">
        <f>HYPERLINK(B347,"Oppna PDF")</f>
        <v>Oppna PDF</v>
      </c>
      <c r="B347" t="s">
        <v>1112</v>
      </c>
      <c r="C347" t="s">
        <v>1115</v>
      </c>
      <c r="D347" t="s">
        <v>457</v>
      </c>
      <c r="E347" t="s">
        <v>1114</v>
      </c>
      <c r="F347" t="s">
        <v>459</v>
      </c>
      <c r="G347" t="s">
        <v>460</v>
      </c>
      <c r="H347" t="s">
        <v>25</v>
      </c>
      <c r="I347" t="s">
        <v>461</v>
      </c>
      <c r="J347" t="s">
        <v>27</v>
      </c>
      <c r="K347" t="s">
        <v>28</v>
      </c>
      <c r="L347" t="s">
        <v>29</v>
      </c>
      <c r="M347" t="s">
        <v>30</v>
      </c>
      <c r="N347" t="s">
        <v>31</v>
      </c>
      <c r="Q347" t="s">
        <v>952</v>
      </c>
      <c r="R347" t="s">
        <v>952</v>
      </c>
    </row>
    <row r="348" spans="1:18" x14ac:dyDescent="0.3">
      <c r="A348" s="2" t="str">
        <f>HYPERLINK(B348,"Oppna PDF")</f>
        <v>Oppna PDF</v>
      </c>
      <c r="B348" t="s">
        <v>1112</v>
      </c>
      <c r="C348" t="s">
        <v>1116</v>
      </c>
      <c r="D348" t="s">
        <v>457</v>
      </c>
      <c r="E348" t="s">
        <v>1114</v>
      </c>
      <c r="F348" t="s">
        <v>459</v>
      </c>
      <c r="G348" t="s">
        <v>460</v>
      </c>
      <c r="H348" t="s">
        <v>25</v>
      </c>
      <c r="I348" t="s">
        <v>461</v>
      </c>
      <c r="J348" t="s">
        <v>48</v>
      </c>
      <c r="K348" t="s">
        <v>49</v>
      </c>
      <c r="L348" t="s">
        <v>29</v>
      </c>
      <c r="M348" t="s">
        <v>30</v>
      </c>
      <c r="N348" t="s">
        <v>31</v>
      </c>
      <c r="Q348" t="s">
        <v>954</v>
      </c>
      <c r="R348" t="s">
        <v>954</v>
      </c>
    </row>
    <row r="349" spans="1:18" x14ac:dyDescent="0.3">
      <c r="A349" s="2" t="str">
        <f>HYPERLINK(B349,"Oppna PDF")</f>
        <v>Oppna PDF</v>
      </c>
      <c r="B349" t="s">
        <v>1117</v>
      </c>
      <c r="C349" t="s">
        <v>1118</v>
      </c>
      <c r="D349" t="s">
        <v>598</v>
      </c>
      <c r="E349" t="s">
        <v>1119</v>
      </c>
      <c r="F349" t="s">
        <v>459</v>
      </c>
      <c r="G349" t="s">
        <v>460</v>
      </c>
      <c r="H349" t="s">
        <v>25</v>
      </c>
      <c r="I349" t="s">
        <v>600</v>
      </c>
      <c r="J349" t="s">
        <v>27</v>
      </c>
      <c r="K349" t="s">
        <v>28</v>
      </c>
      <c r="L349" t="s">
        <v>29</v>
      </c>
      <c r="M349" t="s">
        <v>30</v>
      </c>
      <c r="N349" t="s">
        <v>31</v>
      </c>
      <c r="Q349" t="s">
        <v>814</v>
      </c>
      <c r="R349" t="s">
        <v>814</v>
      </c>
    </row>
    <row r="350" spans="1:18" x14ac:dyDescent="0.3">
      <c r="A350" s="2" t="str">
        <f>HYPERLINK(B350,"Oppna PDF")</f>
        <v>Oppna PDF</v>
      </c>
      <c r="B350" t="s">
        <v>1117</v>
      </c>
      <c r="C350" t="s">
        <v>1120</v>
      </c>
      <c r="D350" t="s">
        <v>598</v>
      </c>
      <c r="E350" t="s">
        <v>1119</v>
      </c>
      <c r="F350" t="s">
        <v>459</v>
      </c>
      <c r="G350" t="s">
        <v>460</v>
      </c>
      <c r="H350" t="s">
        <v>25</v>
      </c>
      <c r="I350" t="s">
        <v>600</v>
      </c>
      <c r="J350" t="s">
        <v>87</v>
      </c>
      <c r="K350" t="s">
        <v>88</v>
      </c>
      <c r="L350" t="s">
        <v>29</v>
      </c>
      <c r="M350" t="s">
        <v>30</v>
      </c>
      <c r="N350" t="s">
        <v>31</v>
      </c>
      <c r="Q350" t="s">
        <v>816</v>
      </c>
      <c r="R350" t="s">
        <v>816</v>
      </c>
    </row>
    <row r="351" spans="1:18" x14ac:dyDescent="0.3">
      <c r="A351" s="2" t="str">
        <f>HYPERLINK(B351,"Oppna PDF")</f>
        <v>Oppna PDF</v>
      </c>
      <c r="B351" t="s">
        <v>1117</v>
      </c>
      <c r="C351" t="s">
        <v>1121</v>
      </c>
      <c r="D351" t="s">
        <v>598</v>
      </c>
      <c r="E351" t="s">
        <v>1119</v>
      </c>
      <c r="F351" t="s">
        <v>459</v>
      </c>
      <c r="G351" t="s">
        <v>460</v>
      </c>
      <c r="H351" t="s">
        <v>25</v>
      </c>
      <c r="I351" t="s">
        <v>600</v>
      </c>
      <c r="J351" t="s">
        <v>27</v>
      </c>
      <c r="K351" t="s">
        <v>28</v>
      </c>
      <c r="L351" t="s">
        <v>29</v>
      </c>
      <c r="M351" t="s">
        <v>30</v>
      </c>
      <c r="N351" t="s">
        <v>31</v>
      </c>
      <c r="Q351" t="s">
        <v>818</v>
      </c>
      <c r="R351" t="s">
        <v>819</v>
      </c>
    </row>
    <row r="352" spans="1:18" x14ac:dyDescent="0.3">
      <c r="A352" s="2" t="str">
        <f>HYPERLINK(B352,"Oppna PDF")</f>
        <v>Oppna PDF</v>
      </c>
      <c r="B352" t="s">
        <v>1122</v>
      </c>
      <c r="C352" t="s">
        <v>1123</v>
      </c>
      <c r="D352" t="s">
        <v>598</v>
      </c>
      <c r="E352" t="s">
        <v>1124</v>
      </c>
      <c r="F352" t="s">
        <v>459</v>
      </c>
      <c r="G352" t="s">
        <v>460</v>
      </c>
      <c r="H352" t="s">
        <v>25</v>
      </c>
      <c r="I352" t="s">
        <v>600</v>
      </c>
      <c r="J352" t="s">
        <v>38</v>
      </c>
      <c r="K352" t="s">
        <v>39</v>
      </c>
      <c r="L352" t="s">
        <v>142</v>
      </c>
      <c r="M352" t="s">
        <v>30</v>
      </c>
      <c r="N352" t="s">
        <v>31</v>
      </c>
      <c r="Q352" t="s">
        <v>823</v>
      </c>
      <c r="R352" t="s">
        <v>823</v>
      </c>
    </row>
    <row r="353" spans="1:18" x14ac:dyDescent="0.3">
      <c r="A353" s="2" t="str">
        <f>HYPERLINK(B353,"Oppna PDF")</f>
        <v>Oppna PDF</v>
      </c>
      <c r="B353" t="s">
        <v>1122</v>
      </c>
      <c r="C353" t="s">
        <v>1125</v>
      </c>
      <c r="D353" t="s">
        <v>598</v>
      </c>
      <c r="E353" t="s">
        <v>1124</v>
      </c>
      <c r="F353" t="s">
        <v>459</v>
      </c>
      <c r="G353" t="s">
        <v>460</v>
      </c>
      <c r="H353" t="s">
        <v>25</v>
      </c>
      <c r="I353" t="s">
        <v>600</v>
      </c>
      <c r="J353" t="s">
        <v>87</v>
      </c>
      <c r="K353" t="s">
        <v>88</v>
      </c>
      <c r="L353" t="s">
        <v>142</v>
      </c>
      <c r="M353" t="s">
        <v>30</v>
      </c>
      <c r="N353" t="s">
        <v>31</v>
      </c>
      <c r="Q353" t="s">
        <v>825</v>
      </c>
      <c r="R353" t="s">
        <v>825</v>
      </c>
    </row>
    <row r="354" spans="1:18" x14ac:dyDescent="0.3">
      <c r="A354" s="2" t="str">
        <f>HYPERLINK(B354,"Oppna PDF")</f>
        <v>Oppna PDF</v>
      </c>
      <c r="B354" t="s">
        <v>1122</v>
      </c>
      <c r="C354" t="s">
        <v>1126</v>
      </c>
      <c r="D354" t="s">
        <v>598</v>
      </c>
      <c r="E354" t="s">
        <v>1124</v>
      </c>
      <c r="F354" t="s">
        <v>459</v>
      </c>
      <c r="G354" t="s">
        <v>460</v>
      </c>
      <c r="H354" t="s">
        <v>25</v>
      </c>
      <c r="I354" t="s">
        <v>600</v>
      </c>
      <c r="J354" t="s">
        <v>38</v>
      </c>
      <c r="K354" t="s">
        <v>39</v>
      </c>
      <c r="L354" t="s">
        <v>142</v>
      </c>
      <c r="M354" t="s">
        <v>30</v>
      </c>
      <c r="N354" t="s">
        <v>31</v>
      </c>
      <c r="Q354" t="s">
        <v>827</v>
      </c>
      <c r="R354" t="s">
        <v>827</v>
      </c>
    </row>
    <row r="355" spans="1:18" x14ac:dyDescent="0.3">
      <c r="A355" s="2" t="str">
        <f>HYPERLINK(B355,"Oppna PDF")</f>
        <v>Oppna PDF</v>
      </c>
      <c r="B355" t="s">
        <v>1127</v>
      </c>
      <c r="C355" t="s">
        <v>1128</v>
      </c>
      <c r="D355" t="s">
        <v>598</v>
      </c>
      <c r="E355" t="s">
        <v>1129</v>
      </c>
      <c r="F355" t="s">
        <v>459</v>
      </c>
      <c r="G355" t="s">
        <v>460</v>
      </c>
      <c r="H355" t="s">
        <v>25</v>
      </c>
      <c r="I355" t="s">
        <v>600</v>
      </c>
      <c r="J355" t="s">
        <v>38</v>
      </c>
      <c r="K355" t="s">
        <v>39</v>
      </c>
      <c r="L355" t="s">
        <v>29</v>
      </c>
      <c r="M355" t="s">
        <v>30</v>
      </c>
      <c r="N355" t="s">
        <v>31</v>
      </c>
      <c r="Q355" t="s">
        <v>462</v>
      </c>
      <c r="R355" t="s">
        <v>462</v>
      </c>
    </row>
    <row r="356" spans="1:18" x14ac:dyDescent="0.3">
      <c r="A356" s="2" t="str">
        <f>HYPERLINK(B356,"Oppna PDF")</f>
        <v>Oppna PDF</v>
      </c>
      <c r="B356" t="s">
        <v>1127</v>
      </c>
      <c r="C356" t="s">
        <v>1130</v>
      </c>
      <c r="D356" t="s">
        <v>598</v>
      </c>
      <c r="E356" t="s">
        <v>1129</v>
      </c>
      <c r="F356" t="s">
        <v>459</v>
      </c>
      <c r="G356" t="s">
        <v>460</v>
      </c>
      <c r="H356" t="s">
        <v>25</v>
      </c>
      <c r="I356" t="s">
        <v>600</v>
      </c>
      <c r="J356" t="s">
        <v>27</v>
      </c>
      <c r="K356" t="s">
        <v>28</v>
      </c>
      <c r="L356" t="s">
        <v>29</v>
      </c>
      <c r="M356" t="s">
        <v>30</v>
      </c>
      <c r="N356" t="s">
        <v>31</v>
      </c>
      <c r="Q356" t="s">
        <v>464</v>
      </c>
      <c r="R356" t="s">
        <v>464</v>
      </c>
    </row>
    <row r="357" spans="1:18" x14ac:dyDescent="0.3">
      <c r="A357" s="2" t="str">
        <f>HYPERLINK(B357,"Oppna PDF")</f>
        <v>Oppna PDF</v>
      </c>
      <c r="B357" t="s">
        <v>1127</v>
      </c>
      <c r="C357" t="s">
        <v>1131</v>
      </c>
      <c r="D357" t="s">
        <v>598</v>
      </c>
      <c r="E357" t="s">
        <v>1129</v>
      </c>
      <c r="F357" t="s">
        <v>459</v>
      </c>
      <c r="G357" t="s">
        <v>460</v>
      </c>
      <c r="H357" t="s">
        <v>25</v>
      </c>
      <c r="I357" t="s">
        <v>600</v>
      </c>
      <c r="J357" t="s">
        <v>87</v>
      </c>
      <c r="K357" t="s">
        <v>88</v>
      </c>
      <c r="L357" t="s">
        <v>29</v>
      </c>
      <c r="M357" t="s">
        <v>30</v>
      </c>
      <c r="N357" t="s">
        <v>31</v>
      </c>
      <c r="Q357" t="s">
        <v>466</v>
      </c>
      <c r="R357" t="s">
        <v>466</v>
      </c>
    </row>
    <row r="358" spans="1:18" x14ac:dyDescent="0.3">
      <c r="A358" s="2" t="str">
        <f>HYPERLINK(B358,"Oppna PDF")</f>
        <v>Oppna PDF</v>
      </c>
      <c r="B358" t="s">
        <v>1132</v>
      </c>
      <c r="C358" t="s">
        <v>1133</v>
      </c>
      <c r="D358" t="s">
        <v>1134</v>
      </c>
      <c r="E358" t="s">
        <v>1135</v>
      </c>
      <c r="H358" t="s">
        <v>61</v>
      </c>
      <c r="I358" t="s">
        <v>1136</v>
      </c>
      <c r="J358" t="s">
        <v>27</v>
      </c>
      <c r="K358" t="s">
        <v>28</v>
      </c>
      <c r="L358" t="s">
        <v>29</v>
      </c>
      <c r="M358" t="s">
        <v>30</v>
      </c>
      <c r="N358" t="s">
        <v>31</v>
      </c>
      <c r="Q358" t="s">
        <v>1137</v>
      </c>
      <c r="R358" t="s">
        <v>1137</v>
      </c>
    </row>
    <row r="359" spans="1:18" x14ac:dyDescent="0.3">
      <c r="A359" s="2" t="str">
        <f>HYPERLINK(B359,"Oppna PDF")</f>
        <v>Oppna PDF</v>
      </c>
      <c r="B359" t="s">
        <v>1132</v>
      </c>
      <c r="C359" t="s">
        <v>1138</v>
      </c>
      <c r="D359" t="s">
        <v>1134</v>
      </c>
      <c r="E359" t="s">
        <v>1135</v>
      </c>
      <c r="H359" t="s">
        <v>61</v>
      </c>
      <c r="I359" t="s">
        <v>1136</v>
      </c>
      <c r="J359" t="s">
        <v>27</v>
      </c>
      <c r="K359" t="s">
        <v>28</v>
      </c>
      <c r="L359" t="s">
        <v>29</v>
      </c>
      <c r="M359" t="s">
        <v>30</v>
      </c>
      <c r="N359" t="s">
        <v>31</v>
      </c>
      <c r="Q359" t="s">
        <v>1139</v>
      </c>
      <c r="R359" t="s">
        <v>1139</v>
      </c>
    </row>
    <row r="360" spans="1:18" x14ac:dyDescent="0.3">
      <c r="A360" s="2" t="str">
        <f>HYPERLINK(B360,"Oppna PDF")</f>
        <v>Oppna PDF</v>
      </c>
      <c r="B360" t="s">
        <v>1140</v>
      </c>
      <c r="C360" t="s">
        <v>1141</v>
      </c>
      <c r="D360" t="s">
        <v>1134</v>
      </c>
      <c r="E360" t="s">
        <v>1142</v>
      </c>
      <c r="H360" t="s">
        <v>61</v>
      </c>
      <c r="I360" t="s">
        <v>1136</v>
      </c>
      <c r="J360" t="s">
        <v>87</v>
      </c>
      <c r="K360" t="s">
        <v>88</v>
      </c>
      <c r="L360" t="s">
        <v>29</v>
      </c>
      <c r="M360" t="s">
        <v>30</v>
      </c>
      <c r="N360" t="s">
        <v>31</v>
      </c>
      <c r="Q360" t="s">
        <v>1143</v>
      </c>
      <c r="R360" t="s">
        <v>1143</v>
      </c>
    </row>
    <row r="361" spans="1:18" x14ac:dyDescent="0.3">
      <c r="A361" s="2" t="str">
        <f>HYPERLINK(B361,"Oppna PDF")</f>
        <v>Oppna PDF</v>
      </c>
      <c r="B361" t="s">
        <v>1140</v>
      </c>
      <c r="C361" t="s">
        <v>1144</v>
      </c>
      <c r="D361" t="s">
        <v>1134</v>
      </c>
      <c r="E361" t="s">
        <v>1142</v>
      </c>
      <c r="H361" t="s">
        <v>61</v>
      </c>
      <c r="I361" t="s">
        <v>1136</v>
      </c>
      <c r="J361" t="s">
        <v>38</v>
      </c>
      <c r="K361" t="s">
        <v>39</v>
      </c>
      <c r="L361" t="s">
        <v>29</v>
      </c>
      <c r="M361" t="s">
        <v>30</v>
      </c>
      <c r="N361" t="s">
        <v>31</v>
      </c>
      <c r="Q361" t="s">
        <v>1145</v>
      </c>
      <c r="R361" t="s">
        <v>1145</v>
      </c>
    </row>
    <row r="362" spans="1:18" x14ac:dyDescent="0.3">
      <c r="A362" s="2" t="str">
        <f>HYPERLINK(B362,"Oppna PDF")</f>
        <v>Oppna PDF</v>
      </c>
      <c r="B362" t="s">
        <v>1140</v>
      </c>
      <c r="C362" t="s">
        <v>1146</v>
      </c>
      <c r="D362" t="s">
        <v>1134</v>
      </c>
      <c r="E362" t="s">
        <v>1142</v>
      </c>
      <c r="H362" t="s">
        <v>61</v>
      </c>
      <c r="I362" t="s">
        <v>1136</v>
      </c>
      <c r="J362" t="s">
        <v>38</v>
      </c>
      <c r="K362" t="s">
        <v>39</v>
      </c>
      <c r="L362" t="s">
        <v>29</v>
      </c>
      <c r="M362" t="s">
        <v>30</v>
      </c>
      <c r="N362" t="s">
        <v>31</v>
      </c>
      <c r="Q362" t="s">
        <v>1147</v>
      </c>
      <c r="R362" t="s">
        <v>1147</v>
      </c>
    </row>
    <row r="363" spans="1:18" x14ac:dyDescent="0.3">
      <c r="A363" s="2" t="str">
        <f>HYPERLINK(B363,"Oppna PDF")</f>
        <v>Oppna PDF</v>
      </c>
      <c r="B363" t="s">
        <v>1148</v>
      </c>
      <c r="C363" t="s">
        <v>1149</v>
      </c>
      <c r="D363" t="s">
        <v>1150</v>
      </c>
      <c r="E363" t="s">
        <v>1151</v>
      </c>
      <c r="F363" t="s">
        <v>1152</v>
      </c>
      <c r="G363" t="s">
        <v>1153</v>
      </c>
      <c r="H363" t="s">
        <v>61</v>
      </c>
      <c r="I363" t="s">
        <v>1154</v>
      </c>
      <c r="J363" t="s">
        <v>38</v>
      </c>
      <c r="K363" t="s">
        <v>39</v>
      </c>
      <c r="L363" t="s">
        <v>29</v>
      </c>
      <c r="M363" t="s">
        <v>30</v>
      </c>
      <c r="N363" t="s">
        <v>31</v>
      </c>
      <c r="Q363" t="s">
        <v>1155</v>
      </c>
      <c r="R363" t="s">
        <v>1156</v>
      </c>
    </row>
    <row r="364" spans="1:18" x14ac:dyDescent="0.3">
      <c r="A364" s="2" t="str">
        <f>HYPERLINK(B364,"Oppna PDF")</f>
        <v>Oppna PDF</v>
      </c>
      <c r="B364" t="s">
        <v>1148</v>
      </c>
      <c r="C364" t="s">
        <v>1157</v>
      </c>
      <c r="D364" t="s">
        <v>1150</v>
      </c>
      <c r="E364" t="s">
        <v>1151</v>
      </c>
      <c r="F364" t="s">
        <v>1152</v>
      </c>
      <c r="G364" t="s">
        <v>1153</v>
      </c>
      <c r="H364" t="s">
        <v>61</v>
      </c>
      <c r="I364" t="s">
        <v>1154</v>
      </c>
      <c r="J364" t="s">
        <v>27</v>
      </c>
      <c r="K364" t="s">
        <v>28</v>
      </c>
      <c r="L364" t="s">
        <v>29</v>
      </c>
      <c r="M364" t="s">
        <v>30</v>
      </c>
      <c r="N364" t="s">
        <v>31</v>
      </c>
      <c r="Q364" t="s">
        <v>1158</v>
      </c>
      <c r="R364" t="s">
        <v>1158</v>
      </c>
    </row>
    <row r="365" spans="1:18" x14ac:dyDescent="0.3">
      <c r="A365" s="2" t="str">
        <f>HYPERLINK(B365,"Oppna PDF")</f>
        <v>Oppna PDF</v>
      </c>
      <c r="B365" t="s">
        <v>1148</v>
      </c>
      <c r="C365" t="s">
        <v>1159</v>
      </c>
      <c r="D365" t="s">
        <v>1150</v>
      </c>
      <c r="E365" t="s">
        <v>1151</v>
      </c>
      <c r="F365" t="s">
        <v>1152</v>
      </c>
      <c r="G365" t="s">
        <v>1153</v>
      </c>
      <c r="H365" t="s">
        <v>61</v>
      </c>
      <c r="I365" t="s">
        <v>1154</v>
      </c>
      <c r="J365" t="s">
        <v>48</v>
      </c>
      <c r="K365" t="s">
        <v>49</v>
      </c>
      <c r="L365" t="s">
        <v>29</v>
      </c>
      <c r="M365" t="s">
        <v>30</v>
      </c>
      <c r="N365" t="s">
        <v>31</v>
      </c>
      <c r="Q365" t="s">
        <v>1160</v>
      </c>
      <c r="R365" t="s">
        <v>1160</v>
      </c>
    </row>
    <row r="366" spans="1:18" x14ac:dyDescent="0.3">
      <c r="A366" s="2" t="str">
        <f>HYPERLINK(B366,"Oppna PDF")</f>
        <v>Oppna PDF</v>
      </c>
      <c r="B366" t="s">
        <v>1161</v>
      </c>
      <c r="C366" t="s">
        <v>1162</v>
      </c>
      <c r="D366" t="s">
        <v>1163</v>
      </c>
      <c r="E366" t="s">
        <v>1164</v>
      </c>
      <c r="H366" t="s">
        <v>25</v>
      </c>
      <c r="I366" t="s">
        <v>1165</v>
      </c>
      <c r="J366" t="s">
        <v>48</v>
      </c>
      <c r="K366" t="s">
        <v>49</v>
      </c>
      <c r="L366" t="s">
        <v>29</v>
      </c>
      <c r="M366" t="s">
        <v>30</v>
      </c>
      <c r="N366" t="s">
        <v>31</v>
      </c>
      <c r="Q366" t="s">
        <v>1166</v>
      </c>
      <c r="R366" t="s">
        <v>1166</v>
      </c>
    </row>
    <row r="367" spans="1:18" x14ac:dyDescent="0.3">
      <c r="A367" s="2" t="str">
        <f>HYPERLINK(B367,"Oppna PDF")</f>
        <v>Oppna PDF</v>
      </c>
      <c r="B367" t="s">
        <v>1161</v>
      </c>
      <c r="C367" t="s">
        <v>1167</v>
      </c>
      <c r="D367" t="s">
        <v>1163</v>
      </c>
      <c r="E367" t="s">
        <v>1164</v>
      </c>
      <c r="H367" t="s">
        <v>25</v>
      </c>
      <c r="I367" t="s">
        <v>1165</v>
      </c>
      <c r="J367" t="s">
        <v>48</v>
      </c>
      <c r="K367" t="s">
        <v>49</v>
      </c>
      <c r="L367" t="s">
        <v>29</v>
      </c>
      <c r="M367" t="s">
        <v>30</v>
      </c>
      <c r="N367" t="s">
        <v>31</v>
      </c>
      <c r="Q367" t="s">
        <v>1168</v>
      </c>
      <c r="R367" t="s">
        <v>1168</v>
      </c>
    </row>
    <row r="368" spans="1:18" x14ac:dyDescent="0.3">
      <c r="A368" s="2" t="str">
        <f>HYPERLINK(B368,"Oppna PDF")</f>
        <v>Oppna PDF</v>
      </c>
      <c r="B368" t="s">
        <v>1161</v>
      </c>
      <c r="C368" t="s">
        <v>1169</v>
      </c>
      <c r="D368" t="s">
        <v>1163</v>
      </c>
      <c r="E368" t="s">
        <v>1164</v>
      </c>
      <c r="H368" t="s">
        <v>25</v>
      </c>
      <c r="I368" t="s">
        <v>1165</v>
      </c>
      <c r="J368" t="s">
        <v>34</v>
      </c>
      <c r="K368" t="s">
        <v>35</v>
      </c>
      <c r="L368" t="s">
        <v>29</v>
      </c>
      <c r="M368" t="s">
        <v>30</v>
      </c>
      <c r="N368" t="s">
        <v>31</v>
      </c>
      <c r="Q368" t="s">
        <v>1170</v>
      </c>
      <c r="R368" t="s">
        <v>1170</v>
      </c>
    </row>
    <row r="369" spans="1:18" x14ac:dyDescent="0.3">
      <c r="A369" s="2" t="str">
        <f>HYPERLINK(B369,"Oppna PDF")</f>
        <v>Oppna PDF</v>
      </c>
      <c r="B369" t="s">
        <v>1171</v>
      </c>
      <c r="C369" t="s">
        <v>1172</v>
      </c>
      <c r="D369" t="s">
        <v>800</v>
      </c>
      <c r="E369" t="s">
        <v>1173</v>
      </c>
      <c r="F369" t="s">
        <v>802</v>
      </c>
      <c r="G369" t="s">
        <v>803</v>
      </c>
      <c r="H369" t="s">
        <v>61</v>
      </c>
      <c r="I369" t="s">
        <v>804</v>
      </c>
      <c r="J369" t="s">
        <v>91</v>
      </c>
      <c r="K369" t="s">
        <v>92</v>
      </c>
      <c r="L369" t="s">
        <v>29</v>
      </c>
      <c r="M369" t="s">
        <v>30</v>
      </c>
      <c r="N369" t="s">
        <v>31</v>
      </c>
      <c r="Q369" t="s">
        <v>1174</v>
      </c>
      <c r="R369" t="s">
        <v>1174</v>
      </c>
    </row>
    <row r="370" spans="1:18" x14ac:dyDescent="0.3">
      <c r="A370" s="2" t="str">
        <f>HYPERLINK(B370,"Oppna PDF")</f>
        <v>Oppna PDF</v>
      </c>
      <c r="B370" t="s">
        <v>1171</v>
      </c>
      <c r="C370" t="s">
        <v>1175</v>
      </c>
      <c r="D370" t="s">
        <v>800</v>
      </c>
      <c r="E370" t="s">
        <v>1173</v>
      </c>
      <c r="F370" t="s">
        <v>802</v>
      </c>
      <c r="G370" t="s">
        <v>803</v>
      </c>
      <c r="H370" t="s">
        <v>61</v>
      </c>
      <c r="I370" t="s">
        <v>804</v>
      </c>
      <c r="J370" t="s">
        <v>48</v>
      </c>
      <c r="K370" t="s">
        <v>49</v>
      </c>
      <c r="L370" t="s">
        <v>29</v>
      </c>
      <c r="M370" t="s">
        <v>30</v>
      </c>
      <c r="N370" t="s">
        <v>31</v>
      </c>
      <c r="Q370" t="s">
        <v>1176</v>
      </c>
      <c r="R370" t="s">
        <v>1176</v>
      </c>
    </row>
    <row r="371" spans="1:18" x14ac:dyDescent="0.3">
      <c r="A371" s="2" t="str">
        <f>HYPERLINK(B371,"Oppna PDF")</f>
        <v>Oppna PDF</v>
      </c>
      <c r="B371" t="s">
        <v>1177</v>
      </c>
      <c r="C371" t="s">
        <v>1178</v>
      </c>
      <c r="D371" t="s">
        <v>800</v>
      </c>
      <c r="E371" t="s">
        <v>1179</v>
      </c>
      <c r="F371" t="s">
        <v>802</v>
      </c>
      <c r="G371" t="s">
        <v>803</v>
      </c>
      <c r="H371" t="s">
        <v>61</v>
      </c>
      <c r="I371" t="s">
        <v>804</v>
      </c>
      <c r="J371" t="s">
        <v>91</v>
      </c>
      <c r="K371" t="s">
        <v>92</v>
      </c>
      <c r="L371" t="s">
        <v>300</v>
      </c>
      <c r="M371" t="s">
        <v>30</v>
      </c>
      <c r="N371" t="s">
        <v>31</v>
      </c>
      <c r="Q371" t="s">
        <v>1174</v>
      </c>
      <c r="R371" t="s">
        <v>1174</v>
      </c>
    </row>
    <row r="372" spans="1:18" x14ac:dyDescent="0.3">
      <c r="A372" s="2" t="str">
        <f>HYPERLINK(B372,"Oppna PDF")</f>
        <v>Oppna PDF</v>
      </c>
      <c r="B372" t="s">
        <v>1177</v>
      </c>
      <c r="C372" t="s">
        <v>1180</v>
      </c>
      <c r="D372" t="s">
        <v>800</v>
      </c>
      <c r="E372" t="s">
        <v>1179</v>
      </c>
      <c r="F372" t="s">
        <v>802</v>
      </c>
      <c r="G372" t="s">
        <v>803</v>
      </c>
      <c r="H372" t="s">
        <v>61</v>
      </c>
      <c r="I372" t="s">
        <v>804</v>
      </c>
      <c r="J372" t="s">
        <v>48</v>
      </c>
      <c r="K372" t="s">
        <v>49</v>
      </c>
      <c r="L372" t="s">
        <v>300</v>
      </c>
      <c r="M372" t="s">
        <v>30</v>
      </c>
      <c r="N372" t="s">
        <v>31</v>
      </c>
      <c r="Q372" t="s">
        <v>1176</v>
      </c>
      <c r="R372" t="s">
        <v>1176</v>
      </c>
    </row>
    <row r="373" spans="1:18" x14ac:dyDescent="0.3">
      <c r="A373" s="2" t="str">
        <f>HYPERLINK(B373,"Oppna PDF")</f>
        <v>Oppna PDF</v>
      </c>
      <c r="B373" t="s">
        <v>1181</v>
      </c>
      <c r="C373" t="s">
        <v>1182</v>
      </c>
      <c r="D373" t="s">
        <v>598</v>
      </c>
      <c r="E373" t="s">
        <v>1183</v>
      </c>
      <c r="F373" t="s">
        <v>459</v>
      </c>
      <c r="G373" t="s">
        <v>460</v>
      </c>
      <c r="H373" t="s">
        <v>25</v>
      </c>
      <c r="I373" t="s">
        <v>600</v>
      </c>
      <c r="J373" t="s">
        <v>38</v>
      </c>
      <c r="K373" t="s">
        <v>39</v>
      </c>
      <c r="L373" t="s">
        <v>29</v>
      </c>
      <c r="M373" t="s">
        <v>30</v>
      </c>
      <c r="N373" t="s">
        <v>31</v>
      </c>
      <c r="Q373" t="s">
        <v>1107</v>
      </c>
      <c r="R373" t="s">
        <v>1108</v>
      </c>
    </row>
    <row r="374" spans="1:18" x14ac:dyDescent="0.3">
      <c r="A374" s="2" t="str">
        <f>HYPERLINK(B374,"Oppna PDF")</f>
        <v>Oppna PDF</v>
      </c>
      <c r="B374" t="s">
        <v>1181</v>
      </c>
      <c r="C374" t="s">
        <v>1184</v>
      </c>
      <c r="D374" t="s">
        <v>598</v>
      </c>
      <c r="E374" t="s">
        <v>1183</v>
      </c>
      <c r="F374" t="s">
        <v>459</v>
      </c>
      <c r="G374" t="s">
        <v>460</v>
      </c>
      <c r="H374" t="s">
        <v>25</v>
      </c>
      <c r="I374" t="s">
        <v>600</v>
      </c>
      <c r="J374" t="s">
        <v>38</v>
      </c>
      <c r="K374" t="s">
        <v>39</v>
      </c>
      <c r="L374" t="s">
        <v>29</v>
      </c>
      <c r="M374" t="s">
        <v>30</v>
      </c>
      <c r="N374" t="s">
        <v>31</v>
      </c>
      <c r="Q374" t="s">
        <v>782</v>
      </c>
      <c r="R374" t="s">
        <v>782</v>
      </c>
    </row>
    <row r="375" spans="1:18" x14ac:dyDescent="0.3">
      <c r="A375" s="2" t="str">
        <f>HYPERLINK(B375,"Oppna PDF")</f>
        <v>Oppna PDF</v>
      </c>
      <c r="B375" t="s">
        <v>1181</v>
      </c>
      <c r="C375" t="s">
        <v>1185</v>
      </c>
      <c r="D375" t="s">
        <v>598</v>
      </c>
      <c r="E375" t="s">
        <v>1183</v>
      </c>
      <c r="F375" t="s">
        <v>459</v>
      </c>
      <c r="G375" t="s">
        <v>460</v>
      </c>
      <c r="H375" t="s">
        <v>25</v>
      </c>
      <c r="I375" t="s">
        <v>600</v>
      </c>
      <c r="J375" t="s">
        <v>34</v>
      </c>
      <c r="K375" t="s">
        <v>35</v>
      </c>
      <c r="L375" t="s">
        <v>29</v>
      </c>
      <c r="M375" t="s">
        <v>30</v>
      </c>
      <c r="N375" t="s">
        <v>31</v>
      </c>
      <c r="Q375" t="s">
        <v>1111</v>
      </c>
      <c r="R375" t="s">
        <v>1111</v>
      </c>
    </row>
    <row r="376" spans="1:18" x14ac:dyDescent="0.3">
      <c r="A376" s="2" t="str">
        <f>HYPERLINK(B376,"Oppna PDF")</f>
        <v>Oppna PDF</v>
      </c>
      <c r="B376" t="s">
        <v>1186</v>
      </c>
      <c r="C376" t="s">
        <v>1187</v>
      </c>
      <c r="D376" t="s">
        <v>1188</v>
      </c>
      <c r="E376" t="s">
        <v>1189</v>
      </c>
      <c r="F376" t="s">
        <v>1190</v>
      </c>
      <c r="G376" t="s">
        <v>1191</v>
      </c>
      <c r="H376" t="s">
        <v>61</v>
      </c>
      <c r="I376" t="s">
        <v>1192</v>
      </c>
      <c r="J376" t="s">
        <v>34</v>
      </c>
      <c r="K376" t="s">
        <v>35</v>
      </c>
      <c r="L376" t="s">
        <v>142</v>
      </c>
      <c r="M376" t="s">
        <v>30</v>
      </c>
      <c r="N376" t="s">
        <v>31</v>
      </c>
      <c r="Q376" t="s">
        <v>1193</v>
      </c>
      <c r="R376" t="s">
        <v>1194</v>
      </c>
    </row>
    <row r="377" spans="1:18" x14ac:dyDescent="0.3">
      <c r="A377" s="2" t="str">
        <f>HYPERLINK(B377,"Oppna PDF")</f>
        <v>Oppna PDF</v>
      </c>
      <c r="B377" t="s">
        <v>1195</v>
      </c>
      <c r="C377" t="s">
        <v>1196</v>
      </c>
      <c r="D377" t="s">
        <v>800</v>
      </c>
      <c r="E377" t="s">
        <v>1197</v>
      </c>
      <c r="F377" t="s">
        <v>802</v>
      </c>
      <c r="G377" t="s">
        <v>803</v>
      </c>
      <c r="H377" t="s">
        <v>61</v>
      </c>
      <c r="I377" t="s">
        <v>804</v>
      </c>
      <c r="J377" t="s">
        <v>27</v>
      </c>
      <c r="K377" t="s">
        <v>28</v>
      </c>
      <c r="L377" t="s">
        <v>29</v>
      </c>
      <c r="M377" t="s">
        <v>30</v>
      </c>
      <c r="N377" t="s">
        <v>31</v>
      </c>
      <c r="Q377" t="s">
        <v>1198</v>
      </c>
      <c r="R377" t="s">
        <v>1198</v>
      </c>
    </row>
    <row r="378" spans="1:18" x14ac:dyDescent="0.3">
      <c r="A378" s="2" t="str">
        <f>HYPERLINK(B378,"Oppna PDF")</f>
        <v>Oppna PDF</v>
      </c>
      <c r="B378" t="s">
        <v>1195</v>
      </c>
      <c r="C378" t="s">
        <v>1199</v>
      </c>
      <c r="D378" t="s">
        <v>800</v>
      </c>
      <c r="E378" t="s">
        <v>1197</v>
      </c>
      <c r="F378" t="s">
        <v>802</v>
      </c>
      <c r="G378" t="s">
        <v>803</v>
      </c>
      <c r="H378" t="s">
        <v>61</v>
      </c>
      <c r="I378" t="s">
        <v>804</v>
      </c>
      <c r="J378" t="s">
        <v>27</v>
      </c>
      <c r="K378" t="s">
        <v>28</v>
      </c>
      <c r="L378" t="s">
        <v>29</v>
      </c>
      <c r="M378" t="s">
        <v>30</v>
      </c>
      <c r="N378" t="s">
        <v>31</v>
      </c>
      <c r="Q378" t="s">
        <v>1200</v>
      </c>
      <c r="R378" t="s">
        <v>1200</v>
      </c>
    </row>
    <row r="379" spans="1:18" x14ac:dyDescent="0.3">
      <c r="A379" s="2" t="str">
        <f>HYPERLINK(B379,"Oppna PDF")</f>
        <v>Oppna PDF</v>
      </c>
      <c r="B379" t="s">
        <v>1195</v>
      </c>
      <c r="C379" t="s">
        <v>1201</v>
      </c>
      <c r="D379" t="s">
        <v>800</v>
      </c>
      <c r="E379" t="s">
        <v>1197</v>
      </c>
      <c r="F379" t="s">
        <v>802</v>
      </c>
      <c r="G379" t="s">
        <v>803</v>
      </c>
      <c r="H379" t="s">
        <v>61</v>
      </c>
      <c r="I379" t="s">
        <v>804</v>
      </c>
      <c r="J379" t="s">
        <v>27</v>
      </c>
      <c r="K379" t="s">
        <v>28</v>
      </c>
      <c r="L379" t="s">
        <v>29</v>
      </c>
      <c r="M379" t="s">
        <v>30</v>
      </c>
      <c r="N379" t="s">
        <v>31</v>
      </c>
      <c r="Q379" t="s">
        <v>1202</v>
      </c>
      <c r="R379" t="s">
        <v>1202</v>
      </c>
    </row>
    <row r="380" spans="1:18" x14ac:dyDescent="0.3">
      <c r="A380" s="2" t="str">
        <f>HYPERLINK(B380,"Oppna PDF")</f>
        <v>Oppna PDF</v>
      </c>
      <c r="B380" t="s">
        <v>1203</v>
      </c>
      <c r="C380" t="s">
        <v>1204</v>
      </c>
      <c r="D380" t="s">
        <v>800</v>
      </c>
      <c r="E380" t="s">
        <v>1205</v>
      </c>
      <c r="F380" t="s">
        <v>802</v>
      </c>
      <c r="G380" t="s">
        <v>803</v>
      </c>
      <c r="H380" t="s">
        <v>61</v>
      </c>
      <c r="I380" t="s">
        <v>804</v>
      </c>
      <c r="J380" t="s">
        <v>27</v>
      </c>
      <c r="K380" t="s">
        <v>28</v>
      </c>
      <c r="L380" t="s">
        <v>29</v>
      </c>
      <c r="M380" t="s">
        <v>30</v>
      </c>
      <c r="N380" t="s">
        <v>31</v>
      </c>
      <c r="Q380" t="s">
        <v>1206</v>
      </c>
      <c r="R380" t="s">
        <v>1206</v>
      </c>
    </row>
    <row r="381" spans="1:18" x14ac:dyDescent="0.3">
      <c r="A381" s="2" t="str">
        <f>HYPERLINK(B381,"Oppna PDF")</f>
        <v>Oppna PDF</v>
      </c>
      <c r="B381" t="s">
        <v>1207</v>
      </c>
      <c r="C381" t="s">
        <v>1208</v>
      </c>
      <c r="D381" t="s">
        <v>1209</v>
      </c>
      <c r="E381" t="s">
        <v>1210</v>
      </c>
      <c r="F381" t="s">
        <v>1211</v>
      </c>
      <c r="G381" t="s">
        <v>1212</v>
      </c>
      <c r="H381" t="s">
        <v>61</v>
      </c>
      <c r="I381" t="s">
        <v>1213</v>
      </c>
      <c r="J381" t="s">
        <v>38</v>
      </c>
      <c r="K381" t="s">
        <v>39</v>
      </c>
      <c r="L381" t="s">
        <v>29</v>
      </c>
      <c r="M381" t="s">
        <v>30</v>
      </c>
      <c r="N381" t="s">
        <v>31</v>
      </c>
      <c r="Q381" t="e">
        <f>- Arbetsmaskiner ska vara försedda med spillplåt för uppsamling av ev.</f>
        <v>#NAME?</v>
      </c>
      <c r="R381" t="e">
        <f>- Arbetsmaskiner ska vara försedda med spillplåt för uppsamling av ev.</f>
        <v>#NAME?</v>
      </c>
    </row>
    <row r="382" spans="1:18" x14ac:dyDescent="0.3">
      <c r="A382" s="2" t="str">
        <f>HYPERLINK(B382,"Oppna PDF")</f>
        <v>Oppna PDF</v>
      </c>
      <c r="B382" t="s">
        <v>1207</v>
      </c>
      <c r="C382" t="s">
        <v>1214</v>
      </c>
      <c r="D382" t="s">
        <v>1209</v>
      </c>
      <c r="E382" t="s">
        <v>1210</v>
      </c>
      <c r="F382" t="s">
        <v>1211</v>
      </c>
      <c r="G382" t="s">
        <v>1212</v>
      </c>
      <c r="H382" t="s">
        <v>61</v>
      </c>
      <c r="I382" t="s">
        <v>1213</v>
      </c>
      <c r="J382" t="s">
        <v>27</v>
      </c>
      <c r="K382" t="s">
        <v>28</v>
      </c>
      <c r="L382" t="s">
        <v>29</v>
      </c>
      <c r="M382" t="s">
        <v>30</v>
      </c>
      <c r="N382" t="s">
        <v>31</v>
      </c>
      <c r="Q382" t="s">
        <v>1215</v>
      </c>
      <c r="R382" t="s">
        <v>1215</v>
      </c>
    </row>
    <row r="383" spans="1:18" x14ac:dyDescent="0.3">
      <c r="A383" s="2" t="str">
        <f>HYPERLINK(B383,"Oppna PDF")</f>
        <v>Oppna PDF</v>
      </c>
      <c r="B383" t="s">
        <v>1216</v>
      </c>
      <c r="C383" t="s">
        <v>1217</v>
      </c>
      <c r="D383" t="s">
        <v>1218</v>
      </c>
      <c r="E383" t="s">
        <v>1219</v>
      </c>
      <c r="F383" t="s">
        <v>1211</v>
      </c>
      <c r="G383" t="s">
        <v>1212</v>
      </c>
      <c r="H383" t="s">
        <v>61</v>
      </c>
      <c r="I383" t="s">
        <v>1213</v>
      </c>
      <c r="J383" t="s">
        <v>38</v>
      </c>
      <c r="K383" t="s">
        <v>39</v>
      </c>
      <c r="L383" t="s">
        <v>29</v>
      </c>
      <c r="M383" t="s">
        <v>30</v>
      </c>
      <c r="N383" t="s">
        <v>31</v>
      </c>
      <c r="Q383" t="e">
        <f>- Arbetsmaskiner ska vara försedda med spillplåt för uppsamling av ev.</f>
        <v>#NAME?</v>
      </c>
      <c r="R383" t="e">
        <f>- Arbetsmaskiner ska vara försedda med spillplåt för uppsamling av ev.</f>
        <v>#NAME?</v>
      </c>
    </row>
    <row r="384" spans="1:18" x14ac:dyDescent="0.3">
      <c r="A384" s="2" t="str">
        <f>HYPERLINK(B384,"Oppna PDF")</f>
        <v>Oppna PDF</v>
      </c>
      <c r="B384" t="s">
        <v>1216</v>
      </c>
      <c r="C384" t="s">
        <v>1220</v>
      </c>
      <c r="D384" t="s">
        <v>1218</v>
      </c>
      <c r="E384" t="s">
        <v>1219</v>
      </c>
      <c r="F384" t="s">
        <v>1211</v>
      </c>
      <c r="G384" t="s">
        <v>1212</v>
      </c>
      <c r="H384" t="s">
        <v>61</v>
      </c>
      <c r="I384" t="s">
        <v>1213</v>
      </c>
      <c r="J384" t="s">
        <v>27</v>
      </c>
      <c r="K384" t="s">
        <v>28</v>
      </c>
      <c r="L384" t="s">
        <v>29</v>
      </c>
      <c r="M384" t="s">
        <v>30</v>
      </c>
      <c r="N384" t="s">
        <v>31</v>
      </c>
      <c r="Q384" t="s">
        <v>1215</v>
      </c>
      <c r="R384" t="s">
        <v>1215</v>
      </c>
    </row>
    <row r="385" spans="1:18" x14ac:dyDescent="0.3">
      <c r="A385" s="2" t="str">
        <f>HYPERLINK(B385,"Oppna PDF")</f>
        <v>Oppna PDF</v>
      </c>
      <c r="B385" t="s">
        <v>1221</v>
      </c>
      <c r="C385" t="s">
        <v>1222</v>
      </c>
      <c r="D385" t="s">
        <v>830</v>
      </c>
      <c r="E385" t="s">
        <v>1223</v>
      </c>
      <c r="H385" t="s">
        <v>61</v>
      </c>
      <c r="I385" t="s">
        <v>832</v>
      </c>
      <c r="J385" t="s">
        <v>38</v>
      </c>
      <c r="K385" t="s">
        <v>39</v>
      </c>
      <c r="L385" t="s">
        <v>29</v>
      </c>
      <c r="M385" t="s">
        <v>30</v>
      </c>
      <c r="N385" t="s">
        <v>31</v>
      </c>
      <c r="Q385" t="s">
        <v>1224</v>
      </c>
      <c r="R385" t="s">
        <v>1224</v>
      </c>
    </row>
    <row r="386" spans="1:18" x14ac:dyDescent="0.3">
      <c r="A386" s="2" t="str">
        <f>HYPERLINK(B386,"Oppna PDF")</f>
        <v>Oppna PDF</v>
      </c>
      <c r="B386" t="s">
        <v>1221</v>
      </c>
      <c r="C386" t="s">
        <v>1225</v>
      </c>
      <c r="D386" t="s">
        <v>830</v>
      </c>
      <c r="E386" t="s">
        <v>1223</v>
      </c>
      <c r="H386" t="s">
        <v>61</v>
      </c>
      <c r="I386" t="s">
        <v>832</v>
      </c>
      <c r="J386" t="s">
        <v>87</v>
      </c>
      <c r="K386" t="s">
        <v>88</v>
      </c>
      <c r="L386" t="s">
        <v>29</v>
      </c>
      <c r="M386" t="s">
        <v>30</v>
      </c>
      <c r="N386" t="s">
        <v>31</v>
      </c>
      <c r="Q386" t="s">
        <v>1226</v>
      </c>
      <c r="R386" t="s">
        <v>1226</v>
      </c>
    </row>
    <row r="387" spans="1:18" x14ac:dyDescent="0.3">
      <c r="A387" s="2" t="str">
        <f>HYPERLINK(B387,"Oppna PDF")</f>
        <v>Oppna PDF</v>
      </c>
      <c r="B387" t="s">
        <v>1221</v>
      </c>
      <c r="C387" t="s">
        <v>1227</v>
      </c>
      <c r="D387" t="s">
        <v>830</v>
      </c>
      <c r="E387" t="s">
        <v>1223</v>
      </c>
      <c r="H387" t="s">
        <v>61</v>
      </c>
      <c r="I387" t="s">
        <v>832</v>
      </c>
      <c r="J387" t="s">
        <v>27</v>
      </c>
      <c r="K387" t="s">
        <v>28</v>
      </c>
      <c r="L387" t="s">
        <v>29</v>
      </c>
      <c r="M387" t="s">
        <v>30</v>
      </c>
      <c r="N387" t="s">
        <v>31</v>
      </c>
      <c r="Q387" t="s">
        <v>1228</v>
      </c>
      <c r="R387" t="s">
        <v>1228</v>
      </c>
    </row>
    <row r="388" spans="1:18" x14ac:dyDescent="0.3">
      <c r="A388" s="2" t="str">
        <f>HYPERLINK(B388,"Oppna PDF")</f>
        <v>Oppna PDF</v>
      </c>
      <c r="B388" t="s">
        <v>1229</v>
      </c>
      <c r="C388" t="s">
        <v>1230</v>
      </c>
      <c r="D388" t="s">
        <v>830</v>
      </c>
      <c r="E388" t="s">
        <v>1231</v>
      </c>
      <c r="H388" t="s">
        <v>61</v>
      </c>
      <c r="I388" t="s">
        <v>832</v>
      </c>
      <c r="J388" t="s">
        <v>38</v>
      </c>
      <c r="K388" t="s">
        <v>39</v>
      </c>
      <c r="L388" t="s">
        <v>29</v>
      </c>
      <c r="M388" t="s">
        <v>30</v>
      </c>
      <c r="N388" t="s">
        <v>31</v>
      </c>
      <c r="Q388" t="s">
        <v>1232</v>
      </c>
      <c r="R388" t="s">
        <v>1232</v>
      </c>
    </row>
    <row r="389" spans="1:18" x14ac:dyDescent="0.3">
      <c r="A389" s="2" t="str">
        <f>HYPERLINK(B389,"Oppna PDF")</f>
        <v>Oppna PDF</v>
      </c>
      <c r="B389" t="s">
        <v>1229</v>
      </c>
      <c r="C389" t="s">
        <v>1233</v>
      </c>
      <c r="D389" t="s">
        <v>830</v>
      </c>
      <c r="E389" t="s">
        <v>1231</v>
      </c>
      <c r="H389" t="s">
        <v>61</v>
      </c>
      <c r="I389" t="s">
        <v>832</v>
      </c>
      <c r="J389" t="s">
        <v>87</v>
      </c>
      <c r="K389" t="s">
        <v>88</v>
      </c>
      <c r="L389" t="s">
        <v>29</v>
      </c>
      <c r="M389" t="s">
        <v>30</v>
      </c>
      <c r="N389" t="s">
        <v>31</v>
      </c>
      <c r="Q389" t="s">
        <v>1226</v>
      </c>
      <c r="R389" t="s">
        <v>1226</v>
      </c>
    </row>
    <row r="390" spans="1:18" x14ac:dyDescent="0.3">
      <c r="A390" s="2" t="str">
        <f>HYPERLINK(B390,"Oppna PDF")</f>
        <v>Oppna PDF</v>
      </c>
      <c r="B390" t="s">
        <v>1229</v>
      </c>
      <c r="C390" t="s">
        <v>1234</v>
      </c>
      <c r="D390" t="s">
        <v>830</v>
      </c>
      <c r="E390" t="s">
        <v>1231</v>
      </c>
      <c r="H390" t="s">
        <v>61</v>
      </c>
      <c r="I390" t="s">
        <v>832</v>
      </c>
      <c r="J390" t="s">
        <v>27</v>
      </c>
      <c r="K390" t="s">
        <v>28</v>
      </c>
      <c r="L390" t="s">
        <v>29</v>
      </c>
      <c r="M390" t="s">
        <v>30</v>
      </c>
      <c r="N390" t="s">
        <v>31</v>
      </c>
      <c r="Q390" t="s">
        <v>696</v>
      </c>
      <c r="R390" t="s">
        <v>696</v>
      </c>
    </row>
    <row r="391" spans="1:18" x14ac:dyDescent="0.3">
      <c r="A391" s="2" t="str">
        <f>HYPERLINK(B391,"Oppna PDF")</f>
        <v>Oppna PDF</v>
      </c>
      <c r="B391" t="s">
        <v>1235</v>
      </c>
      <c r="C391" t="s">
        <v>1236</v>
      </c>
      <c r="D391" t="s">
        <v>830</v>
      </c>
      <c r="E391" t="s">
        <v>1237</v>
      </c>
      <c r="H391" t="s">
        <v>61</v>
      </c>
      <c r="I391" t="s">
        <v>832</v>
      </c>
      <c r="J391" t="s">
        <v>38</v>
      </c>
      <c r="K391" t="s">
        <v>39</v>
      </c>
      <c r="L391" t="s">
        <v>29</v>
      </c>
      <c r="M391" t="s">
        <v>30</v>
      </c>
      <c r="N391" t="s">
        <v>31</v>
      </c>
      <c r="Q391" t="s">
        <v>1224</v>
      </c>
      <c r="R391" t="s">
        <v>1224</v>
      </c>
    </row>
    <row r="392" spans="1:18" x14ac:dyDescent="0.3">
      <c r="A392" s="2" t="str">
        <f>HYPERLINK(B392,"Oppna PDF")</f>
        <v>Oppna PDF</v>
      </c>
      <c r="B392" t="s">
        <v>1235</v>
      </c>
      <c r="C392" t="s">
        <v>1238</v>
      </c>
      <c r="D392" t="s">
        <v>830</v>
      </c>
      <c r="E392" t="s">
        <v>1237</v>
      </c>
      <c r="H392" t="s">
        <v>61</v>
      </c>
      <c r="I392" t="s">
        <v>832</v>
      </c>
      <c r="J392" t="s">
        <v>27</v>
      </c>
      <c r="K392" t="s">
        <v>28</v>
      </c>
      <c r="L392" t="s">
        <v>29</v>
      </c>
      <c r="M392" t="s">
        <v>30</v>
      </c>
      <c r="N392" t="s">
        <v>31</v>
      </c>
      <c r="Q392" t="s">
        <v>1239</v>
      </c>
      <c r="R392" t="s">
        <v>1240</v>
      </c>
    </row>
    <row r="393" spans="1:18" x14ac:dyDescent="0.3">
      <c r="A393" s="2" t="str">
        <f>HYPERLINK(B393,"Oppna PDF")</f>
        <v>Oppna PDF</v>
      </c>
      <c r="B393" t="s">
        <v>1235</v>
      </c>
      <c r="C393" t="s">
        <v>1241</v>
      </c>
      <c r="D393" t="s">
        <v>830</v>
      </c>
      <c r="E393" t="s">
        <v>1237</v>
      </c>
      <c r="H393" t="s">
        <v>61</v>
      </c>
      <c r="I393" t="s">
        <v>832</v>
      </c>
      <c r="J393" t="s">
        <v>209</v>
      </c>
      <c r="K393" t="s">
        <v>210</v>
      </c>
      <c r="L393" t="s">
        <v>29</v>
      </c>
      <c r="M393" t="s">
        <v>30</v>
      </c>
      <c r="N393" t="s">
        <v>31</v>
      </c>
      <c r="Q393" t="s">
        <v>1242</v>
      </c>
      <c r="R393" t="s">
        <v>1242</v>
      </c>
    </row>
    <row r="394" spans="1:18" x14ac:dyDescent="0.3">
      <c r="A394" s="2" t="str">
        <f>HYPERLINK(B394,"Oppna PDF")</f>
        <v>Oppna PDF</v>
      </c>
      <c r="B394" t="s">
        <v>1243</v>
      </c>
      <c r="C394" t="s">
        <v>1244</v>
      </c>
      <c r="D394" t="s">
        <v>830</v>
      </c>
      <c r="E394" t="s">
        <v>1245</v>
      </c>
      <c r="H394" t="s">
        <v>61</v>
      </c>
      <c r="I394" t="s">
        <v>832</v>
      </c>
      <c r="J394" t="s">
        <v>38</v>
      </c>
      <c r="K394" t="s">
        <v>39</v>
      </c>
      <c r="L394" t="s">
        <v>29</v>
      </c>
      <c r="M394" t="s">
        <v>30</v>
      </c>
      <c r="N394" t="s">
        <v>31</v>
      </c>
      <c r="Q394" t="s">
        <v>1246</v>
      </c>
      <c r="R394" t="s">
        <v>1246</v>
      </c>
    </row>
    <row r="395" spans="1:18" x14ac:dyDescent="0.3">
      <c r="A395" s="2" t="str">
        <f>HYPERLINK(B395,"Oppna PDF")</f>
        <v>Oppna PDF</v>
      </c>
      <c r="B395" t="s">
        <v>1243</v>
      </c>
      <c r="C395" t="s">
        <v>1247</v>
      </c>
      <c r="D395" t="s">
        <v>830</v>
      </c>
      <c r="E395" t="s">
        <v>1245</v>
      </c>
      <c r="H395" t="s">
        <v>61</v>
      </c>
      <c r="I395" t="s">
        <v>832</v>
      </c>
      <c r="J395" t="s">
        <v>38</v>
      </c>
      <c r="K395" t="s">
        <v>39</v>
      </c>
      <c r="L395" t="s">
        <v>29</v>
      </c>
      <c r="M395" t="s">
        <v>30</v>
      </c>
      <c r="N395" t="s">
        <v>31</v>
      </c>
      <c r="Q395" t="s">
        <v>1224</v>
      </c>
      <c r="R395" t="s">
        <v>1224</v>
      </c>
    </row>
    <row r="396" spans="1:18" x14ac:dyDescent="0.3">
      <c r="A396" s="2" t="str">
        <f>HYPERLINK(B396,"Oppna PDF")</f>
        <v>Oppna PDF</v>
      </c>
      <c r="B396" t="s">
        <v>1243</v>
      </c>
      <c r="C396" t="s">
        <v>1248</v>
      </c>
      <c r="D396" t="s">
        <v>830</v>
      </c>
      <c r="E396" t="s">
        <v>1245</v>
      </c>
      <c r="H396" t="s">
        <v>61</v>
      </c>
      <c r="I396" t="s">
        <v>832</v>
      </c>
      <c r="J396" t="s">
        <v>209</v>
      </c>
      <c r="K396" t="s">
        <v>210</v>
      </c>
      <c r="L396" t="s">
        <v>29</v>
      </c>
      <c r="M396" t="s">
        <v>30</v>
      </c>
      <c r="N396" t="s">
        <v>31</v>
      </c>
      <c r="Q396" t="s">
        <v>1249</v>
      </c>
      <c r="R396" t="s">
        <v>1249</v>
      </c>
    </row>
    <row r="397" spans="1:18" x14ac:dyDescent="0.3">
      <c r="A397" s="2" t="str">
        <f>HYPERLINK(B397,"Oppna PDF")</f>
        <v>Oppna PDF</v>
      </c>
      <c r="B397" t="s">
        <v>1250</v>
      </c>
      <c r="C397" t="s">
        <v>1251</v>
      </c>
      <c r="D397" t="s">
        <v>1150</v>
      </c>
      <c r="E397" t="s">
        <v>1252</v>
      </c>
      <c r="F397" t="s">
        <v>1152</v>
      </c>
      <c r="G397" t="s">
        <v>1153</v>
      </c>
      <c r="H397" t="s">
        <v>61</v>
      </c>
      <c r="I397" t="s">
        <v>1154</v>
      </c>
      <c r="J397" t="s">
        <v>27</v>
      </c>
      <c r="K397" t="s">
        <v>28</v>
      </c>
      <c r="L397" t="s">
        <v>29</v>
      </c>
      <c r="M397" t="s">
        <v>30</v>
      </c>
      <c r="N397" t="s">
        <v>31</v>
      </c>
      <c r="Q397" t="s">
        <v>44</v>
      </c>
      <c r="R397" t="s">
        <v>44</v>
      </c>
    </row>
    <row r="398" spans="1:18" x14ac:dyDescent="0.3">
      <c r="A398" s="2" t="str">
        <f>HYPERLINK(B398,"Oppna PDF")</f>
        <v>Oppna PDF</v>
      </c>
      <c r="B398" t="s">
        <v>1250</v>
      </c>
      <c r="C398" t="s">
        <v>1253</v>
      </c>
      <c r="D398" t="s">
        <v>1150</v>
      </c>
      <c r="E398" t="s">
        <v>1252</v>
      </c>
      <c r="F398" t="s">
        <v>1152</v>
      </c>
      <c r="G398" t="s">
        <v>1153</v>
      </c>
      <c r="H398" t="s">
        <v>61</v>
      </c>
      <c r="I398" t="s">
        <v>1154</v>
      </c>
      <c r="J398" t="s">
        <v>34</v>
      </c>
      <c r="K398" t="s">
        <v>35</v>
      </c>
      <c r="L398" t="s">
        <v>29</v>
      </c>
      <c r="M398" t="s">
        <v>30</v>
      </c>
      <c r="N398" t="s">
        <v>31</v>
      </c>
      <c r="Q398" t="s">
        <v>1254</v>
      </c>
      <c r="R398" t="s">
        <v>1254</v>
      </c>
    </row>
    <row r="399" spans="1:18" x14ac:dyDescent="0.3">
      <c r="A399" s="2" t="str">
        <f>HYPERLINK(B399,"Oppna PDF")</f>
        <v>Oppna PDF</v>
      </c>
      <c r="B399" t="s">
        <v>1250</v>
      </c>
      <c r="C399" t="s">
        <v>1255</v>
      </c>
      <c r="D399" t="s">
        <v>1150</v>
      </c>
      <c r="E399" t="s">
        <v>1252</v>
      </c>
      <c r="F399" t="s">
        <v>1152</v>
      </c>
      <c r="G399" t="s">
        <v>1153</v>
      </c>
      <c r="H399" t="s">
        <v>61</v>
      </c>
      <c r="I399" t="s">
        <v>1154</v>
      </c>
      <c r="J399" t="s">
        <v>27</v>
      </c>
      <c r="K399" t="s">
        <v>28</v>
      </c>
      <c r="L399" t="s">
        <v>29</v>
      </c>
      <c r="M399" t="s">
        <v>30</v>
      </c>
      <c r="N399" t="s">
        <v>31</v>
      </c>
      <c r="Q399" t="s">
        <v>1256</v>
      </c>
      <c r="R399" t="s">
        <v>1257</v>
      </c>
    </row>
    <row r="400" spans="1:18" x14ac:dyDescent="0.3">
      <c r="A400" s="2" t="str">
        <f>HYPERLINK(B400,"Oppna PDF")</f>
        <v>Oppna PDF</v>
      </c>
      <c r="B400" t="s">
        <v>1258</v>
      </c>
      <c r="C400" t="s">
        <v>1259</v>
      </c>
      <c r="D400" t="s">
        <v>1150</v>
      </c>
      <c r="E400" t="s">
        <v>1260</v>
      </c>
      <c r="F400" t="s">
        <v>1152</v>
      </c>
      <c r="G400" t="s">
        <v>1153</v>
      </c>
      <c r="H400" t="s">
        <v>61</v>
      </c>
      <c r="I400" t="s">
        <v>1154</v>
      </c>
      <c r="J400" t="s">
        <v>38</v>
      </c>
      <c r="K400" t="s">
        <v>39</v>
      </c>
      <c r="L400" t="s">
        <v>29</v>
      </c>
      <c r="M400" t="s">
        <v>30</v>
      </c>
      <c r="N400" t="s">
        <v>31</v>
      </c>
      <c r="Q400" t="s">
        <v>1261</v>
      </c>
      <c r="R400" t="s">
        <v>1261</v>
      </c>
    </row>
    <row r="401" spans="1:18" x14ac:dyDescent="0.3">
      <c r="A401" s="2" t="str">
        <f>HYPERLINK(B401,"Oppna PDF")</f>
        <v>Oppna PDF</v>
      </c>
      <c r="B401" t="s">
        <v>1262</v>
      </c>
      <c r="C401" t="s">
        <v>1263</v>
      </c>
      <c r="D401" t="s">
        <v>1150</v>
      </c>
      <c r="E401" t="s">
        <v>1264</v>
      </c>
      <c r="F401" t="s">
        <v>1152</v>
      </c>
      <c r="G401" t="s">
        <v>1153</v>
      </c>
      <c r="H401" t="s">
        <v>61</v>
      </c>
      <c r="I401" t="s">
        <v>1154</v>
      </c>
      <c r="J401" t="s">
        <v>48</v>
      </c>
      <c r="K401" t="s">
        <v>49</v>
      </c>
      <c r="L401" t="s">
        <v>29</v>
      </c>
      <c r="M401" t="s">
        <v>30</v>
      </c>
      <c r="N401" t="s">
        <v>31</v>
      </c>
      <c r="Q401" t="s">
        <v>1265</v>
      </c>
      <c r="R401" t="s">
        <v>1265</v>
      </c>
    </row>
    <row r="402" spans="1:18" x14ac:dyDescent="0.3">
      <c r="A402" s="2" t="str">
        <f>HYPERLINK(B402,"Oppna PDF")</f>
        <v>Oppna PDF</v>
      </c>
      <c r="B402" t="s">
        <v>1262</v>
      </c>
      <c r="C402" t="s">
        <v>1266</v>
      </c>
      <c r="D402" t="s">
        <v>1150</v>
      </c>
      <c r="E402" t="s">
        <v>1264</v>
      </c>
      <c r="F402" t="s">
        <v>1152</v>
      </c>
      <c r="G402" t="s">
        <v>1153</v>
      </c>
      <c r="H402" t="s">
        <v>61</v>
      </c>
      <c r="I402" t="s">
        <v>1154</v>
      </c>
      <c r="J402" t="s">
        <v>48</v>
      </c>
      <c r="K402" t="s">
        <v>49</v>
      </c>
      <c r="L402" t="s">
        <v>29</v>
      </c>
      <c r="M402" t="s">
        <v>30</v>
      </c>
      <c r="N402" t="s">
        <v>31</v>
      </c>
      <c r="Q402" t="s">
        <v>1267</v>
      </c>
      <c r="R402" t="s">
        <v>1267</v>
      </c>
    </row>
    <row r="403" spans="1:18" x14ac:dyDescent="0.3">
      <c r="A403" s="2" t="str">
        <f>HYPERLINK(B403,"Oppna PDF")</f>
        <v>Oppna PDF</v>
      </c>
      <c r="B403" t="s">
        <v>1262</v>
      </c>
      <c r="C403" t="s">
        <v>1268</v>
      </c>
      <c r="D403" t="s">
        <v>1150</v>
      </c>
      <c r="E403" t="s">
        <v>1264</v>
      </c>
      <c r="F403" t="s">
        <v>1152</v>
      </c>
      <c r="G403" t="s">
        <v>1153</v>
      </c>
      <c r="H403" t="s">
        <v>61</v>
      </c>
      <c r="I403" t="s">
        <v>1154</v>
      </c>
      <c r="J403" t="s">
        <v>38</v>
      </c>
      <c r="K403" t="s">
        <v>39</v>
      </c>
      <c r="L403" t="s">
        <v>29</v>
      </c>
      <c r="M403" t="s">
        <v>30</v>
      </c>
      <c r="N403" t="s">
        <v>31</v>
      </c>
      <c r="Q403" t="s">
        <v>1269</v>
      </c>
      <c r="R403" t="s">
        <v>1269</v>
      </c>
    </row>
    <row r="404" spans="1:18" x14ac:dyDescent="0.3">
      <c r="A404" s="2" t="str">
        <f>HYPERLINK(B404,"Oppna PDF")</f>
        <v>Oppna PDF</v>
      </c>
      <c r="B404" t="s">
        <v>1270</v>
      </c>
      <c r="C404" t="s">
        <v>1271</v>
      </c>
      <c r="D404" t="s">
        <v>1150</v>
      </c>
      <c r="E404" t="s">
        <v>1272</v>
      </c>
      <c r="F404" t="s">
        <v>1152</v>
      </c>
      <c r="G404" t="s">
        <v>1153</v>
      </c>
      <c r="H404" t="s">
        <v>61</v>
      </c>
      <c r="I404" t="s">
        <v>1154</v>
      </c>
      <c r="J404" t="s">
        <v>38</v>
      </c>
      <c r="K404" t="s">
        <v>39</v>
      </c>
      <c r="L404" t="s">
        <v>29</v>
      </c>
      <c r="M404" t="s">
        <v>30</v>
      </c>
      <c r="N404" t="s">
        <v>31</v>
      </c>
      <c r="Q404" t="s">
        <v>1273</v>
      </c>
      <c r="R404" t="s">
        <v>1273</v>
      </c>
    </row>
    <row r="405" spans="1:18" x14ac:dyDescent="0.3">
      <c r="A405" s="2" t="str">
        <f>HYPERLINK(B405,"Oppna PDF")</f>
        <v>Oppna PDF</v>
      </c>
      <c r="B405" t="s">
        <v>1270</v>
      </c>
      <c r="C405" t="s">
        <v>1274</v>
      </c>
      <c r="D405" t="s">
        <v>1150</v>
      </c>
      <c r="E405" t="s">
        <v>1272</v>
      </c>
      <c r="F405" t="s">
        <v>1152</v>
      </c>
      <c r="G405" t="s">
        <v>1153</v>
      </c>
      <c r="H405" t="s">
        <v>61</v>
      </c>
      <c r="I405" t="s">
        <v>1154</v>
      </c>
      <c r="J405" t="s">
        <v>27</v>
      </c>
      <c r="K405" t="s">
        <v>28</v>
      </c>
      <c r="L405" t="s">
        <v>29</v>
      </c>
      <c r="M405" t="s">
        <v>30</v>
      </c>
      <c r="N405" t="s">
        <v>31</v>
      </c>
      <c r="Q405" t="s">
        <v>1275</v>
      </c>
      <c r="R405" t="s">
        <v>1275</v>
      </c>
    </row>
    <row r="406" spans="1:18" x14ac:dyDescent="0.3">
      <c r="A406" s="2" t="str">
        <f>HYPERLINK(B406,"Oppna PDF")</f>
        <v>Oppna PDF</v>
      </c>
      <c r="B406" t="s">
        <v>1270</v>
      </c>
      <c r="C406" t="s">
        <v>1276</v>
      </c>
      <c r="D406" t="s">
        <v>1150</v>
      </c>
      <c r="E406" t="s">
        <v>1272</v>
      </c>
      <c r="F406" t="s">
        <v>1152</v>
      </c>
      <c r="G406" t="s">
        <v>1153</v>
      </c>
      <c r="H406" t="s">
        <v>61</v>
      </c>
      <c r="I406" t="s">
        <v>1154</v>
      </c>
      <c r="J406" t="s">
        <v>38</v>
      </c>
      <c r="K406" t="s">
        <v>39</v>
      </c>
      <c r="L406" t="s">
        <v>29</v>
      </c>
      <c r="M406" t="s">
        <v>30</v>
      </c>
      <c r="N406" t="s">
        <v>31</v>
      </c>
      <c r="Q406" t="s">
        <v>1277</v>
      </c>
      <c r="R406" t="s">
        <v>1277</v>
      </c>
    </row>
    <row r="407" spans="1:18" x14ac:dyDescent="0.3">
      <c r="A407" s="2" t="str">
        <f>HYPERLINK(B407,"Oppna PDF")</f>
        <v>Oppna PDF</v>
      </c>
      <c r="B407" t="s">
        <v>1278</v>
      </c>
      <c r="C407" t="s">
        <v>1279</v>
      </c>
      <c r="D407" t="s">
        <v>1150</v>
      </c>
      <c r="E407" t="s">
        <v>1280</v>
      </c>
      <c r="F407" t="s">
        <v>1152</v>
      </c>
      <c r="G407" t="s">
        <v>1153</v>
      </c>
      <c r="H407" t="s">
        <v>61</v>
      </c>
      <c r="I407" t="s">
        <v>1154</v>
      </c>
      <c r="J407" t="s">
        <v>38</v>
      </c>
      <c r="K407" t="s">
        <v>39</v>
      </c>
      <c r="L407" t="s">
        <v>29</v>
      </c>
      <c r="M407" t="s">
        <v>30</v>
      </c>
      <c r="N407" t="s">
        <v>31</v>
      </c>
      <c r="Q407" t="s">
        <v>1281</v>
      </c>
      <c r="R407" t="s">
        <v>1282</v>
      </c>
    </row>
    <row r="408" spans="1:18" x14ac:dyDescent="0.3">
      <c r="A408" s="2" t="str">
        <f>HYPERLINK(B408,"Oppna PDF")</f>
        <v>Oppna PDF</v>
      </c>
      <c r="B408" t="s">
        <v>1283</v>
      </c>
      <c r="C408" t="s">
        <v>1284</v>
      </c>
      <c r="D408" t="s">
        <v>1150</v>
      </c>
      <c r="E408" t="s">
        <v>1285</v>
      </c>
      <c r="F408" t="s">
        <v>1152</v>
      </c>
      <c r="G408" t="s">
        <v>1153</v>
      </c>
      <c r="H408" t="s">
        <v>61</v>
      </c>
      <c r="I408" t="s">
        <v>1154</v>
      </c>
      <c r="J408" t="s">
        <v>27</v>
      </c>
      <c r="K408" t="s">
        <v>28</v>
      </c>
      <c r="L408" t="s">
        <v>29</v>
      </c>
      <c r="M408" t="s">
        <v>30</v>
      </c>
      <c r="N408" t="s">
        <v>31</v>
      </c>
      <c r="Q408" t="s">
        <v>44</v>
      </c>
      <c r="R408" t="s">
        <v>44</v>
      </c>
    </row>
    <row r="409" spans="1:18" x14ac:dyDescent="0.3">
      <c r="A409" s="2" t="str">
        <f>HYPERLINK(B409,"Oppna PDF")</f>
        <v>Oppna PDF</v>
      </c>
      <c r="B409" t="s">
        <v>1283</v>
      </c>
      <c r="C409" t="s">
        <v>1286</v>
      </c>
      <c r="D409" t="s">
        <v>1150</v>
      </c>
      <c r="E409" t="s">
        <v>1285</v>
      </c>
      <c r="F409" t="s">
        <v>1152</v>
      </c>
      <c r="G409" t="s">
        <v>1153</v>
      </c>
      <c r="H409" t="s">
        <v>61</v>
      </c>
      <c r="I409" t="s">
        <v>1154</v>
      </c>
      <c r="J409" t="s">
        <v>38</v>
      </c>
      <c r="K409" t="s">
        <v>39</v>
      </c>
      <c r="L409" t="s">
        <v>29</v>
      </c>
      <c r="M409" t="s">
        <v>30</v>
      </c>
      <c r="N409" t="s">
        <v>31</v>
      </c>
      <c r="Q409" t="s">
        <v>1287</v>
      </c>
      <c r="R409" t="s">
        <v>1287</v>
      </c>
    </row>
    <row r="410" spans="1:18" x14ac:dyDescent="0.3">
      <c r="A410" s="2" t="str">
        <f>HYPERLINK(B410,"Oppna PDF")</f>
        <v>Oppna PDF</v>
      </c>
      <c r="B410" t="s">
        <v>1283</v>
      </c>
      <c r="C410" t="s">
        <v>1288</v>
      </c>
      <c r="D410" t="s">
        <v>1150</v>
      </c>
      <c r="E410" t="s">
        <v>1285</v>
      </c>
      <c r="F410" t="s">
        <v>1152</v>
      </c>
      <c r="G410" t="s">
        <v>1153</v>
      </c>
      <c r="H410" t="s">
        <v>61</v>
      </c>
      <c r="I410" t="s">
        <v>1154</v>
      </c>
      <c r="J410" t="s">
        <v>91</v>
      </c>
      <c r="K410" t="s">
        <v>92</v>
      </c>
      <c r="L410" t="s">
        <v>29</v>
      </c>
      <c r="M410" t="s">
        <v>30</v>
      </c>
      <c r="N410" t="s">
        <v>31</v>
      </c>
      <c r="Q410" t="s">
        <v>1289</v>
      </c>
      <c r="R410" t="s">
        <v>1289</v>
      </c>
    </row>
    <row r="411" spans="1:18" x14ac:dyDescent="0.3">
      <c r="A411" s="2" t="str">
        <f>HYPERLINK(B411,"Oppna PDF")</f>
        <v>Oppna PDF</v>
      </c>
      <c r="B411" t="s">
        <v>1290</v>
      </c>
      <c r="C411" t="s">
        <v>1291</v>
      </c>
      <c r="D411" t="s">
        <v>1150</v>
      </c>
      <c r="E411" t="s">
        <v>1292</v>
      </c>
      <c r="F411" t="s">
        <v>1152</v>
      </c>
      <c r="G411" t="s">
        <v>1153</v>
      </c>
      <c r="H411" t="s">
        <v>61</v>
      </c>
      <c r="I411" t="s">
        <v>1154</v>
      </c>
      <c r="J411" t="s">
        <v>1293</v>
      </c>
      <c r="K411" t="s">
        <v>1294</v>
      </c>
      <c r="L411" t="s">
        <v>29</v>
      </c>
      <c r="M411" t="s">
        <v>30</v>
      </c>
      <c r="N411" t="s">
        <v>31</v>
      </c>
      <c r="Q411" t="s">
        <v>1295</v>
      </c>
      <c r="R411" t="s">
        <v>1295</v>
      </c>
    </row>
    <row r="412" spans="1:18" x14ac:dyDescent="0.3">
      <c r="A412" s="2" t="str">
        <f>HYPERLINK(B412,"Oppna PDF")</f>
        <v>Oppna PDF</v>
      </c>
      <c r="B412" t="s">
        <v>1296</v>
      </c>
      <c r="C412" t="s">
        <v>1297</v>
      </c>
      <c r="D412" t="s">
        <v>1298</v>
      </c>
      <c r="E412" t="s">
        <v>1299</v>
      </c>
      <c r="H412" t="s">
        <v>25</v>
      </c>
      <c r="I412" t="s">
        <v>1300</v>
      </c>
      <c r="J412" t="s">
        <v>27</v>
      </c>
      <c r="K412" t="s">
        <v>28</v>
      </c>
      <c r="L412" t="s">
        <v>29</v>
      </c>
      <c r="M412" t="s">
        <v>30</v>
      </c>
      <c r="N412" t="s">
        <v>31</v>
      </c>
      <c r="Q412" t="s">
        <v>1301</v>
      </c>
      <c r="R412" t="s">
        <v>1302</v>
      </c>
    </row>
    <row r="413" spans="1:18" x14ac:dyDescent="0.3">
      <c r="A413" s="2" t="str">
        <f>HYPERLINK(B413,"Oppna PDF")</f>
        <v>Oppna PDF</v>
      </c>
      <c r="B413" t="s">
        <v>1303</v>
      </c>
      <c r="C413" t="s">
        <v>1304</v>
      </c>
      <c r="D413" t="s">
        <v>1298</v>
      </c>
      <c r="E413" t="s">
        <v>1305</v>
      </c>
      <c r="H413" t="s">
        <v>25</v>
      </c>
      <c r="I413" t="s">
        <v>1300</v>
      </c>
      <c r="J413" t="s">
        <v>38</v>
      </c>
      <c r="K413" t="s">
        <v>39</v>
      </c>
      <c r="L413" t="s">
        <v>29</v>
      </c>
      <c r="M413" t="s">
        <v>30</v>
      </c>
      <c r="N413" t="s">
        <v>31</v>
      </c>
      <c r="Q413" t="s">
        <v>1306</v>
      </c>
      <c r="R413" t="s">
        <v>1306</v>
      </c>
    </row>
    <row r="414" spans="1:18" x14ac:dyDescent="0.3">
      <c r="A414" s="2" t="str">
        <f>HYPERLINK(B414,"Oppna PDF")</f>
        <v>Oppna PDF</v>
      </c>
      <c r="B414" t="s">
        <v>1303</v>
      </c>
      <c r="C414" t="s">
        <v>1307</v>
      </c>
      <c r="D414" t="s">
        <v>1298</v>
      </c>
      <c r="E414" t="s">
        <v>1305</v>
      </c>
      <c r="H414" t="s">
        <v>25</v>
      </c>
      <c r="I414" t="s">
        <v>1300</v>
      </c>
      <c r="J414" t="s">
        <v>38</v>
      </c>
      <c r="K414" t="s">
        <v>39</v>
      </c>
      <c r="L414" t="s">
        <v>29</v>
      </c>
      <c r="M414" t="s">
        <v>30</v>
      </c>
      <c r="N414" t="s">
        <v>31</v>
      </c>
      <c r="Q414" t="s">
        <v>1308</v>
      </c>
      <c r="R414" t="s">
        <v>1308</v>
      </c>
    </row>
    <row r="415" spans="1:18" x14ac:dyDescent="0.3">
      <c r="A415" s="2" t="str">
        <f>HYPERLINK(B415,"Oppna PDF")</f>
        <v>Oppna PDF</v>
      </c>
      <c r="B415" t="s">
        <v>1303</v>
      </c>
      <c r="C415" t="s">
        <v>1309</v>
      </c>
      <c r="D415" t="s">
        <v>1298</v>
      </c>
      <c r="E415" t="s">
        <v>1305</v>
      </c>
      <c r="H415" t="s">
        <v>25</v>
      </c>
      <c r="I415" t="s">
        <v>1300</v>
      </c>
      <c r="J415" t="s">
        <v>38</v>
      </c>
      <c r="K415" t="s">
        <v>39</v>
      </c>
      <c r="L415" t="s">
        <v>29</v>
      </c>
      <c r="M415" t="s">
        <v>30</v>
      </c>
      <c r="N415" t="s">
        <v>31</v>
      </c>
      <c r="Q415" t="s">
        <v>1310</v>
      </c>
      <c r="R415" t="s">
        <v>1310</v>
      </c>
    </row>
    <row r="416" spans="1:18" x14ac:dyDescent="0.3">
      <c r="A416" s="2" t="str">
        <f>HYPERLINK(B416,"Oppna PDF")</f>
        <v>Oppna PDF</v>
      </c>
      <c r="B416" t="s">
        <v>1311</v>
      </c>
      <c r="C416" t="s">
        <v>1312</v>
      </c>
      <c r="D416" t="s">
        <v>1298</v>
      </c>
      <c r="E416" t="s">
        <v>1313</v>
      </c>
      <c r="H416" t="s">
        <v>25</v>
      </c>
      <c r="I416" t="s">
        <v>1300</v>
      </c>
      <c r="J416" t="s">
        <v>48</v>
      </c>
      <c r="K416" t="s">
        <v>49</v>
      </c>
      <c r="L416" t="s">
        <v>29</v>
      </c>
      <c r="M416" t="s">
        <v>30</v>
      </c>
      <c r="N416" t="s">
        <v>31</v>
      </c>
      <c r="Q416" t="s">
        <v>1314</v>
      </c>
      <c r="R416" t="s">
        <v>1314</v>
      </c>
    </row>
    <row r="417" spans="1:18" x14ac:dyDescent="0.3">
      <c r="A417" s="2" t="str">
        <f>HYPERLINK(B417,"Oppna PDF")</f>
        <v>Oppna PDF</v>
      </c>
      <c r="B417" t="s">
        <v>1315</v>
      </c>
      <c r="C417" t="s">
        <v>1316</v>
      </c>
      <c r="D417" t="s">
        <v>1298</v>
      </c>
      <c r="E417" t="s">
        <v>1317</v>
      </c>
      <c r="H417" t="s">
        <v>25</v>
      </c>
      <c r="I417" t="s">
        <v>1300</v>
      </c>
      <c r="J417" t="s">
        <v>91</v>
      </c>
      <c r="K417" t="s">
        <v>92</v>
      </c>
      <c r="L417" t="s">
        <v>142</v>
      </c>
      <c r="M417" t="s">
        <v>30</v>
      </c>
      <c r="N417" t="s">
        <v>31</v>
      </c>
      <c r="Q417" t="s">
        <v>1318</v>
      </c>
      <c r="R417" t="s">
        <v>1318</v>
      </c>
    </row>
    <row r="418" spans="1:18" x14ac:dyDescent="0.3">
      <c r="A418" s="2" t="str">
        <f>HYPERLINK(B418,"Oppna PDF")</f>
        <v>Oppna PDF</v>
      </c>
      <c r="B418" t="s">
        <v>1315</v>
      </c>
      <c r="C418" t="s">
        <v>1319</v>
      </c>
      <c r="D418" t="s">
        <v>1298</v>
      </c>
      <c r="E418" t="s">
        <v>1317</v>
      </c>
      <c r="H418" t="s">
        <v>25</v>
      </c>
      <c r="I418" t="s">
        <v>1300</v>
      </c>
      <c r="J418" t="s">
        <v>34</v>
      </c>
      <c r="K418" t="s">
        <v>35</v>
      </c>
      <c r="L418" t="s">
        <v>29</v>
      </c>
      <c r="M418" t="s">
        <v>30</v>
      </c>
      <c r="N418" t="s">
        <v>31</v>
      </c>
      <c r="Q418" t="s">
        <v>1320</v>
      </c>
      <c r="R418" t="s">
        <v>1321</v>
      </c>
    </row>
    <row r="419" spans="1:18" x14ac:dyDescent="0.3">
      <c r="A419" s="2" t="str">
        <f>HYPERLINK(B419,"Oppna PDF")</f>
        <v>Oppna PDF</v>
      </c>
      <c r="B419" t="s">
        <v>1315</v>
      </c>
      <c r="C419" t="s">
        <v>1322</v>
      </c>
      <c r="D419" t="s">
        <v>1298</v>
      </c>
      <c r="E419" t="s">
        <v>1317</v>
      </c>
      <c r="H419" t="s">
        <v>25</v>
      </c>
      <c r="I419" t="s">
        <v>1300</v>
      </c>
      <c r="J419" t="s">
        <v>34</v>
      </c>
      <c r="K419" t="s">
        <v>35</v>
      </c>
      <c r="L419" t="s">
        <v>29</v>
      </c>
      <c r="M419" t="s">
        <v>30</v>
      </c>
      <c r="N419" t="s">
        <v>31</v>
      </c>
      <c r="Q419" t="s">
        <v>1323</v>
      </c>
      <c r="R419" t="s">
        <v>1323</v>
      </c>
    </row>
    <row r="420" spans="1:18" x14ac:dyDescent="0.3">
      <c r="A420" s="2" t="str">
        <f>HYPERLINK(B420,"Oppna PDF")</f>
        <v>Oppna PDF</v>
      </c>
      <c r="B420" t="s">
        <v>1324</v>
      </c>
      <c r="C420" t="s">
        <v>1325</v>
      </c>
      <c r="D420" t="s">
        <v>844</v>
      </c>
      <c r="E420" t="s">
        <v>1326</v>
      </c>
      <c r="H420" t="s">
        <v>25</v>
      </c>
      <c r="I420" t="s">
        <v>846</v>
      </c>
      <c r="J420" t="s">
        <v>34</v>
      </c>
      <c r="K420" t="s">
        <v>35</v>
      </c>
      <c r="L420" t="s">
        <v>29</v>
      </c>
      <c r="M420" t="s">
        <v>30</v>
      </c>
      <c r="N420" t="s">
        <v>31</v>
      </c>
      <c r="Q420" t="s">
        <v>1327</v>
      </c>
      <c r="R420" t="s">
        <v>1327</v>
      </c>
    </row>
    <row r="421" spans="1:18" x14ac:dyDescent="0.3">
      <c r="A421" s="2" t="str">
        <f>HYPERLINK(B421,"Oppna PDF")</f>
        <v>Oppna PDF</v>
      </c>
      <c r="B421" t="s">
        <v>1324</v>
      </c>
      <c r="C421" t="s">
        <v>1328</v>
      </c>
      <c r="D421" t="s">
        <v>844</v>
      </c>
      <c r="E421" t="s">
        <v>1326</v>
      </c>
      <c r="H421" t="s">
        <v>25</v>
      </c>
      <c r="I421" t="s">
        <v>846</v>
      </c>
      <c r="J421" t="s">
        <v>87</v>
      </c>
      <c r="K421" t="s">
        <v>88</v>
      </c>
      <c r="L421" t="s">
        <v>29</v>
      </c>
      <c r="M421" t="s">
        <v>30</v>
      </c>
      <c r="N421" t="s">
        <v>31</v>
      </c>
      <c r="Q421" t="s">
        <v>1329</v>
      </c>
      <c r="R421" t="s">
        <v>1329</v>
      </c>
    </row>
    <row r="422" spans="1:18" x14ac:dyDescent="0.3">
      <c r="A422" s="2" t="str">
        <f>HYPERLINK(B422,"Oppna PDF")</f>
        <v>Oppna PDF</v>
      </c>
      <c r="B422" t="s">
        <v>1324</v>
      </c>
      <c r="C422" t="s">
        <v>1330</v>
      </c>
      <c r="D422" t="s">
        <v>844</v>
      </c>
      <c r="E422" t="s">
        <v>1326</v>
      </c>
      <c r="H422" t="s">
        <v>25</v>
      </c>
      <c r="I422" t="s">
        <v>846</v>
      </c>
      <c r="J422" t="s">
        <v>91</v>
      </c>
      <c r="K422" t="s">
        <v>92</v>
      </c>
      <c r="L422" t="s">
        <v>29</v>
      </c>
      <c r="M422" t="s">
        <v>30</v>
      </c>
      <c r="N422" t="s">
        <v>31</v>
      </c>
      <c r="Q422" t="s">
        <v>1331</v>
      </c>
      <c r="R422" t="s">
        <v>1331</v>
      </c>
    </row>
    <row r="423" spans="1:18" x14ac:dyDescent="0.3">
      <c r="A423" s="2" t="str">
        <f>HYPERLINK(B423,"Oppna PDF")</f>
        <v>Oppna PDF</v>
      </c>
      <c r="B423" t="s">
        <v>1332</v>
      </c>
      <c r="C423" t="s">
        <v>1333</v>
      </c>
      <c r="D423" t="s">
        <v>844</v>
      </c>
      <c r="E423" t="s">
        <v>1334</v>
      </c>
      <c r="H423" t="s">
        <v>25</v>
      </c>
      <c r="I423" t="s">
        <v>846</v>
      </c>
      <c r="J423" t="s">
        <v>27</v>
      </c>
      <c r="K423" t="s">
        <v>28</v>
      </c>
      <c r="L423" t="s">
        <v>29</v>
      </c>
      <c r="M423" t="s">
        <v>30</v>
      </c>
      <c r="N423" t="s">
        <v>31</v>
      </c>
      <c r="Q423" t="s">
        <v>849</v>
      </c>
      <c r="R423" t="s">
        <v>849</v>
      </c>
    </row>
    <row r="424" spans="1:18" x14ac:dyDescent="0.3">
      <c r="A424" s="2" t="str">
        <f>HYPERLINK(B424,"Oppna PDF")</f>
        <v>Oppna PDF</v>
      </c>
      <c r="B424" t="s">
        <v>1332</v>
      </c>
      <c r="C424" t="s">
        <v>1335</v>
      </c>
      <c r="D424" t="s">
        <v>844</v>
      </c>
      <c r="E424" t="s">
        <v>1334</v>
      </c>
      <c r="H424" t="s">
        <v>25</v>
      </c>
      <c r="I424" t="s">
        <v>846</v>
      </c>
      <c r="J424" t="s">
        <v>27</v>
      </c>
      <c r="K424" t="s">
        <v>28</v>
      </c>
      <c r="L424" t="s">
        <v>29</v>
      </c>
      <c r="M424" t="s">
        <v>30</v>
      </c>
      <c r="N424" t="s">
        <v>31</v>
      </c>
      <c r="Q424" t="s">
        <v>1336</v>
      </c>
      <c r="R424" t="s">
        <v>1336</v>
      </c>
    </row>
    <row r="425" spans="1:18" x14ac:dyDescent="0.3">
      <c r="A425" s="2" t="str">
        <f>HYPERLINK(B425,"Oppna PDF")</f>
        <v>Oppna PDF</v>
      </c>
      <c r="B425" t="s">
        <v>1337</v>
      </c>
      <c r="C425" t="s">
        <v>1338</v>
      </c>
      <c r="D425" t="s">
        <v>844</v>
      </c>
      <c r="E425" t="s">
        <v>1339</v>
      </c>
      <c r="H425" t="s">
        <v>25</v>
      </c>
      <c r="I425" t="s">
        <v>846</v>
      </c>
      <c r="J425" t="s">
        <v>34</v>
      </c>
      <c r="K425" t="s">
        <v>35</v>
      </c>
      <c r="L425" t="s">
        <v>29</v>
      </c>
      <c r="M425" t="s">
        <v>30</v>
      </c>
      <c r="N425" t="s">
        <v>31</v>
      </c>
      <c r="Q425" t="s">
        <v>1340</v>
      </c>
      <c r="R425" t="s">
        <v>1340</v>
      </c>
    </row>
    <row r="426" spans="1:18" x14ac:dyDescent="0.3">
      <c r="A426" s="2" t="str">
        <f>HYPERLINK(B426,"Oppna PDF")</f>
        <v>Oppna PDF</v>
      </c>
      <c r="B426" t="s">
        <v>1337</v>
      </c>
      <c r="C426" t="s">
        <v>1341</v>
      </c>
      <c r="D426" t="s">
        <v>844</v>
      </c>
      <c r="E426" t="s">
        <v>1339</v>
      </c>
      <c r="H426" t="s">
        <v>25</v>
      </c>
      <c r="I426" t="s">
        <v>846</v>
      </c>
      <c r="J426" t="s">
        <v>87</v>
      </c>
      <c r="K426" t="s">
        <v>88</v>
      </c>
      <c r="L426" t="s">
        <v>29</v>
      </c>
      <c r="M426" t="s">
        <v>30</v>
      </c>
      <c r="N426" t="s">
        <v>31</v>
      </c>
      <c r="Q426" t="s">
        <v>1329</v>
      </c>
      <c r="R426" t="s">
        <v>1329</v>
      </c>
    </row>
    <row r="427" spans="1:18" x14ac:dyDescent="0.3">
      <c r="A427" s="2" t="str">
        <f>HYPERLINK(B427,"Oppna PDF")</f>
        <v>Oppna PDF</v>
      </c>
      <c r="B427" t="s">
        <v>1337</v>
      </c>
      <c r="C427" t="s">
        <v>1342</v>
      </c>
      <c r="D427" t="s">
        <v>844</v>
      </c>
      <c r="E427" t="s">
        <v>1339</v>
      </c>
      <c r="H427" t="s">
        <v>25</v>
      </c>
      <c r="I427" t="s">
        <v>846</v>
      </c>
      <c r="J427" t="s">
        <v>87</v>
      </c>
      <c r="K427" t="s">
        <v>88</v>
      </c>
      <c r="L427" t="s">
        <v>29</v>
      </c>
      <c r="M427" t="s">
        <v>30</v>
      </c>
      <c r="N427" t="s">
        <v>31</v>
      </c>
      <c r="Q427" t="s">
        <v>1343</v>
      </c>
      <c r="R427" t="s">
        <v>1343</v>
      </c>
    </row>
    <row r="428" spans="1:18" x14ac:dyDescent="0.3">
      <c r="A428" s="2" t="str">
        <f>HYPERLINK(B428,"Oppna PDF")</f>
        <v>Oppna PDF</v>
      </c>
      <c r="B428" t="s">
        <v>1344</v>
      </c>
      <c r="C428" t="s">
        <v>1345</v>
      </c>
      <c r="D428" t="s">
        <v>1134</v>
      </c>
      <c r="E428" t="s">
        <v>1346</v>
      </c>
      <c r="H428" t="s">
        <v>61</v>
      </c>
      <c r="I428" t="s">
        <v>1136</v>
      </c>
      <c r="J428" t="s">
        <v>38</v>
      </c>
      <c r="K428" t="s">
        <v>39</v>
      </c>
      <c r="L428" t="s">
        <v>29</v>
      </c>
      <c r="M428" t="s">
        <v>30</v>
      </c>
      <c r="N428" t="s">
        <v>31</v>
      </c>
      <c r="Q428" t="s">
        <v>1347</v>
      </c>
      <c r="R428" t="s">
        <v>1347</v>
      </c>
    </row>
    <row r="429" spans="1:18" x14ac:dyDescent="0.3">
      <c r="A429" s="2" t="str">
        <f>HYPERLINK(B429,"Oppna PDF")</f>
        <v>Oppna PDF</v>
      </c>
      <c r="B429" t="s">
        <v>1344</v>
      </c>
      <c r="C429" t="s">
        <v>1348</v>
      </c>
      <c r="D429" t="s">
        <v>1134</v>
      </c>
      <c r="E429" t="s">
        <v>1346</v>
      </c>
      <c r="H429" t="s">
        <v>61</v>
      </c>
      <c r="I429" t="s">
        <v>1136</v>
      </c>
      <c r="J429" t="s">
        <v>34</v>
      </c>
      <c r="K429" t="s">
        <v>35</v>
      </c>
      <c r="L429" t="s">
        <v>300</v>
      </c>
      <c r="M429" t="s">
        <v>30</v>
      </c>
      <c r="N429" t="s">
        <v>31</v>
      </c>
      <c r="Q429" t="s">
        <v>1349</v>
      </c>
      <c r="R429" t="s">
        <v>1349</v>
      </c>
    </row>
    <row r="430" spans="1:18" x14ac:dyDescent="0.3">
      <c r="A430" s="2" t="str">
        <f>HYPERLINK(B430,"Oppna PDF")</f>
        <v>Oppna PDF</v>
      </c>
      <c r="B430" t="s">
        <v>1344</v>
      </c>
      <c r="C430" t="s">
        <v>1350</v>
      </c>
      <c r="D430" t="s">
        <v>1134</v>
      </c>
      <c r="E430" t="s">
        <v>1346</v>
      </c>
      <c r="H430" t="s">
        <v>61</v>
      </c>
      <c r="I430" t="s">
        <v>1136</v>
      </c>
      <c r="J430" t="s">
        <v>34</v>
      </c>
      <c r="K430" t="s">
        <v>35</v>
      </c>
      <c r="L430" t="s">
        <v>29</v>
      </c>
      <c r="M430" t="s">
        <v>30</v>
      </c>
      <c r="N430" t="s">
        <v>31</v>
      </c>
      <c r="Q430" t="s">
        <v>1351</v>
      </c>
      <c r="R430" t="s">
        <v>1351</v>
      </c>
    </row>
    <row r="431" spans="1:18" x14ac:dyDescent="0.3">
      <c r="A431" s="2" t="str">
        <f>HYPERLINK(B431,"Oppna PDF")</f>
        <v>Oppna PDF</v>
      </c>
      <c r="B431" t="s">
        <v>1352</v>
      </c>
      <c r="C431" t="s">
        <v>1353</v>
      </c>
      <c r="D431" t="s">
        <v>1134</v>
      </c>
      <c r="E431" t="s">
        <v>1354</v>
      </c>
      <c r="H431" t="s">
        <v>61</v>
      </c>
      <c r="I431" t="s">
        <v>1136</v>
      </c>
      <c r="J431" t="s">
        <v>91</v>
      </c>
      <c r="K431" t="s">
        <v>92</v>
      </c>
      <c r="L431" t="s">
        <v>29</v>
      </c>
      <c r="M431" t="s">
        <v>30</v>
      </c>
      <c r="N431" t="s">
        <v>31</v>
      </c>
      <c r="Q431" t="s">
        <v>1355</v>
      </c>
      <c r="R431" t="s">
        <v>1356</v>
      </c>
    </row>
    <row r="432" spans="1:18" x14ac:dyDescent="0.3">
      <c r="A432" s="2" t="str">
        <f>HYPERLINK(B432,"Oppna PDF")</f>
        <v>Oppna PDF</v>
      </c>
      <c r="B432" t="s">
        <v>1352</v>
      </c>
      <c r="C432" t="s">
        <v>1357</v>
      </c>
      <c r="D432" t="s">
        <v>1134</v>
      </c>
      <c r="E432" t="s">
        <v>1354</v>
      </c>
      <c r="H432" t="s">
        <v>61</v>
      </c>
      <c r="I432" t="s">
        <v>1136</v>
      </c>
      <c r="J432" t="s">
        <v>91</v>
      </c>
      <c r="K432" t="s">
        <v>92</v>
      </c>
      <c r="L432" t="s">
        <v>29</v>
      </c>
      <c r="M432" t="s">
        <v>30</v>
      </c>
      <c r="N432" t="s">
        <v>31</v>
      </c>
      <c r="Q432" t="s">
        <v>1358</v>
      </c>
      <c r="R432" t="s">
        <v>1359</v>
      </c>
    </row>
    <row r="433" spans="1:18" x14ac:dyDescent="0.3">
      <c r="A433" s="2" t="str">
        <f>HYPERLINK(B433,"Oppna PDF")</f>
        <v>Oppna PDF</v>
      </c>
      <c r="B433" t="s">
        <v>1352</v>
      </c>
      <c r="C433" t="s">
        <v>1360</v>
      </c>
      <c r="D433" t="s">
        <v>1134</v>
      </c>
      <c r="E433" t="s">
        <v>1354</v>
      </c>
      <c r="H433" t="s">
        <v>61</v>
      </c>
      <c r="I433" t="s">
        <v>1136</v>
      </c>
      <c r="J433" t="s">
        <v>87</v>
      </c>
      <c r="K433" t="s">
        <v>88</v>
      </c>
      <c r="L433" t="s">
        <v>29</v>
      </c>
      <c r="M433" t="s">
        <v>30</v>
      </c>
      <c r="N433" t="s">
        <v>31</v>
      </c>
      <c r="Q433" t="s">
        <v>1361</v>
      </c>
      <c r="R433" t="s">
        <v>1361</v>
      </c>
    </row>
    <row r="434" spans="1:18" x14ac:dyDescent="0.3">
      <c r="A434" s="2" t="str">
        <f>HYPERLINK(B434,"Oppna PDF")</f>
        <v>Oppna PDF</v>
      </c>
      <c r="B434" t="s">
        <v>1362</v>
      </c>
      <c r="C434" t="s">
        <v>1363</v>
      </c>
      <c r="D434" t="s">
        <v>1134</v>
      </c>
      <c r="E434" t="s">
        <v>1364</v>
      </c>
      <c r="H434" t="s">
        <v>61</v>
      </c>
      <c r="I434" t="s">
        <v>1136</v>
      </c>
      <c r="J434" t="s">
        <v>27</v>
      </c>
      <c r="K434" t="s">
        <v>28</v>
      </c>
      <c r="L434" t="s">
        <v>29</v>
      </c>
      <c r="M434" t="s">
        <v>30</v>
      </c>
      <c r="N434" t="s">
        <v>31</v>
      </c>
      <c r="Q434" t="s">
        <v>1365</v>
      </c>
      <c r="R434" t="s">
        <v>1365</v>
      </c>
    </row>
    <row r="435" spans="1:18" x14ac:dyDescent="0.3">
      <c r="A435" s="2" t="str">
        <f>HYPERLINK(B435,"Oppna PDF")</f>
        <v>Oppna PDF</v>
      </c>
      <c r="B435" t="s">
        <v>1362</v>
      </c>
      <c r="C435" t="s">
        <v>1366</v>
      </c>
      <c r="D435" t="s">
        <v>1134</v>
      </c>
      <c r="E435" t="s">
        <v>1364</v>
      </c>
      <c r="H435" t="s">
        <v>61</v>
      </c>
      <c r="I435" t="s">
        <v>1136</v>
      </c>
      <c r="J435" t="s">
        <v>48</v>
      </c>
      <c r="K435" t="s">
        <v>49</v>
      </c>
      <c r="L435" t="s">
        <v>29</v>
      </c>
      <c r="M435" t="s">
        <v>30</v>
      </c>
      <c r="N435" t="s">
        <v>31</v>
      </c>
      <c r="Q435" t="s">
        <v>1367</v>
      </c>
      <c r="R435" t="s">
        <v>1367</v>
      </c>
    </row>
    <row r="436" spans="1:18" x14ac:dyDescent="0.3">
      <c r="A436" s="2" t="str">
        <f>HYPERLINK(B436,"Oppna PDF")</f>
        <v>Oppna PDF</v>
      </c>
      <c r="B436" t="s">
        <v>1362</v>
      </c>
      <c r="C436" t="s">
        <v>1368</v>
      </c>
      <c r="D436" t="s">
        <v>1134</v>
      </c>
      <c r="E436" t="s">
        <v>1364</v>
      </c>
      <c r="H436" t="s">
        <v>61</v>
      </c>
      <c r="I436" t="s">
        <v>1136</v>
      </c>
      <c r="J436" t="s">
        <v>34</v>
      </c>
      <c r="K436" t="s">
        <v>35</v>
      </c>
      <c r="L436" t="s">
        <v>29</v>
      </c>
      <c r="M436" t="s">
        <v>30</v>
      </c>
      <c r="N436" t="s">
        <v>31</v>
      </c>
      <c r="Q436" t="s">
        <v>1369</v>
      </c>
      <c r="R436" t="s">
        <v>1369</v>
      </c>
    </row>
    <row r="437" spans="1:18" x14ac:dyDescent="0.3">
      <c r="A437" s="2" t="str">
        <f>HYPERLINK(B437,"Oppna PDF")</f>
        <v>Oppna PDF</v>
      </c>
      <c r="B437" t="s">
        <v>1370</v>
      </c>
      <c r="C437" t="s">
        <v>1371</v>
      </c>
      <c r="D437" t="s">
        <v>1134</v>
      </c>
      <c r="E437" t="s">
        <v>1372</v>
      </c>
      <c r="H437" t="s">
        <v>61</v>
      </c>
      <c r="I437" t="s">
        <v>1136</v>
      </c>
      <c r="J437" t="s">
        <v>38</v>
      </c>
      <c r="K437" t="s">
        <v>39</v>
      </c>
      <c r="L437" t="s">
        <v>29</v>
      </c>
      <c r="M437" t="s">
        <v>30</v>
      </c>
      <c r="N437" t="s">
        <v>31</v>
      </c>
      <c r="Q437" t="s">
        <v>1373</v>
      </c>
      <c r="R437" t="s">
        <v>1374</v>
      </c>
    </row>
    <row r="438" spans="1:18" x14ac:dyDescent="0.3">
      <c r="A438" s="2" t="str">
        <f>HYPERLINK(B438,"Oppna PDF")</f>
        <v>Oppna PDF</v>
      </c>
      <c r="B438" t="s">
        <v>1375</v>
      </c>
      <c r="C438" t="s">
        <v>1376</v>
      </c>
      <c r="D438" t="s">
        <v>1134</v>
      </c>
      <c r="E438" t="s">
        <v>1377</v>
      </c>
      <c r="H438" t="s">
        <v>61</v>
      </c>
      <c r="I438" t="s">
        <v>1136</v>
      </c>
      <c r="J438" t="s">
        <v>27</v>
      </c>
      <c r="K438" t="s">
        <v>28</v>
      </c>
      <c r="L438" t="s">
        <v>29</v>
      </c>
      <c r="M438" t="s">
        <v>30</v>
      </c>
      <c r="N438" t="s">
        <v>31</v>
      </c>
      <c r="Q438" t="s">
        <v>1378</v>
      </c>
      <c r="R438" t="s">
        <v>1378</v>
      </c>
    </row>
    <row r="439" spans="1:18" x14ac:dyDescent="0.3">
      <c r="A439" s="2" t="str">
        <f>HYPERLINK(B439,"Oppna PDF")</f>
        <v>Oppna PDF</v>
      </c>
      <c r="B439" t="s">
        <v>1375</v>
      </c>
      <c r="C439" t="s">
        <v>1379</v>
      </c>
      <c r="D439" t="s">
        <v>1134</v>
      </c>
      <c r="E439" t="s">
        <v>1377</v>
      </c>
      <c r="H439" t="s">
        <v>61</v>
      </c>
      <c r="I439" t="s">
        <v>1136</v>
      </c>
      <c r="J439" t="s">
        <v>34</v>
      </c>
      <c r="K439" t="s">
        <v>35</v>
      </c>
      <c r="L439" t="s">
        <v>29</v>
      </c>
      <c r="M439" t="s">
        <v>30</v>
      </c>
      <c r="N439" t="s">
        <v>31</v>
      </c>
      <c r="Q439" t="s">
        <v>1380</v>
      </c>
      <c r="R439" t="s">
        <v>1380</v>
      </c>
    </row>
    <row r="440" spans="1:18" x14ac:dyDescent="0.3">
      <c r="A440" s="2" t="str">
        <f>HYPERLINK(B440,"Oppna PDF")</f>
        <v>Oppna PDF</v>
      </c>
      <c r="B440" t="s">
        <v>1375</v>
      </c>
      <c r="C440" t="s">
        <v>1381</v>
      </c>
      <c r="D440" t="s">
        <v>1134</v>
      </c>
      <c r="E440" t="s">
        <v>1377</v>
      </c>
      <c r="H440" t="s">
        <v>61</v>
      </c>
      <c r="I440" t="s">
        <v>1136</v>
      </c>
      <c r="J440" t="s">
        <v>27</v>
      </c>
      <c r="K440" t="s">
        <v>28</v>
      </c>
      <c r="L440" t="s">
        <v>29</v>
      </c>
      <c r="M440" t="s">
        <v>30</v>
      </c>
      <c r="N440" t="s">
        <v>31</v>
      </c>
      <c r="Q440" t="s">
        <v>1382</v>
      </c>
      <c r="R440" t="s">
        <v>1382</v>
      </c>
    </row>
    <row r="441" spans="1:18" x14ac:dyDescent="0.3">
      <c r="A441" s="2" t="str">
        <f>HYPERLINK(B441,"Oppna PDF")</f>
        <v>Oppna PDF</v>
      </c>
      <c r="B441" t="s">
        <v>1383</v>
      </c>
      <c r="C441" t="s">
        <v>1384</v>
      </c>
      <c r="D441" t="s">
        <v>1134</v>
      </c>
      <c r="E441" t="s">
        <v>1385</v>
      </c>
      <c r="H441" t="s">
        <v>61</v>
      </c>
      <c r="I441" t="s">
        <v>1136</v>
      </c>
      <c r="J441" t="s">
        <v>34</v>
      </c>
      <c r="K441" t="s">
        <v>35</v>
      </c>
      <c r="L441" t="s">
        <v>29</v>
      </c>
      <c r="M441" t="s">
        <v>30</v>
      </c>
      <c r="N441" t="s">
        <v>31</v>
      </c>
      <c r="Q441" t="s">
        <v>1386</v>
      </c>
      <c r="R441" t="s">
        <v>1386</v>
      </c>
    </row>
    <row r="442" spans="1:18" x14ac:dyDescent="0.3">
      <c r="A442" s="2" t="str">
        <f>HYPERLINK(B442,"Oppna PDF")</f>
        <v>Oppna PDF</v>
      </c>
      <c r="B442" t="s">
        <v>1383</v>
      </c>
      <c r="C442" t="s">
        <v>1387</v>
      </c>
      <c r="D442" t="s">
        <v>1134</v>
      </c>
      <c r="E442" t="s">
        <v>1385</v>
      </c>
      <c r="H442" t="s">
        <v>61</v>
      </c>
      <c r="I442" t="s">
        <v>1136</v>
      </c>
      <c r="J442" t="s">
        <v>27</v>
      </c>
      <c r="K442" t="s">
        <v>28</v>
      </c>
      <c r="L442" t="s">
        <v>29</v>
      </c>
      <c r="M442" t="s">
        <v>30</v>
      </c>
      <c r="N442" t="s">
        <v>31</v>
      </c>
      <c r="Q442" t="s">
        <v>1388</v>
      </c>
      <c r="R442" t="s">
        <v>1388</v>
      </c>
    </row>
    <row r="443" spans="1:18" x14ac:dyDescent="0.3">
      <c r="A443" s="2" t="str">
        <f>HYPERLINK(B443,"Oppna PDF")</f>
        <v>Oppna PDF</v>
      </c>
      <c r="B443" t="s">
        <v>1383</v>
      </c>
      <c r="C443" t="s">
        <v>1389</v>
      </c>
      <c r="D443" t="s">
        <v>1134</v>
      </c>
      <c r="E443" t="s">
        <v>1385</v>
      </c>
      <c r="H443" t="s">
        <v>61</v>
      </c>
      <c r="I443" t="s">
        <v>1136</v>
      </c>
      <c r="J443" t="s">
        <v>34</v>
      </c>
      <c r="K443" t="s">
        <v>35</v>
      </c>
      <c r="L443" t="s">
        <v>29</v>
      </c>
      <c r="M443" t="s">
        <v>30</v>
      </c>
      <c r="N443" t="s">
        <v>31</v>
      </c>
      <c r="Q443" t="s">
        <v>1390</v>
      </c>
      <c r="R443" t="s">
        <v>1390</v>
      </c>
    </row>
    <row r="444" spans="1:18" x14ac:dyDescent="0.3">
      <c r="A444" s="2" t="str">
        <f>HYPERLINK(B444,"Oppna PDF")</f>
        <v>Oppna PDF</v>
      </c>
      <c r="B444" t="s">
        <v>1391</v>
      </c>
      <c r="C444" t="s">
        <v>1392</v>
      </c>
      <c r="D444" t="s">
        <v>1134</v>
      </c>
      <c r="E444" t="s">
        <v>1393</v>
      </c>
      <c r="H444" t="s">
        <v>61</v>
      </c>
      <c r="I444" t="s">
        <v>1136</v>
      </c>
      <c r="J444" t="s">
        <v>27</v>
      </c>
      <c r="K444" t="s">
        <v>28</v>
      </c>
      <c r="L444" t="s">
        <v>300</v>
      </c>
      <c r="M444" t="s">
        <v>30</v>
      </c>
      <c r="N444" t="s">
        <v>31</v>
      </c>
      <c r="Q444" t="s">
        <v>1394</v>
      </c>
      <c r="R444" t="s">
        <v>1394</v>
      </c>
    </row>
    <row r="445" spans="1:18" x14ac:dyDescent="0.3">
      <c r="A445" s="2" t="str">
        <f>HYPERLINK(B445,"Oppna PDF")</f>
        <v>Oppna PDF</v>
      </c>
      <c r="B445" t="s">
        <v>1391</v>
      </c>
      <c r="C445" t="s">
        <v>1395</v>
      </c>
      <c r="D445" t="s">
        <v>1134</v>
      </c>
      <c r="E445" t="s">
        <v>1393</v>
      </c>
      <c r="H445" t="s">
        <v>61</v>
      </c>
      <c r="I445" t="s">
        <v>1136</v>
      </c>
      <c r="J445" t="s">
        <v>91</v>
      </c>
      <c r="K445" t="s">
        <v>92</v>
      </c>
      <c r="L445" t="s">
        <v>300</v>
      </c>
      <c r="M445" t="s">
        <v>30</v>
      </c>
      <c r="N445" t="s">
        <v>31</v>
      </c>
      <c r="Q445" t="s">
        <v>1396</v>
      </c>
      <c r="R445" t="s">
        <v>1396</v>
      </c>
    </row>
    <row r="446" spans="1:18" x14ac:dyDescent="0.3">
      <c r="A446" s="2" t="str">
        <f>HYPERLINK(B446,"Oppna PDF")</f>
        <v>Oppna PDF</v>
      </c>
      <c r="B446" t="s">
        <v>1391</v>
      </c>
      <c r="C446" t="s">
        <v>1397</v>
      </c>
      <c r="D446" t="s">
        <v>1134</v>
      </c>
      <c r="E446" t="s">
        <v>1393</v>
      </c>
      <c r="H446" t="s">
        <v>61</v>
      </c>
      <c r="I446" t="s">
        <v>1136</v>
      </c>
      <c r="J446" t="s">
        <v>38</v>
      </c>
      <c r="K446" t="s">
        <v>39</v>
      </c>
      <c r="L446" t="s">
        <v>300</v>
      </c>
      <c r="M446" t="s">
        <v>30</v>
      </c>
      <c r="N446" t="s">
        <v>31</v>
      </c>
      <c r="Q446" t="s">
        <v>1398</v>
      </c>
      <c r="R446" t="s">
        <v>1398</v>
      </c>
    </row>
    <row r="447" spans="1:18" x14ac:dyDescent="0.3">
      <c r="A447" s="2" t="str">
        <f>HYPERLINK(B447,"Oppna PDF")</f>
        <v>Oppna PDF</v>
      </c>
      <c r="B447" t="s">
        <v>1399</v>
      </c>
      <c r="C447" t="s">
        <v>1400</v>
      </c>
      <c r="D447" t="s">
        <v>1134</v>
      </c>
      <c r="E447" t="s">
        <v>1401</v>
      </c>
      <c r="H447" t="s">
        <v>61</v>
      </c>
      <c r="I447" t="s">
        <v>1136</v>
      </c>
      <c r="J447" t="s">
        <v>38</v>
      </c>
      <c r="K447" t="s">
        <v>39</v>
      </c>
      <c r="L447" t="s">
        <v>29</v>
      </c>
      <c r="M447" t="s">
        <v>30</v>
      </c>
      <c r="N447" t="s">
        <v>31</v>
      </c>
      <c r="Q447" t="s">
        <v>1402</v>
      </c>
      <c r="R447" t="s">
        <v>1402</v>
      </c>
    </row>
    <row r="448" spans="1:18" x14ac:dyDescent="0.3">
      <c r="A448" s="2" t="str">
        <f>HYPERLINK(B448,"Oppna PDF")</f>
        <v>Oppna PDF</v>
      </c>
      <c r="B448" t="s">
        <v>1399</v>
      </c>
      <c r="C448" t="s">
        <v>1403</v>
      </c>
      <c r="D448" t="s">
        <v>1134</v>
      </c>
      <c r="E448" t="s">
        <v>1401</v>
      </c>
      <c r="H448" t="s">
        <v>61</v>
      </c>
      <c r="I448" t="s">
        <v>1136</v>
      </c>
      <c r="J448" t="s">
        <v>91</v>
      </c>
      <c r="K448" t="s">
        <v>92</v>
      </c>
      <c r="L448" t="s">
        <v>29</v>
      </c>
      <c r="M448" t="s">
        <v>30</v>
      </c>
      <c r="N448" t="s">
        <v>31</v>
      </c>
      <c r="Q448" t="s">
        <v>1404</v>
      </c>
      <c r="R448" t="s">
        <v>1404</v>
      </c>
    </row>
    <row r="449" spans="1:18" x14ac:dyDescent="0.3">
      <c r="A449" s="2" t="str">
        <f>HYPERLINK(B449,"Oppna PDF")</f>
        <v>Oppna PDF</v>
      </c>
      <c r="B449" t="s">
        <v>1399</v>
      </c>
      <c r="C449" t="s">
        <v>1405</v>
      </c>
      <c r="D449" t="s">
        <v>1134</v>
      </c>
      <c r="E449" t="s">
        <v>1401</v>
      </c>
      <c r="H449" t="s">
        <v>61</v>
      </c>
      <c r="I449" t="s">
        <v>1136</v>
      </c>
      <c r="J449" t="s">
        <v>91</v>
      </c>
      <c r="K449" t="s">
        <v>92</v>
      </c>
      <c r="L449" t="s">
        <v>29</v>
      </c>
      <c r="M449" t="s">
        <v>30</v>
      </c>
      <c r="N449" t="s">
        <v>31</v>
      </c>
      <c r="Q449" t="s">
        <v>1406</v>
      </c>
      <c r="R449" t="s">
        <v>1406</v>
      </c>
    </row>
    <row r="450" spans="1:18" x14ac:dyDescent="0.3">
      <c r="A450" s="2" t="str">
        <f>HYPERLINK(B450,"Oppna PDF")</f>
        <v>Oppna PDF</v>
      </c>
      <c r="B450" t="s">
        <v>1407</v>
      </c>
      <c r="C450" t="s">
        <v>1408</v>
      </c>
      <c r="D450" t="s">
        <v>1409</v>
      </c>
      <c r="E450" t="s">
        <v>1410</v>
      </c>
      <c r="H450" t="s">
        <v>268</v>
      </c>
      <c r="I450" t="s">
        <v>1411</v>
      </c>
      <c r="J450" t="s">
        <v>91</v>
      </c>
      <c r="K450" t="s">
        <v>92</v>
      </c>
      <c r="L450" t="s">
        <v>29</v>
      </c>
      <c r="M450" t="s">
        <v>30</v>
      </c>
      <c r="N450" t="s">
        <v>31</v>
      </c>
      <c r="Q450" t="s">
        <v>1318</v>
      </c>
      <c r="R450" t="s">
        <v>1318</v>
      </c>
    </row>
    <row r="451" spans="1:18" x14ac:dyDescent="0.3">
      <c r="A451" s="2" t="str">
        <f>HYPERLINK(B451,"Oppna PDF")</f>
        <v>Oppna PDF</v>
      </c>
      <c r="B451" t="s">
        <v>1407</v>
      </c>
      <c r="C451" t="s">
        <v>1412</v>
      </c>
      <c r="D451" t="s">
        <v>1409</v>
      </c>
      <c r="E451" t="s">
        <v>1410</v>
      </c>
      <c r="H451" t="s">
        <v>268</v>
      </c>
      <c r="I451" t="s">
        <v>1411</v>
      </c>
      <c r="J451" t="s">
        <v>48</v>
      </c>
      <c r="K451" t="s">
        <v>49</v>
      </c>
      <c r="L451" t="s">
        <v>29</v>
      </c>
      <c r="M451" t="s">
        <v>30</v>
      </c>
      <c r="N451" t="s">
        <v>31</v>
      </c>
      <c r="Q451" t="s">
        <v>1413</v>
      </c>
      <c r="R451" t="s">
        <v>1413</v>
      </c>
    </row>
    <row r="452" spans="1:18" x14ac:dyDescent="0.3">
      <c r="A452" s="2" t="str">
        <f>HYPERLINK(B452,"Oppna PDF")</f>
        <v>Oppna PDF</v>
      </c>
      <c r="B452" t="s">
        <v>1407</v>
      </c>
      <c r="C452" t="s">
        <v>1414</v>
      </c>
      <c r="D452" t="s">
        <v>1409</v>
      </c>
      <c r="E452" t="s">
        <v>1410</v>
      </c>
      <c r="H452" t="s">
        <v>268</v>
      </c>
      <c r="I452" t="s">
        <v>1411</v>
      </c>
      <c r="J452" t="s">
        <v>38</v>
      </c>
      <c r="K452" t="s">
        <v>39</v>
      </c>
      <c r="L452" t="s">
        <v>29</v>
      </c>
      <c r="M452" t="s">
        <v>30</v>
      </c>
      <c r="N452" t="s">
        <v>31</v>
      </c>
      <c r="Q452" t="s">
        <v>1415</v>
      </c>
      <c r="R452" t="s">
        <v>1415</v>
      </c>
    </row>
    <row r="453" spans="1:18" x14ac:dyDescent="0.3">
      <c r="A453" s="2" t="str">
        <f>HYPERLINK(B453,"Oppna PDF")</f>
        <v>Oppna PDF</v>
      </c>
      <c r="B453" t="s">
        <v>1416</v>
      </c>
      <c r="C453" t="s">
        <v>1417</v>
      </c>
      <c r="D453" t="s">
        <v>1409</v>
      </c>
      <c r="E453" t="s">
        <v>1418</v>
      </c>
      <c r="H453" t="s">
        <v>268</v>
      </c>
      <c r="I453" t="s">
        <v>1411</v>
      </c>
      <c r="J453" t="s">
        <v>91</v>
      </c>
      <c r="K453" t="s">
        <v>92</v>
      </c>
      <c r="L453" t="s">
        <v>29</v>
      </c>
      <c r="M453" t="s">
        <v>30</v>
      </c>
      <c r="N453" t="s">
        <v>31</v>
      </c>
      <c r="Q453" t="s">
        <v>1419</v>
      </c>
      <c r="R453" t="s">
        <v>1419</v>
      </c>
    </row>
    <row r="454" spans="1:18" x14ac:dyDescent="0.3">
      <c r="A454" s="2" t="str">
        <f>HYPERLINK(B454,"Oppna PDF")</f>
        <v>Oppna PDF</v>
      </c>
      <c r="B454" t="s">
        <v>1416</v>
      </c>
      <c r="C454" t="s">
        <v>1420</v>
      </c>
      <c r="D454" t="s">
        <v>1409</v>
      </c>
      <c r="E454" t="s">
        <v>1418</v>
      </c>
      <c r="H454" t="s">
        <v>268</v>
      </c>
      <c r="I454" t="s">
        <v>1411</v>
      </c>
      <c r="J454" t="s">
        <v>91</v>
      </c>
      <c r="K454" t="s">
        <v>92</v>
      </c>
      <c r="L454" t="s">
        <v>29</v>
      </c>
      <c r="M454" t="s">
        <v>30</v>
      </c>
      <c r="N454" t="s">
        <v>31</v>
      </c>
      <c r="Q454" t="s">
        <v>1421</v>
      </c>
      <c r="R454" t="s">
        <v>1421</v>
      </c>
    </row>
    <row r="455" spans="1:18" x14ac:dyDescent="0.3">
      <c r="A455" s="2" t="str">
        <f>HYPERLINK(B455,"Oppna PDF")</f>
        <v>Oppna PDF</v>
      </c>
      <c r="B455" t="s">
        <v>1416</v>
      </c>
      <c r="C455" t="s">
        <v>1422</v>
      </c>
      <c r="D455" t="s">
        <v>1409</v>
      </c>
      <c r="E455" t="s">
        <v>1418</v>
      </c>
      <c r="H455" t="s">
        <v>268</v>
      </c>
      <c r="I455" t="s">
        <v>1411</v>
      </c>
      <c r="J455" t="s">
        <v>87</v>
      </c>
      <c r="K455" t="s">
        <v>88</v>
      </c>
      <c r="L455" t="s">
        <v>29</v>
      </c>
      <c r="M455" t="s">
        <v>30</v>
      </c>
      <c r="N455" t="s">
        <v>31</v>
      </c>
      <c r="Q455" t="s">
        <v>1423</v>
      </c>
      <c r="R455" t="s">
        <v>1423</v>
      </c>
    </row>
    <row r="456" spans="1:18" x14ac:dyDescent="0.3">
      <c r="A456" s="2" t="str">
        <f>HYPERLINK(B456,"Oppna PDF")</f>
        <v>Oppna PDF</v>
      </c>
      <c r="B456" t="s">
        <v>1424</v>
      </c>
      <c r="C456" t="s">
        <v>1425</v>
      </c>
      <c r="D456" t="s">
        <v>1409</v>
      </c>
      <c r="E456" t="s">
        <v>1426</v>
      </c>
      <c r="H456" t="s">
        <v>268</v>
      </c>
      <c r="I456" t="s">
        <v>1411</v>
      </c>
      <c r="J456" t="s">
        <v>91</v>
      </c>
      <c r="K456" t="s">
        <v>92</v>
      </c>
      <c r="L456" t="s">
        <v>29</v>
      </c>
      <c r="M456" t="s">
        <v>30</v>
      </c>
      <c r="N456" t="s">
        <v>31</v>
      </c>
      <c r="Q456" t="s">
        <v>1427</v>
      </c>
      <c r="R456" t="s">
        <v>1427</v>
      </c>
    </row>
    <row r="457" spans="1:18" x14ac:dyDescent="0.3">
      <c r="A457" s="2" t="str">
        <f>HYPERLINK(B457,"Oppna PDF")</f>
        <v>Oppna PDF</v>
      </c>
      <c r="B457" t="s">
        <v>1424</v>
      </c>
      <c r="C457" t="s">
        <v>1428</v>
      </c>
      <c r="D457" t="s">
        <v>1409</v>
      </c>
      <c r="E457" t="s">
        <v>1426</v>
      </c>
      <c r="H457" t="s">
        <v>268</v>
      </c>
      <c r="I457" t="s">
        <v>1411</v>
      </c>
      <c r="J457" t="s">
        <v>91</v>
      </c>
      <c r="K457" t="s">
        <v>92</v>
      </c>
      <c r="L457" t="s">
        <v>29</v>
      </c>
      <c r="M457" t="s">
        <v>30</v>
      </c>
      <c r="N457" t="s">
        <v>31</v>
      </c>
      <c r="Q457" t="s">
        <v>1419</v>
      </c>
      <c r="R457" t="s">
        <v>1419</v>
      </c>
    </row>
    <row r="458" spans="1:18" x14ac:dyDescent="0.3">
      <c r="A458" s="2" t="str">
        <f>HYPERLINK(B458,"Oppna PDF")</f>
        <v>Oppna PDF</v>
      </c>
      <c r="B458" t="s">
        <v>1424</v>
      </c>
      <c r="C458" t="s">
        <v>1429</v>
      </c>
      <c r="D458" t="s">
        <v>1409</v>
      </c>
      <c r="E458" t="s">
        <v>1426</v>
      </c>
      <c r="H458" t="s">
        <v>268</v>
      </c>
      <c r="I458" t="s">
        <v>1411</v>
      </c>
      <c r="J458" t="s">
        <v>87</v>
      </c>
      <c r="K458" t="s">
        <v>88</v>
      </c>
      <c r="L458" t="s">
        <v>29</v>
      </c>
      <c r="M458" t="s">
        <v>30</v>
      </c>
      <c r="N458" t="s">
        <v>31</v>
      </c>
      <c r="Q458" t="s">
        <v>1423</v>
      </c>
      <c r="R458" t="s">
        <v>1423</v>
      </c>
    </row>
    <row r="459" spans="1:18" x14ac:dyDescent="0.3">
      <c r="A459" s="2" t="str">
        <f>HYPERLINK(B459,"Oppna PDF")</f>
        <v>Oppna PDF</v>
      </c>
      <c r="B459" t="s">
        <v>1430</v>
      </c>
      <c r="C459" t="s">
        <v>1431</v>
      </c>
      <c r="D459" t="s">
        <v>1432</v>
      </c>
      <c r="E459" t="s">
        <v>1433</v>
      </c>
      <c r="F459" t="s">
        <v>1434</v>
      </c>
      <c r="G459" t="s">
        <v>1435</v>
      </c>
      <c r="H459" t="s">
        <v>61</v>
      </c>
      <c r="I459" t="s">
        <v>1436</v>
      </c>
      <c r="J459" t="s">
        <v>91</v>
      </c>
      <c r="K459" t="s">
        <v>92</v>
      </c>
      <c r="L459" t="s">
        <v>29</v>
      </c>
      <c r="M459" t="s">
        <v>30</v>
      </c>
      <c r="N459" t="s">
        <v>31</v>
      </c>
      <c r="Q459" t="s">
        <v>1437</v>
      </c>
      <c r="R459" t="s">
        <v>1437</v>
      </c>
    </row>
    <row r="460" spans="1:18" x14ac:dyDescent="0.3">
      <c r="A460" s="2" t="str">
        <f>HYPERLINK(B460,"Oppna PDF")</f>
        <v>Oppna PDF</v>
      </c>
      <c r="B460" t="s">
        <v>1430</v>
      </c>
      <c r="C460" t="s">
        <v>1438</v>
      </c>
      <c r="D460" t="s">
        <v>1432</v>
      </c>
      <c r="E460" t="s">
        <v>1433</v>
      </c>
      <c r="F460" t="s">
        <v>1434</v>
      </c>
      <c r="G460" t="s">
        <v>1435</v>
      </c>
      <c r="H460" t="s">
        <v>61</v>
      </c>
      <c r="I460" t="s">
        <v>1436</v>
      </c>
      <c r="J460" t="s">
        <v>27</v>
      </c>
      <c r="K460" t="s">
        <v>28</v>
      </c>
      <c r="L460" t="s">
        <v>29</v>
      </c>
      <c r="M460" t="s">
        <v>30</v>
      </c>
      <c r="N460" t="s">
        <v>31</v>
      </c>
      <c r="Q460" t="s">
        <v>1439</v>
      </c>
      <c r="R460" t="s">
        <v>1439</v>
      </c>
    </row>
    <row r="461" spans="1:18" x14ac:dyDescent="0.3">
      <c r="A461" s="2" t="str">
        <f>HYPERLINK(B461,"Oppna PDF")</f>
        <v>Oppna PDF</v>
      </c>
      <c r="B461" t="s">
        <v>1430</v>
      </c>
      <c r="C461" t="s">
        <v>1440</v>
      </c>
      <c r="D461" t="s">
        <v>1432</v>
      </c>
      <c r="E461" t="s">
        <v>1433</v>
      </c>
      <c r="F461" t="s">
        <v>1434</v>
      </c>
      <c r="G461" t="s">
        <v>1435</v>
      </c>
      <c r="H461" t="s">
        <v>61</v>
      </c>
      <c r="I461" t="s">
        <v>1436</v>
      </c>
      <c r="J461" t="s">
        <v>48</v>
      </c>
      <c r="K461" t="s">
        <v>49</v>
      </c>
      <c r="L461" t="s">
        <v>29</v>
      </c>
      <c r="M461" t="s">
        <v>30</v>
      </c>
      <c r="N461" t="s">
        <v>31</v>
      </c>
      <c r="Q461" t="s">
        <v>1441</v>
      </c>
      <c r="R461" t="s">
        <v>1441</v>
      </c>
    </row>
    <row r="462" spans="1:18" x14ac:dyDescent="0.3">
      <c r="A462" s="2" t="str">
        <f>HYPERLINK(B462,"Oppna PDF")</f>
        <v>Oppna PDF</v>
      </c>
      <c r="B462" t="s">
        <v>1442</v>
      </c>
      <c r="C462" t="s">
        <v>1443</v>
      </c>
      <c r="D462" t="s">
        <v>1432</v>
      </c>
      <c r="E462" t="s">
        <v>1444</v>
      </c>
      <c r="F462" t="s">
        <v>1434</v>
      </c>
      <c r="G462" t="s">
        <v>1435</v>
      </c>
      <c r="H462" t="s">
        <v>61</v>
      </c>
      <c r="I462" t="s">
        <v>1436</v>
      </c>
      <c r="J462" t="s">
        <v>38</v>
      </c>
      <c r="K462" t="s">
        <v>39</v>
      </c>
      <c r="L462" t="s">
        <v>29</v>
      </c>
      <c r="M462" t="s">
        <v>30</v>
      </c>
      <c r="N462" t="s">
        <v>31</v>
      </c>
      <c r="Q462" t="s">
        <v>1445</v>
      </c>
      <c r="R462" t="s">
        <v>1445</v>
      </c>
    </row>
    <row r="463" spans="1:18" x14ac:dyDescent="0.3">
      <c r="A463" s="2" t="str">
        <f>HYPERLINK(B463,"Oppna PDF")</f>
        <v>Oppna PDF</v>
      </c>
      <c r="B463" t="s">
        <v>1442</v>
      </c>
      <c r="C463" t="s">
        <v>1446</v>
      </c>
      <c r="D463" t="s">
        <v>1432</v>
      </c>
      <c r="E463" t="s">
        <v>1444</v>
      </c>
      <c r="F463" t="s">
        <v>1434</v>
      </c>
      <c r="G463" t="s">
        <v>1435</v>
      </c>
      <c r="H463" t="s">
        <v>61</v>
      </c>
      <c r="I463" t="s">
        <v>1436</v>
      </c>
      <c r="J463" t="s">
        <v>38</v>
      </c>
      <c r="K463" t="s">
        <v>39</v>
      </c>
      <c r="L463" t="s">
        <v>29</v>
      </c>
      <c r="M463" t="s">
        <v>30</v>
      </c>
      <c r="N463" t="s">
        <v>31</v>
      </c>
      <c r="Q463" t="s">
        <v>1447</v>
      </c>
      <c r="R463" t="s">
        <v>1447</v>
      </c>
    </row>
    <row r="464" spans="1:18" x14ac:dyDescent="0.3">
      <c r="A464" s="2" t="str">
        <f>HYPERLINK(B464,"Oppna PDF")</f>
        <v>Oppna PDF</v>
      </c>
      <c r="B464" t="s">
        <v>1442</v>
      </c>
      <c r="C464" t="s">
        <v>1448</v>
      </c>
      <c r="D464" t="s">
        <v>1432</v>
      </c>
      <c r="E464" t="s">
        <v>1444</v>
      </c>
      <c r="F464" t="s">
        <v>1434</v>
      </c>
      <c r="G464" t="s">
        <v>1435</v>
      </c>
      <c r="H464" t="s">
        <v>61</v>
      </c>
      <c r="I464" t="s">
        <v>1436</v>
      </c>
      <c r="J464" t="s">
        <v>38</v>
      </c>
      <c r="K464" t="s">
        <v>39</v>
      </c>
      <c r="L464" t="s">
        <v>29</v>
      </c>
      <c r="M464" t="s">
        <v>30</v>
      </c>
      <c r="N464" t="s">
        <v>31</v>
      </c>
      <c r="Q464" t="s">
        <v>1449</v>
      </c>
      <c r="R464" t="s">
        <v>1449</v>
      </c>
    </row>
    <row r="465" spans="1:18" x14ac:dyDescent="0.3">
      <c r="A465" s="2" t="str">
        <f>HYPERLINK(B465,"Oppna PDF")</f>
        <v>Oppna PDF</v>
      </c>
      <c r="B465" t="s">
        <v>1450</v>
      </c>
      <c r="C465" t="s">
        <v>1451</v>
      </c>
      <c r="D465" t="s">
        <v>1452</v>
      </c>
      <c r="E465" t="s">
        <v>1453</v>
      </c>
      <c r="H465" t="s">
        <v>25</v>
      </c>
      <c r="I465" t="s">
        <v>1454</v>
      </c>
      <c r="J465" t="s">
        <v>27</v>
      </c>
      <c r="K465" t="s">
        <v>28</v>
      </c>
      <c r="L465" t="s">
        <v>29</v>
      </c>
      <c r="M465" t="s">
        <v>30</v>
      </c>
      <c r="N465" t="s">
        <v>31</v>
      </c>
      <c r="Q465" t="s">
        <v>1455</v>
      </c>
      <c r="R465" t="s">
        <v>1455</v>
      </c>
    </row>
    <row r="466" spans="1:18" x14ac:dyDescent="0.3">
      <c r="A466" s="2" t="str">
        <f>HYPERLINK(B466,"Oppna PDF")</f>
        <v>Oppna PDF</v>
      </c>
      <c r="B466" t="s">
        <v>1450</v>
      </c>
      <c r="C466" t="s">
        <v>1456</v>
      </c>
      <c r="D466" t="s">
        <v>1452</v>
      </c>
      <c r="E466" t="s">
        <v>1453</v>
      </c>
      <c r="H466" t="s">
        <v>25</v>
      </c>
      <c r="I466" t="s">
        <v>1454</v>
      </c>
      <c r="J466" t="s">
        <v>91</v>
      </c>
      <c r="K466" t="s">
        <v>92</v>
      </c>
      <c r="L466" t="s">
        <v>29</v>
      </c>
      <c r="M466" t="s">
        <v>30</v>
      </c>
      <c r="N466" t="s">
        <v>31</v>
      </c>
      <c r="Q466" t="s">
        <v>1457</v>
      </c>
      <c r="R466" t="s">
        <v>1457</v>
      </c>
    </row>
    <row r="467" spans="1:18" x14ac:dyDescent="0.3">
      <c r="A467" s="2" t="str">
        <f>HYPERLINK(B467,"Oppna PDF")</f>
        <v>Oppna PDF</v>
      </c>
      <c r="B467" t="s">
        <v>1458</v>
      </c>
      <c r="C467" t="s">
        <v>1459</v>
      </c>
      <c r="D467" t="s">
        <v>852</v>
      </c>
      <c r="E467" t="s">
        <v>1460</v>
      </c>
      <c r="F467" t="s">
        <v>854</v>
      </c>
      <c r="G467" t="s">
        <v>855</v>
      </c>
      <c r="H467" t="s">
        <v>25</v>
      </c>
      <c r="I467" t="s">
        <v>856</v>
      </c>
      <c r="J467" t="s">
        <v>48</v>
      </c>
      <c r="K467" t="s">
        <v>49</v>
      </c>
      <c r="L467" t="s">
        <v>29</v>
      </c>
      <c r="M467" t="s">
        <v>30</v>
      </c>
      <c r="N467" t="s">
        <v>31</v>
      </c>
      <c r="Q467" t="s">
        <v>1461</v>
      </c>
      <c r="R467" t="s">
        <v>1462</v>
      </c>
    </row>
    <row r="468" spans="1:18" x14ac:dyDescent="0.3">
      <c r="A468" s="2" t="str">
        <f>HYPERLINK(B468,"Oppna PDF")</f>
        <v>Oppna PDF</v>
      </c>
      <c r="B468" t="s">
        <v>1463</v>
      </c>
      <c r="C468" t="s">
        <v>1464</v>
      </c>
      <c r="D468" t="s">
        <v>1452</v>
      </c>
      <c r="E468" t="s">
        <v>1465</v>
      </c>
      <c r="H468" t="s">
        <v>25</v>
      </c>
      <c r="I468" t="s">
        <v>1454</v>
      </c>
      <c r="J468" t="s">
        <v>48</v>
      </c>
      <c r="K468" t="s">
        <v>49</v>
      </c>
      <c r="L468" t="s">
        <v>29</v>
      </c>
      <c r="M468" t="s">
        <v>30</v>
      </c>
      <c r="N468" t="s">
        <v>31</v>
      </c>
      <c r="Q468" t="s">
        <v>1466</v>
      </c>
      <c r="R468" t="s">
        <v>1467</v>
      </c>
    </row>
    <row r="469" spans="1:18" x14ac:dyDescent="0.3">
      <c r="A469" s="2" t="str">
        <f>HYPERLINK(B469,"Oppna PDF")</f>
        <v>Oppna PDF</v>
      </c>
      <c r="B469" t="s">
        <v>1463</v>
      </c>
      <c r="C469" t="s">
        <v>1468</v>
      </c>
      <c r="D469" t="s">
        <v>1452</v>
      </c>
      <c r="E469" t="s">
        <v>1465</v>
      </c>
      <c r="H469" t="s">
        <v>25</v>
      </c>
      <c r="I469" t="s">
        <v>1454</v>
      </c>
      <c r="J469" t="s">
        <v>87</v>
      </c>
      <c r="K469" t="s">
        <v>88</v>
      </c>
      <c r="L469" t="s">
        <v>29</v>
      </c>
      <c r="M469" t="s">
        <v>30</v>
      </c>
      <c r="N469" t="s">
        <v>31</v>
      </c>
      <c r="Q469" t="s">
        <v>1469</v>
      </c>
      <c r="R469" t="s">
        <v>1470</v>
      </c>
    </row>
    <row r="470" spans="1:18" x14ac:dyDescent="0.3">
      <c r="A470" s="2" t="str">
        <f>HYPERLINK(B470,"Oppna PDF")</f>
        <v>Oppna PDF</v>
      </c>
      <c r="B470" t="s">
        <v>1463</v>
      </c>
      <c r="C470" t="s">
        <v>1471</v>
      </c>
      <c r="D470" t="s">
        <v>1452</v>
      </c>
      <c r="E470" t="s">
        <v>1465</v>
      </c>
      <c r="H470" t="s">
        <v>25</v>
      </c>
      <c r="I470" t="s">
        <v>1454</v>
      </c>
      <c r="J470" t="s">
        <v>27</v>
      </c>
      <c r="K470" t="s">
        <v>28</v>
      </c>
      <c r="L470" t="s">
        <v>29</v>
      </c>
      <c r="M470" t="s">
        <v>30</v>
      </c>
      <c r="N470" t="s">
        <v>31</v>
      </c>
      <c r="Q470" t="s">
        <v>1472</v>
      </c>
      <c r="R470" t="s">
        <v>1473</v>
      </c>
    </row>
    <row r="471" spans="1:18" x14ac:dyDescent="0.3">
      <c r="A471" s="2" t="str">
        <f>HYPERLINK(B471,"Oppna PDF")</f>
        <v>Oppna PDF</v>
      </c>
      <c r="B471" t="s">
        <v>1474</v>
      </c>
      <c r="C471" t="s">
        <v>1475</v>
      </c>
      <c r="D471" t="s">
        <v>536</v>
      </c>
      <c r="E471" t="s">
        <v>1476</v>
      </c>
      <c r="H471" t="s">
        <v>25</v>
      </c>
      <c r="I471" t="s">
        <v>538</v>
      </c>
      <c r="J471" t="s">
        <v>48</v>
      </c>
      <c r="K471" t="s">
        <v>49</v>
      </c>
      <c r="L471" t="s">
        <v>29</v>
      </c>
      <c r="M471" t="s">
        <v>30</v>
      </c>
      <c r="N471" t="s">
        <v>31</v>
      </c>
      <c r="Q471" t="s">
        <v>1477</v>
      </c>
      <c r="R471" t="s">
        <v>1477</v>
      </c>
    </row>
    <row r="472" spans="1:18" x14ac:dyDescent="0.3">
      <c r="A472" s="2" t="str">
        <f>HYPERLINK(B472,"Oppna PDF")</f>
        <v>Oppna PDF</v>
      </c>
      <c r="B472" t="s">
        <v>1474</v>
      </c>
      <c r="C472" t="s">
        <v>1478</v>
      </c>
      <c r="D472" t="s">
        <v>536</v>
      </c>
      <c r="E472" t="s">
        <v>1476</v>
      </c>
      <c r="H472" t="s">
        <v>25</v>
      </c>
      <c r="I472" t="s">
        <v>538</v>
      </c>
      <c r="J472" t="s">
        <v>48</v>
      </c>
      <c r="K472" t="s">
        <v>49</v>
      </c>
      <c r="L472" t="s">
        <v>29</v>
      </c>
      <c r="M472" t="s">
        <v>30</v>
      </c>
      <c r="N472" t="s">
        <v>31</v>
      </c>
      <c r="Q472" t="s">
        <v>1479</v>
      </c>
      <c r="R472" t="s">
        <v>1479</v>
      </c>
    </row>
    <row r="473" spans="1:18" x14ac:dyDescent="0.3">
      <c r="A473" s="2" t="str">
        <f>HYPERLINK(B473,"Oppna PDF")</f>
        <v>Oppna PDF</v>
      </c>
      <c r="B473" t="s">
        <v>1474</v>
      </c>
      <c r="C473" t="s">
        <v>1480</v>
      </c>
      <c r="D473" t="s">
        <v>536</v>
      </c>
      <c r="E473" t="s">
        <v>1476</v>
      </c>
      <c r="H473" t="s">
        <v>25</v>
      </c>
      <c r="I473" t="s">
        <v>538</v>
      </c>
      <c r="J473" t="s">
        <v>38</v>
      </c>
      <c r="K473" t="s">
        <v>39</v>
      </c>
      <c r="L473" t="s">
        <v>29</v>
      </c>
      <c r="M473" t="s">
        <v>30</v>
      </c>
      <c r="N473" t="s">
        <v>31</v>
      </c>
      <c r="Q473" t="s">
        <v>1481</v>
      </c>
      <c r="R473" t="s">
        <v>1481</v>
      </c>
    </row>
    <row r="474" spans="1:18" x14ac:dyDescent="0.3">
      <c r="A474" s="2" t="str">
        <f>HYPERLINK(B474,"Oppna PDF")</f>
        <v>Oppna PDF</v>
      </c>
      <c r="B474" t="s">
        <v>1482</v>
      </c>
      <c r="C474" t="s">
        <v>1483</v>
      </c>
      <c r="D474" t="s">
        <v>1134</v>
      </c>
      <c r="E474" t="s">
        <v>1484</v>
      </c>
      <c r="H474" t="s">
        <v>61</v>
      </c>
      <c r="I474" t="s">
        <v>1136</v>
      </c>
      <c r="J474" t="s">
        <v>48</v>
      </c>
      <c r="K474" t="s">
        <v>49</v>
      </c>
      <c r="L474" t="s">
        <v>29</v>
      </c>
      <c r="M474" t="s">
        <v>30</v>
      </c>
      <c r="N474" t="s">
        <v>31</v>
      </c>
      <c r="Q474" t="s">
        <v>1485</v>
      </c>
      <c r="R474" t="s">
        <v>1486</v>
      </c>
    </row>
    <row r="475" spans="1:18" x14ac:dyDescent="0.3">
      <c r="A475" s="2" t="str">
        <f>HYPERLINK(B475,"Oppna PDF")</f>
        <v>Oppna PDF</v>
      </c>
      <c r="B475" t="s">
        <v>1487</v>
      </c>
      <c r="C475" t="s">
        <v>1488</v>
      </c>
      <c r="D475" t="s">
        <v>1489</v>
      </c>
      <c r="E475" t="s">
        <v>1490</v>
      </c>
      <c r="H475" t="s">
        <v>61</v>
      </c>
      <c r="I475" t="s">
        <v>1491</v>
      </c>
      <c r="J475" t="s">
        <v>87</v>
      </c>
      <c r="K475" t="s">
        <v>88</v>
      </c>
      <c r="L475" t="s">
        <v>29</v>
      </c>
      <c r="M475" t="s">
        <v>30</v>
      </c>
      <c r="N475" t="s">
        <v>31</v>
      </c>
      <c r="Q475" t="s">
        <v>1492</v>
      </c>
      <c r="R475" t="s">
        <v>1493</v>
      </c>
    </row>
    <row r="476" spans="1:18" x14ac:dyDescent="0.3">
      <c r="A476" s="2" t="str">
        <f>HYPERLINK(B476,"Oppna PDF")</f>
        <v>Oppna PDF</v>
      </c>
      <c r="B476" t="s">
        <v>1487</v>
      </c>
      <c r="C476" t="s">
        <v>1494</v>
      </c>
      <c r="D476" t="s">
        <v>1489</v>
      </c>
      <c r="E476" t="s">
        <v>1490</v>
      </c>
      <c r="H476" t="s">
        <v>61</v>
      </c>
      <c r="I476" t="s">
        <v>1491</v>
      </c>
      <c r="J476" t="s">
        <v>91</v>
      </c>
      <c r="K476" t="s">
        <v>92</v>
      </c>
      <c r="L476" t="s">
        <v>29</v>
      </c>
      <c r="M476" t="s">
        <v>30</v>
      </c>
      <c r="N476" t="s">
        <v>31</v>
      </c>
      <c r="Q476" t="s">
        <v>1495</v>
      </c>
      <c r="R476" t="s">
        <v>1495</v>
      </c>
    </row>
    <row r="477" spans="1:18" x14ac:dyDescent="0.3">
      <c r="A477" s="2" t="str">
        <f>HYPERLINK(B477,"Oppna PDF")</f>
        <v>Oppna PDF</v>
      </c>
      <c r="B477" t="s">
        <v>1496</v>
      </c>
      <c r="C477" t="s">
        <v>1497</v>
      </c>
      <c r="D477" t="s">
        <v>1489</v>
      </c>
      <c r="E477" t="s">
        <v>1498</v>
      </c>
      <c r="H477" t="s">
        <v>61</v>
      </c>
      <c r="I477" t="s">
        <v>1491</v>
      </c>
      <c r="J477" t="s">
        <v>87</v>
      </c>
      <c r="K477" t="s">
        <v>88</v>
      </c>
      <c r="L477" t="s">
        <v>142</v>
      </c>
      <c r="M477" t="s">
        <v>30</v>
      </c>
      <c r="N477" t="s">
        <v>31</v>
      </c>
      <c r="Q477" t="s">
        <v>1499</v>
      </c>
      <c r="R477" t="s">
        <v>1499</v>
      </c>
    </row>
    <row r="478" spans="1:18" x14ac:dyDescent="0.3">
      <c r="A478" s="2" t="str">
        <f>HYPERLINK(B478,"Oppna PDF")</f>
        <v>Oppna PDF</v>
      </c>
      <c r="B478" t="s">
        <v>1496</v>
      </c>
      <c r="C478" t="s">
        <v>1500</v>
      </c>
      <c r="D478" t="s">
        <v>1489</v>
      </c>
      <c r="E478" t="s">
        <v>1498</v>
      </c>
      <c r="H478" t="s">
        <v>61</v>
      </c>
      <c r="I478" t="s">
        <v>1491</v>
      </c>
      <c r="J478" t="s">
        <v>87</v>
      </c>
      <c r="K478" t="s">
        <v>88</v>
      </c>
      <c r="L478" t="s">
        <v>142</v>
      </c>
      <c r="M478" t="s">
        <v>30</v>
      </c>
      <c r="N478" t="s">
        <v>31</v>
      </c>
      <c r="Q478" t="s">
        <v>1501</v>
      </c>
      <c r="R478" t="s">
        <v>1501</v>
      </c>
    </row>
    <row r="479" spans="1:18" x14ac:dyDescent="0.3">
      <c r="A479" s="2" t="str">
        <f>HYPERLINK(B479,"Oppna PDF")</f>
        <v>Oppna PDF</v>
      </c>
      <c r="B479" t="s">
        <v>1502</v>
      </c>
      <c r="C479" t="s">
        <v>1503</v>
      </c>
      <c r="D479" t="s">
        <v>1504</v>
      </c>
      <c r="E479" t="s">
        <v>1505</v>
      </c>
      <c r="H479" t="s">
        <v>61</v>
      </c>
      <c r="I479" t="s">
        <v>1506</v>
      </c>
      <c r="J479" t="s">
        <v>87</v>
      </c>
      <c r="K479" t="s">
        <v>88</v>
      </c>
      <c r="L479" t="s">
        <v>300</v>
      </c>
      <c r="M479" t="s">
        <v>30</v>
      </c>
      <c r="N479" t="s">
        <v>31</v>
      </c>
      <c r="Q479" t="s">
        <v>1507</v>
      </c>
      <c r="R479" t="s">
        <v>1508</v>
      </c>
    </row>
    <row r="480" spans="1:18" x14ac:dyDescent="0.3">
      <c r="A480" s="2" t="str">
        <f>HYPERLINK(B480,"Oppna PDF")</f>
        <v>Oppna PDF</v>
      </c>
      <c r="B480" t="s">
        <v>1509</v>
      </c>
      <c r="C480" t="s">
        <v>1510</v>
      </c>
      <c r="D480" t="s">
        <v>1504</v>
      </c>
      <c r="E480" t="s">
        <v>1511</v>
      </c>
      <c r="H480" t="s">
        <v>61</v>
      </c>
      <c r="I480" t="s">
        <v>1506</v>
      </c>
      <c r="J480" t="s">
        <v>209</v>
      </c>
      <c r="K480" t="s">
        <v>210</v>
      </c>
      <c r="L480" t="s">
        <v>142</v>
      </c>
      <c r="M480" t="s">
        <v>30</v>
      </c>
      <c r="N480" t="s">
        <v>31</v>
      </c>
      <c r="Q480" t="s">
        <v>1512</v>
      </c>
      <c r="R480" t="s">
        <v>1513</v>
      </c>
    </row>
    <row r="481" spans="1:18" x14ac:dyDescent="0.3">
      <c r="A481" s="2" t="str">
        <f>HYPERLINK(B481,"Oppna PDF")</f>
        <v>Oppna PDF</v>
      </c>
      <c r="B481" t="s">
        <v>1514</v>
      </c>
      <c r="C481" t="s">
        <v>1515</v>
      </c>
      <c r="D481" t="s">
        <v>637</v>
      </c>
      <c r="E481" t="s">
        <v>1516</v>
      </c>
      <c r="H481" t="s">
        <v>25</v>
      </c>
      <c r="I481" t="s">
        <v>639</v>
      </c>
      <c r="J481" t="s">
        <v>27</v>
      </c>
      <c r="K481" t="s">
        <v>28</v>
      </c>
      <c r="L481" t="s">
        <v>29</v>
      </c>
      <c r="M481" t="s">
        <v>30</v>
      </c>
      <c r="N481" t="s">
        <v>31</v>
      </c>
      <c r="Q481" t="s">
        <v>1517</v>
      </c>
      <c r="R481" t="s">
        <v>1517</v>
      </c>
    </row>
    <row r="482" spans="1:18" x14ac:dyDescent="0.3">
      <c r="A482" s="2" t="str">
        <f>HYPERLINK(B482,"Oppna PDF")</f>
        <v>Oppna PDF</v>
      </c>
      <c r="B482" t="s">
        <v>1518</v>
      </c>
      <c r="C482" t="s">
        <v>1519</v>
      </c>
      <c r="D482" t="s">
        <v>637</v>
      </c>
      <c r="E482" t="s">
        <v>1520</v>
      </c>
      <c r="H482" t="s">
        <v>25</v>
      </c>
      <c r="I482" t="s">
        <v>639</v>
      </c>
      <c r="J482" t="s">
        <v>38</v>
      </c>
      <c r="K482" t="s">
        <v>39</v>
      </c>
      <c r="L482" t="s">
        <v>29</v>
      </c>
      <c r="M482" t="s">
        <v>30</v>
      </c>
      <c r="N482" t="s">
        <v>31</v>
      </c>
      <c r="Q482" t="s">
        <v>1521</v>
      </c>
      <c r="R482" t="s">
        <v>1522</v>
      </c>
    </row>
    <row r="483" spans="1:18" x14ac:dyDescent="0.3">
      <c r="A483" s="2" t="str">
        <f>HYPERLINK(B483,"Oppna PDF")</f>
        <v>Oppna PDF</v>
      </c>
      <c r="B483" t="s">
        <v>1523</v>
      </c>
      <c r="C483" t="s">
        <v>1524</v>
      </c>
      <c r="D483" t="s">
        <v>860</v>
      </c>
      <c r="E483" t="s">
        <v>1525</v>
      </c>
      <c r="F483" t="s">
        <v>862</v>
      </c>
      <c r="G483" t="s">
        <v>863</v>
      </c>
      <c r="H483" t="s">
        <v>61</v>
      </c>
      <c r="I483" t="s">
        <v>864</v>
      </c>
      <c r="J483" t="s">
        <v>34</v>
      </c>
      <c r="K483" t="s">
        <v>35</v>
      </c>
      <c r="L483" t="s">
        <v>29</v>
      </c>
      <c r="M483" t="s">
        <v>30</v>
      </c>
      <c r="N483" t="s">
        <v>31</v>
      </c>
      <c r="Q483" t="s">
        <v>1526</v>
      </c>
      <c r="R483" t="s">
        <v>1526</v>
      </c>
    </row>
    <row r="484" spans="1:18" x14ac:dyDescent="0.3">
      <c r="A484" s="2" t="str">
        <f>HYPERLINK(B484,"Oppna PDF")</f>
        <v>Oppna PDF</v>
      </c>
      <c r="B484" t="s">
        <v>1523</v>
      </c>
      <c r="C484" t="s">
        <v>1527</v>
      </c>
      <c r="D484" t="s">
        <v>860</v>
      </c>
      <c r="E484" t="s">
        <v>1525</v>
      </c>
      <c r="F484" t="s">
        <v>862</v>
      </c>
      <c r="G484" t="s">
        <v>863</v>
      </c>
      <c r="H484" t="s">
        <v>61</v>
      </c>
      <c r="I484" t="s">
        <v>864</v>
      </c>
      <c r="J484" t="s">
        <v>27</v>
      </c>
      <c r="K484" t="s">
        <v>28</v>
      </c>
      <c r="L484" t="s">
        <v>29</v>
      </c>
      <c r="M484" t="s">
        <v>30</v>
      </c>
      <c r="N484" t="s">
        <v>31</v>
      </c>
      <c r="Q484" t="s">
        <v>1528</v>
      </c>
      <c r="R484" t="s">
        <v>1528</v>
      </c>
    </row>
    <row r="485" spans="1:18" x14ac:dyDescent="0.3">
      <c r="A485" s="2" t="str">
        <f>HYPERLINK(B485,"Oppna PDF")</f>
        <v>Oppna PDF</v>
      </c>
      <c r="B485" t="s">
        <v>1523</v>
      </c>
      <c r="C485" t="s">
        <v>1529</v>
      </c>
      <c r="D485" t="s">
        <v>860</v>
      </c>
      <c r="E485" t="s">
        <v>1525</v>
      </c>
      <c r="F485" t="s">
        <v>862</v>
      </c>
      <c r="G485" t="s">
        <v>863</v>
      </c>
      <c r="H485" t="s">
        <v>61</v>
      </c>
      <c r="I485" t="s">
        <v>864</v>
      </c>
      <c r="J485" t="s">
        <v>27</v>
      </c>
      <c r="K485" t="s">
        <v>28</v>
      </c>
      <c r="L485" t="s">
        <v>29</v>
      </c>
      <c r="M485" t="s">
        <v>30</v>
      </c>
      <c r="N485" t="s">
        <v>31</v>
      </c>
      <c r="Q485" t="s">
        <v>1530</v>
      </c>
      <c r="R485" t="s">
        <v>1531</v>
      </c>
    </row>
    <row r="486" spans="1:18" x14ac:dyDescent="0.3">
      <c r="A486" s="2" t="str">
        <f>HYPERLINK(B486,"Oppna PDF")</f>
        <v>Oppna PDF</v>
      </c>
      <c r="B486" t="s">
        <v>1532</v>
      </c>
      <c r="C486" t="s">
        <v>1533</v>
      </c>
      <c r="D486" t="s">
        <v>860</v>
      </c>
      <c r="E486" t="s">
        <v>1534</v>
      </c>
      <c r="F486" t="s">
        <v>862</v>
      </c>
      <c r="G486" t="s">
        <v>863</v>
      </c>
      <c r="H486" t="s">
        <v>61</v>
      </c>
      <c r="I486" t="s">
        <v>864</v>
      </c>
      <c r="J486" t="s">
        <v>48</v>
      </c>
      <c r="K486" t="s">
        <v>49</v>
      </c>
      <c r="L486" t="s">
        <v>29</v>
      </c>
      <c r="M486" t="s">
        <v>30</v>
      </c>
      <c r="N486" t="s">
        <v>31</v>
      </c>
      <c r="Q486" t="s">
        <v>1535</v>
      </c>
      <c r="R486" t="s">
        <v>1535</v>
      </c>
    </row>
    <row r="487" spans="1:18" x14ac:dyDescent="0.3">
      <c r="A487" s="2" t="str">
        <f>HYPERLINK(B487,"Oppna PDF")</f>
        <v>Oppna PDF</v>
      </c>
      <c r="B487" t="s">
        <v>1532</v>
      </c>
      <c r="C487" t="s">
        <v>1536</v>
      </c>
      <c r="D487" t="s">
        <v>860</v>
      </c>
      <c r="E487" t="s">
        <v>1534</v>
      </c>
      <c r="F487" t="s">
        <v>862</v>
      </c>
      <c r="G487" t="s">
        <v>863</v>
      </c>
      <c r="H487" t="s">
        <v>61</v>
      </c>
      <c r="I487" t="s">
        <v>864</v>
      </c>
      <c r="J487" t="s">
        <v>48</v>
      </c>
      <c r="K487" t="s">
        <v>49</v>
      </c>
      <c r="L487" t="s">
        <v>29</v>
      </c>
      <c r="M487" t="s">
        <v>30</v>
      </c>
      <c r="N487" t="s">
        <v>31</v>
      </c>
      <c r="Q487" t="s">
        <v>1537</v>
      </c>
      <c r="R487" t="s">
        <v>1537</v>
      </c>
    </row>
    <row r="488" spans="1:18" x14ac:dyDescent="0.3">
      <c r="A488" s="2" t="str">
        <f>HYPERLINK(B488,"Oppna PDF")</f>
        <v>Oppna PDF</v>
      </c>
      <c r="B488" t="s">
        <v>1538</v>
      </c>
      <c r="C488" t="s">
        <v>1539</v>
      </c>
      <c r="D488" t="s">
        <v>860</v>
      </c>
      <c r="E488" t="s">
        <v>1540</v>
      </c>
      <c r="F488" t="s">
        <v>862</v>
      </c>
      <c r="G488" t="s">
        <v>863</v>
      </c>
      <c r="H488" t="s">
        <v>61</v>
      </c>
      <c r="I488" t="s">
        <v>864</v>
      </c>
      <c r="J488" t="s">
        <v>87</v>
      </c>
      <c r="K488" t="s">
        <v>88</v>
      </c>
      <c r="L488" t="s">
        <v>29</v>
      </c>
      <c r="M488" t="s">
        <v>30</v>
      </c>
      <c r="N488" t="s">
        <v>31</v>
      </c>
      <c r="Q488" t="s">
        <v>1541</v>
      </c>
      <c r="R488" t="s">
        <v>1541</v>
      </c>
    </row>
    <row r="489" spans="1:18" x14ac:dyDescent="0.3">
      <c r="A489" s="2" t="str">
        <f>HYPERLINK(B489,"Oppna PDF")</f>
        <v>Oppna PDF</v>
      </c>
      <c r="B489" t="s">
        <v>1538</v>
      </c>
      <c r="C489" t="s">
        <v>1542</v>
      </c>
      <c r="D489" t="s">
        <v>860</v>
      </c>
      <c r="E489" t="s">
        <v>1540</v>
      </c>
      <c r="F489" t="s">
        <v>862</v>
      </c>
      <c r="G489" t="s">
        <v>863</v>
      </c>
      <c r="H489" t="s">
        <v>61</v>
      </c>
      <c r="I489" t="s">
        <v>864</v>
      </c>
      <c r="J489" t="s">
        <v>87</v>
      </c>
      <c r="K489" t="s">
        <v>88</v>
      </c>
      <c r="L489" t="s">
        <v>29</v>
      </c>
      <c r="M489" t="s">
        <v>30</v>
      </c>
      <c r="N489" t="s">
        <v>31</v>
      </c>
      <c r="Q489" t="s">
        <v>1543</v>
      </c>
      <c r="R489" t="s">
        <v>1543</v>
      </c>
    </row>
    <row r="490" spans="1:18" x14ac:dyDescent="0.3">
      <c r="A490" s="2" t="str">
        <f>HYPERLINK(B490,"Oppna PDF")</f>
        <v>Oppna PDF</v>
      </c>
      <c r="B490" t="s">
        <v>1538</v>
      </c>
      <c r="C490" t="s">
        <v>1544</v>
      </c>
      <c r="D490" t="s">
        <v>860</v>
      </c>
      <c r="E490" t="s">
        <v>1540</v>
      </c>
      <c r="F490" t="s">
        <v>862</v>
      </c>
      <c r="G490" t="s">
        <v>863</v>
      </c>
      <c r="H490" t="s">
        <v>61</v>
      </c>
      <c r="I490" t="s">
        <v>864</v>
      </c>
      <c r="J490" t="s">
        <v>91</v>
      </c>
      <c r="K490" t="s">
        <v>92</v>
      </c>
      <c r="L490" t="s">
        <v>29</v>
      </c>
      <c r="M490" t="s">
        <v>30</v>
      </c>
      <c r="N490" t="s">
        <v>31</v>
      </c>
      <c r="Q490" t="s">
        <v>1545</v>
      </c>
      <c r="R490" t="s">
        <v>1545</v>
      </c>
    </row>
    <row r="491" spans="1:18" x14ac:dyDescent="0.3">
      <c r="A491" s="2" t="str">
        <f>HYPERLINK(B491,"Oppna PDF")</f>
        <v>Oppna PDF</v>
      </c>
      <c r="B491" t="s">
        <v>1546</v>
      </c>
      <c r="C491" t="s">
        <v>1547</v>
      </c>
      <c r="D491" t="s">
        <v>860</v>
      </c>
      <c r="E491" t="s">
        <v>1548</v>
      </c>
      <c r="F491" t="s">
        <v>862</v>
      </c>
      <c r="G491" t="s">
        <v>863</v>
      </c>
      <c r="H491" t="s">
        <v>61</v>
      </c>
      <c r="I491" t="s">
        <v>864</v>
      </c>
      <c r="J491" t="s">
        <v>48</v>
      </c>
      <c r="K491" t="s">
        <v>49</v>
      </c>
      <c r="L491" t="s">
        <v>29</v>
      </c>
      <c r="M491" t="s">
        <v>30</v>
      </c>
      <c r="N491" t="s">
        <v>31</v>
      </c>
      <c r="Q491" t="s">
        <v>865</v>
      </c>
      <c r="R491" t="s">
        <v>865</v>
      </c>
    </row>
    <row r="492" spans="1:18" x14ac:dyDescent="0.3">
      <c r="A492" s="2" t="str">
        <f>HYPERLINK(B492,"Oppna PDF")</f>
        <v>Oppna PDF</v>
      </c>
      <c r="B492" t="s">
        <v>1546</v>
      </c>
      <c r="C492" t="s">
        <v>1549</v>
      </c>
      <c r="D492" t="s">
        <v>860</v>
      </c>
      <c r="E492" t="s">
        <v>1548</v>
      </c>
      <c r="F492" t="s">
        <v>862</v>
      </c>
      <c r="G492" t="s">
        <v>863</v>
      </c>
      <c r="H492" t="s">
        <v>61</v>
      </c>
      <c r="I492" t="s">
        <v>864</v>
      </c>
      <c r="J492" t="s">
        <v>27</v>
      </c>
      <c r="K492" t="s">
        <v>28</v>
      </c>
      <c r="L492" t="s">
        <v>29</v>
      </c>
      <c r="M492" t="s">
        <v>30</v>
      </c>
      <c r="N492" t="s">
        <v>31</v>
      </c>
      <c r="Q492" t="s">
        <v>1550</v>
      </c>
      <c r="R492" t="s">
        <v>1550</v>
      </c>
    </row>
    <row r="493" spans="1:18" x14ac:dyDescent="0.3">
      <c r="A493" s="2" t="str">
        <f>HYPERLINK(B493,"Oppna PDF")</f>
        <v>Oppna PDF</v>
      </c>
      <c r="B493" t="s">
        <v>1546</v>
      </c>
      <c r="C493" t="s">
        <v>1551</v>
      </c>
      <c r="D493" t="s">
        <v>860</v>
      </c>
      <c r="E493" t="s">
        <v>1548</v>
      </c>
      <c r="F493" t="s">
        <v>862</v>
      </c>
      <c r="G493" t="s">
        <v>863</v>
      </c>
      <c r="H493" t="s">
        <v>61</v>
      </c>
      <c r="I493" t="s">
        <v>864</v>
      </c>
      <c r="J493" t="s">
        <v>48</v>
      </c>
      <c r="K493" t="s">
        <v>49</v>
      </c>
      <c r="L493" t="s">
        <v>29</v>
      </c>
      <c r="M493" t="s">
        <v>30</v>
      </c>
      <c r="N493" t="s">
        <v>31</v>
      </c>
      <c r="Q493" t="s">
        <v>1552</v>
      </c>
      <c r="R493" t="s">
        <v>1552</v>
      </c>
    </row>
    <row r="494" spans="1:18" x14ac:dyDescent="0.3">
      <c r="A494" s="2" t="str">
        <f>HYPERLINK(B494,"Oppna PDF")</f>
        <v>Oppna PDF</v>
      </c>
      <c r="B494" t="s">
        <v>1553</v>
      </c>
      <c r="C494" t="s">
        <v>1554</v>
      </c>
      <c r="D494" t="s">
        <v>1555</v>
      </c>
      <c r="E494" t="s">
        <v>1556</v>
      </c>
      <c r="F494" t="s">
        <v>1557</v>
      </c>
      <c r="G494" t="s">
        <v>1558</v>
      </c>
      <c r="H494" t="s">
        <v>61</v>
      </c>
      <c r="I494" t="s">
        <v>1559</v>
      </c>
      <c r="J494" t="s">
        <v>91</v>
      </c>
      <c r="K494" t="s">
        <v>92</v>
      </c>
      <c r="L494" t="s">
        <v>29</v>
      </c>
      <c r="M494" t="s">
        <v>30</v>
      </c>
      <c r="N494" t="s">
        <v>31</v>
      </c>
      <c r="Q494" t="s">
        <v>1560</v>
      </c>
      <c r="R494" t="s">
        <v>1560</v>
      </c>
    </row>
    <row r="495" spans="1:18" x14ac:dyDescent="0.3">
      <c r="A495" s="2" t="str">
        <f>HYPERLINK(B495,"Oppna PDF")</f>
        <v>Oppna PDF</v>
      </c>
      <c r="B495" t="s">
        <v>1553</v>
      </c>
      <c r="C495" t="s">
        <v>1561</v>
      </c>
      <c r="D495" t="s">
        <v>1555</v>
      </c>
      <c r="E495" t="s">
        <v>1556</v>
      </c>
      <c r="F495" t="s">
        <v>1557</v>
      </c>
      <c r="G495" t="s">
        <v>1558</v>
      </c>
      <c r="H495" t="s">
        <v>61</v>
      </c>
      <c r="I495" t="s">
        <v>1559</v>
      </c>
      <c r="J495" t="s">
        <v>38</v>
      </c>
      <c r="K495" t="s">
        <v>39</v>
      </c>
      <c r="L495" t="s">
        <v>29</v>
      </c>
      <c r="M495" t="s">
        <v>30</v>
      </c>
      <c r="N495" t="s">
        <v>31</v>
      </c>
      <c r="Q495" t="s">
        <v>1562</v>
      </c>
      <c r="R495" t="s">
        <v>1562</v>
      </c>
    </row>
    <row r="496" spans="1:18" x14ac:dyDescent="0.3">
      <c r="A496" s="2" t="str">
        <f>HYPERLINK(B496,"Oppna PDF")</f>
        <v>Oppna PDF</v>
      </c>
      <c r="B496" t="s">
        <v>1553</v>
      </c>
      <c r="C496" t="s">
        <v>1563</v>
      </c>
      <c r="D496" t="s">
        <v>1555</v>
      </c>
      <c r="E496" t="s">
        <v>1556</v>
      </c>
      <c r="F496" t="s">
        <v>1557</v>
      </c>
      <c r="G496" t="s">
        <v>1558</v>
      </c>
      <c r="H496" t="s">
        <v>61</v>
      </c>
      <c r="I496" t="s">
        <v>1559</v>
      </c>
      <c r="J496" t="s">
        <v>27</v>
      </c>
      <c r="K496" t="s">
        <v>28</v>
      </c>
      <c r="L496" t="s">
        <v>29</v>
      </c>
      <c r="M496" t="s">
        <v>30</v>
      </c>
      <c r="N496" t="s">
        <v>31</v>
      </c>
      <c r="Q496" t="s">
        <v>1564</v>
      </c>
      <c r="R496" t="s">
        <v>1564</v>
      </c>
    </row>
    <row r="497" spans="1:18" x14ac:dyDescent="0.3">
      <c r="A497" s="2" t="str">
        <f>HYPERLINK(B497,"Oppna PDF")</f>
        <v>Oppna PDF</v>
      </c>
      <c r="B497" t="s">
        <v>1565</v>
      </c>
      <c r="C497" t="s">
        <v>1566</v>
      </c>
      <c r="D497" t="s">
        <v>667</v>
      </c>
      <c r="E497" t="s">
        <v>1567</v>
      </c>
      <c r="F497" t="s">
        <v>669</v>
      </c>
      <c r="G497" t="s">
        <v>670</v>
      </c>
      <c r="H497" t="s">
        <v>61</v>
      </c>
      <c r="I497" t="s">
        <v>671</v>
      </c>
      <c r="J497" t="s">
        <v>38</v>
      </c>
      <c r="K497" t="s">
        <v>39</v>
      </c>
      <c r="L497" t="s">
        <v>29</v>
      </c>
      <c r="M497" t="s">
        <v>30</v>
      </c>
      <c r="N497" t="s">
        <v>31</v>
      </c>
      <c r="Q497" t="s">
        <v>1568</v>
      </c>
      <c r="R497" t="s">
        <v>1568</v>
      </c>
    </row>
    <row r="498" spans="1:18" x14ac:dyDescent="0.3">
      <c r="A498" s="2" t="str">
        <f>HYPERLINK(B498,"Oppna PDF")</f>
        <v>Oppna PDF</v>
      </c>
      <c r="B498" t="s">
        <v>1569</v>
      </c>
      <c r="C498" t="s">
        <v>1570</v>
      </c>
      <c r="D498" t="s">
        <v>1571</v>
      </c>
      <c r="E498" t="s">
        <v>1572</v>
      </c>
      <c r="H498" t="s">
        <v>61</v>
      </c>
      <c r="I498" t="s">
        <v>1573</v>
      </c>
      <c r="J498" t="s">
        <v>27</v>
      </c>
      <c r="K498" t="s">
        <v>28</v>
      </c>
      <c r="L498" t="s">
        <v>29</v>
      </c>
      <c r="M498" t="s">
        <v>30</v>
      </c>
      <c r="N498" t="s">
        <v>31</v>
      </c>
      <c r="Q498" t="s">
        <v>1574</v>
      </c>
      <c r="R498" t="s">
        <v>1574</v>
      </c>
    </row>
    <row r="499" spans="1:18" x14ac:dyDescent="0.3">
      <c r="A499" s="2" t="str">
        <f>HYPERLINK(B499,"Oppna PDF")</f>
        <v>Oppna PDF</v>
      </c>
      <c r="B499" t="s">
        <v>1569</v>
      </c>
      <c r="C499" t="s">
        <v>1575</v>
      </c>
      <c r="D499" t="s">
        <v>1571</v>
      </c>
      <c r="E499" t="s">
        <v>1572</v>
      </c>
      <c r="H499" t="s">
        <v>61</v>
      </c>
      <c r="I499" t="s">
        <v>1573</v>
      </c>
      <c r="J499" t="s">
        <v>27</v>
      </c>
      <c r="K499" t="s">
        <v>28</v>
      </c>
      <c r="L499" t="s">
        <v>29</v>
      </c>
      <c r="M499" t="s">
        <v>30</v>
      </c>
      <c r="N499" t="s">
        <v>31</v>
      </c>
      <c r="Q499" t="s">
        <v>1576</v>
      </c>
      <c r="R499" t="s">
        <v>1577</v>
      </c>
    </row>
    <row r="500" spans="1:18" x14ac:dyDescent="0.3">
      <c r="A500" s="2" t="str">
        <f>HYPERLINK(B500,"Oppna PDF")</f>
        <v>Oppna PDF</v>
      </c>
      <c r="B500" t="s">
        <v>1569</v>
      </c>
      <c r="C500" t="s">
        <v>1578</v>
      </c>
      <c r="D500" t="s">
        <v>1571</v>
      </c>
      <c r="E500" t="s">
        <v>1572</v>
      </c>
      <c r="H500" t="s">
        <v>61</v>
      </c>
      <c r="I500" t="s">
        <v>1573</v>
      </c>
      <c r="J500" t="s">
        <v>27</v>
      </c>
      <c r="K500" t="s">
        <v>28</v>
      </c>
      <c r="L500" t="s">
        <v>29</v>
      </c>
      <c r="M500" t="s">
        <v>30</v>
      </c>
      <c r="N500" t="s">
        <v>31</v>
      </c>
      <c r="Q500" t="s">
        <v>44</v>
      </c>
      <c r="R500" t="s">
        <v>44</v>
      </c>
    </row>
    <row r="501" spans="1:18" x14ac:dyDescent="0.3">
      <c r="A501" s="2" t="str">
        <f>HYPERLINK(B501,"Oppna PDF")</f>
        <v>Oppna PDF</v>
      </c>
      <c r="B501" t="s">
        <v>1579</v>
      </c>
      <c r="C501" t="s">
        <v>1580</v>
      </c>
      <c r="D501" t="s">
        <v>1571</v>
      </c>
      <c r="E501" t="s">
        <v>1581</v>
      </c>
      <c r="H501" t="s">
        <v>61</v>
      </c>
      <c r="I501" t="s">
        <v>1573</v>
      </c>
      <c r="J501" t="s">
        <v>34</v>
      </c>
      <c r="K501" t="s">
        <v>35</v>
      </c>
      <c r="L501" t="s">
        <v>29</v>
      </c>
      <c r="M501" t="s">
        <v>30</v>
      </c>
      <c r="N501" t="s">
        <v>31</v>
      </c>
      <c r="Q501" t="s">
        <v>700</v>
      </c>
      <c r="R501" t="s">
        <v>701</v>
      </c>
    </row>
    <row r="502" spans="1:18" x14ac:dyDescent="0.3">
      <c r="A502" s="2" t="str">
        <f>HYPERLINK(B502,"Oppna PDF")</f>
        <v>Oppna PDF</v>
      </c>
      <c r="B502" t="s">
        <v>1579</v>
      </c>
      <c r="C502" t="s">
        <v>1582</v>
      </c>
      <c r="D502" t="s">
        <v>1571</v>
      </c>
      <c r="E502" t="s">
        <v>1581</v>
      </c>
      <c r="H502" t="s">
        <v>61</v>
      </c>
      <c r="I502" t="s">
        <v>1573</v>
      </c>
      <c r="J502" t="s">
        <v>91</v>
      </c>
      <c r="K502" t="s">
        <v>92</v>
      </c>
      <c r="L502" t="s">
        <v>29</v>
      </c>
      <c r="M502" t="s">
        <v>30</v>
      </c>
      <c r="N502" t="s">
        <v>31</v>
      </c>
      <c r="Q502" t="s">
        <v>703</v>
      </c>
      <c r="R502" t="s">
        <v>704</v>
      </c>
    </row>
    <row r="503" spans="1:18" x14ac:dyDescent="0.3">
      <c r="A503" s="2" t="str">
        <f>HYPERLINK(B503,"Oppna PDF")</f>
        <v>Oppna PDF</v>
      </c>
      <c r="B503" t="s">
        <v>1579</v>
      </c>
      <c r="C503" t="s">
        <v>1583</v>
      </c>
      <c r="D503" t="s">
        <v>1571</v>
      </c>
      <c r="E503" t="s">
        <v>1581</v>
      </c>
      <c r="H503" t="s">
        <v>61</v>
      </c>
      <c r="I503" t="s">
        <v>1573</v>
      </c>
      <c r="J503" t="s">
        <v>48</v>
      </c>
      <c r="K503" t="s">
        <v>49</v>
      </c>
      <c r="L503" t="s">
        <v>29</v>
      </c>
      <c r="M503" t="s">
        <v>30</v>
      </c>
      <c r="N503" t="s">
        <v>31</v>
      </c>
      <c r="Q503" t="s">
        <v>706</v>
      </c>
      <c r="R503" t="s">
        <v>707</v>
      </c>
    </row>
    <row r="504" spans="1:18" x14ac:dyDescent="0.3">
      <c r="A504" s="2" t="str">
        <f>HYPERLINK(B504,"Oppna PDF")</f>
        <v>Oppna PDF</v>
      </c>
      <c r="B504" t="s">
        <v>1584</v>
      </c>
      <c r="C504" t="s">
        <v>1585</v>
      </c>
      <c r="D504" t="s">
        <v>689</v>
      </c>
      <c r="E504" t="s">
        <v>1586</v>
      </c>
      <c r="H504" t="s">
        <v>61</v>
      </c>
      <c r="I504" t="s">
        <v>691</v>
      </c>
      <c r="J504" t="s">
        <v>27</v>
      </c>
      <c r="K504" t="s">
        <v>28</v>
      </c>
      <c r="L504" t="s">
        <v>29</v>
      </c>
      <c r="M504" t="s">
        <v>30</v>
      </c>
      <c r="N504" t="s">
        <v>31</v>
      </c>
      <c r="Q504" t="s">
        <v>1574</v>
      </c>
      <c r="R504" t="s">
        <v>1574</v>
      </c>
    </row>
    <row r="505" spans="1:18" x14ac:dyDescent="0.3">
      <c r="A505" s="2" t="str">
        <f>HYPERLINK(B505,"Oppna PDF")</f>
        <v>Oppna PDF</v>
      </c>
      <c r="B505" t="s">
        <v>1584</v>
      </c>
      <c r="C505" t="s">
        <v>1587</v>
      </c>
      <c r="D505" t="s">
        <v>689</v>
      </c>
      <c r="E505" t="s">
        <v>1586</v>
      </c>
      <c r="H505" t="s">
        <v>61</v>
      </c>
      <c r="I505" t="s">
        <v>691</v>
      </c>
      <c r="J505" t="s">
        <v>27</v>
      </c>
      <c r="K505" t="s">
        <v>28</v>
      </c>
      <c r="L505" t="s">
        <v>29</v>
      </c>
      <c r="M505" t="s">
        <v>30</v>
      </c>
      <c r="N505" t="s">
        <v>31</v>
      </c>
      <c r="Q505" t="s">
        <v>1576</v>
      </c>
      <c r="R505" t="s">
        <v>1577</v>
      </c>
    </row>
    <row r="506" spans="1:18" x14ac:dyDescent="0.3">
      <c r="A506" s="2" t="str">
        <f>HYPERLINK(B506,"Oppna PDF")</f>
        <v>Oppna PDF</v>
      </c>
      <c r="B506" t="s">
        <v>1584</v>
      </c>
      <c r="C506" t="s">
        <v>1588</v>
      </c>
      <c r="D506" t="s">
        <v>689</v>
      </c>
      <c r="E506" t="s">
        <v>1586</v>
      </c>
      <c r="H506" t="s">
        <v>61</v>
      </c>
      <c r="I506" t="s">
        <v>691</v>
      </c>
      <c r="J506" t="s">
        <v>27</v>
      </c>
      <c r="K506" t="s">
        <v>28</v>
      </c>
      <c r="L506" t="s">
        <v>29</v>
      </c>
      <c r="M506" t="s">
        <v>30</v>
      </c>
      <c r="N506" t="s">
        <v>31</v>
      </c>
      <c r="Q506" t="s">
        <v>44</v>
      </c>
      <c r="R506" t="s">
        <v>44</v>
      </c>
    </row>
    <row r="507" spans="1:18" x14ac:dyDescent="0.3">
      <c r="A507" s="2" t="str">
        <f>HYPERLINK(B507,"Oppna PDF")</f>
        <v>Oppna PDF</v>
      </c>
      <c r="B507" t="s">
        <v>1589</v>
      </c>
      <c r="C507" t="s">
        <v>1590</v>
      </c>
      <c r="D507" t="s">
        <v>1591</v>
      </c>
      <c r="E507" t="s">
        <v>1592</v>
      </c>
      <c r="H507" t="s">
        <v>25</v>
      </c>
      <c r="I507" t="s">
        <v>1593</v>
      </c>
      <c r="J507" t="s">
        <v>38</v>
      </c>
      <c r="K507" t="s">
        <v>39</v>
      </c>
      <c r="L507" t="s">
        <v>29</v>
      </c>
      <c r="M507" t="s">
        <v>30</v>
      </c>
      <c r="N507" t="s">
        <v>31</v>
      </c>
      <c r="Q507" t="s">
        <v>1594</v>
      </c>
      <c r="R507" t="s">
        <v>1594</v>
      </c>
    </row>
    <row r="508" spans="1:18" x14ac:dyDescent="0.3">
      <c r="A508" s="2" t="str">
        <f>HYPERLINK(B508,"Oppna PDF")</f>
        <v>Oppna PDF</v>
      </c>
      <c r="B508" t="s">
        <v>1589</v>
      </c>
      <c r="C508" t="s">
        <v>1595</v>
      </c>
      <c r="D508" t="s">
        <v>1591</v>
      </c>
      <c r="E508" t="s">
        <v>1592</v>
      </c>
      <c r="H508" t="s">
        <v>25</v>
      </c>
      <c r="I508" t="s">
        <v>1593</v>
      </c>
      <c r="J508" t="s">
        <v>27</v>
      </c>
      <c r="K508" t="s">
        <v>28</v>
      </c>
      <c r="L508" t="s">
        <v>29</v>
      </c>
      <c r="M508" t="s">
        <v>30</v>
      </c>
      <c r="N508" t="s">
        <v>31</v>
      </c>
      <c r="Q508" t="s">
        <v>1596</v>
      </c>
      <c r="R508" t="s">
        <v>1596</v>
      </c>
    </row>
    <row r="509" spans="1:18" x14ac:dyDescent="0.3">
      <c r="A509" s="2" t="str">
        <f>HYPERLINK(B509,"Oppna PDF")</f>
        <v>Oppna PDF</v>
      </c>
      <c r="B509" t="s">
        <v>1589</v>
      </c>
      <c r="C509" t="s">
        <v>1597</v>
      </c>
      <c r="D509" t="s">
        <v>1591</v>
      </c>
      <c r="E509" t="s">
        <v>1592</v>
      </c>
      <c r="H509" t="s">
        <v>25</v>
      </c>
      <c r="I509" t="s">
        <v>1593</v>
      </c>
      <c r="J509" t="s">
        <v>209</v>
      </c>
      <c r="K509" t="s">
        <v>210</v>
      </c>
      <c r="L509" t="s">
        <v>300</v>
      </c>
      <c r="M509" t="s">
        <v>30</v>
      </c>
      <c r="N509" t="s">
        <v>31</v>
      </c>
      <c r="Q509" t="s">
        <v>1598</v>
      </c>
      <c r="R509" t="s">
        <v>1598</v>
      </c>
    </row>
    <row r="510" spans="1:18" x14ac:dyDescent="0.3">
      <c r="A510" s="2" t="str">
        <f>HYPERLINK(B510,"Oppna PDF")</f>
        <v>Oppna PDF</v>
      </c>
      <c r="B510" t="s">
        <v>1599</v>
      </c>
      <c r="C510" t="s">
        <v>1600</v>
      </c>
      <c r="D510" t="s">
        <v>710</v>
      </c>
      <c r="E510" t="s">
        <v>1601</v>
      </c>
      <c r="H510" t="s">
        <v>25</v>
      </c>
      <c r="I510" t="s">
        <v>712</v>
      </c>
      <c r="J510" t="s">
        <v>48</v>
      </c>
      <c r="K510" t="s">
        <v>49</v>
      </c>
      <c r="L510" t="s">
        <v>29</v>
      </c>
      <c r="M510" t="s">
        <v>30</v>
      </c>
      <c r="N510" t="s">
        <v>31</v>
      </c>
      <c r="Q510" t="s">
        <v>926</v>
      </c>
      <c r="R510" t="s">
        <v>926</v>
      </c>
    </row>
    <row r="511" spans="1:18" x14ac:dyDescent="0.3">
      <c r="A511" s="2" t="str">
        <f>HYPERLINK(B511,"Oppna PDF")</f>
        <v>Oppna PDF</v>
      </c>
      <c r="B511" t="s">
        <v>1599</v>
      </c>
      <c r="C511" t="s">
        <v>1602</v>
      </c>
      <c r="D511" t="s">
        <v>710</v>
      </c>
      <c r="E511" t="s">
        <v>1601</v>
      </c>
      <c r="H511" t="s">
        <v>25</v>
      </c>
      <c r="I511" t="s">
        <v>712</v>
      </c>
      <c r="J511" t="s">
        <v>87</v>
      </c>
      <c r="K511" t="s">
        <v>88</v>
      </c>
      <c r="L511" t="s">
        <v>29</v>
      </c>
      <c r="M511" t="s">
        <v>30</v>
      </c>
      <c r="N511" t="s">
        <v>31</v>
      </c>
      <c r="Q511" t="s">
        <v>928</v>
      </c>
      <c r="R511" t="s">
        <v>928</v>
      </c>
    </row>
    <row r="512" spans="1:18" x14ac:dyDescent="0.3">
      <c r="A512" s="2" t="str">
        <f>HYPERLINK(B512,"Oppna PDF")</f>
        <v>Oppna PDF</v>
      </c>
      <c r="B512" t="s">
        <v>1599</v>
      </c>
      <c r="C512" t="s">
        <v>1603</v>
      </c>
      <c r="D512" t="s">
        <v>710</v>
      </c>
      <c r="E512" t="s">
        <v>1601</v>
      </c>
      <c r="H512" t="s">
        <v>25</v>
      </c>
      <c r="I512" t="s">
        <v>712</v>
      </c>
      <c r="J512" t="s">
        <v>209</v>
      </c>
      <c r="K512" t="s">
        <v>210</v>
      </c>
      <c r="L512" t="s">
        <v>29</v>
      </c>
      <c r="M512" t="s">
        <v>30</v>
      </c>
      <c r="N512" t="s">
        <v>31</v>
      </c>
      <c r="Q512" t="s">
        <v>930</v>
      </c>
      <c r="R512" t="s">
        <v>930</v>
      </c>
    </row>
    <row r="513" spans="1:18" x14ac:dyDescent="0.3">
      <c r="A513" s="2" t="str">
        <f>HYPERLINK(B513,"Oppna PDF")</f>
        <v>Oppna PDF</v>
      </c>
      <c r="B513" t="s">
        <v>1604</v>
      </c>
      <c r="C513" t="s">
        <v>1605</v>
      </c>
      <c r="D513" t="s">
        <v>710</v>
      </c>
      <c r="E513" t="s">
        <v>1606</v>
      </c>
      <c r="H513" t="s">
        <v>25</v>
      </c>
      <c r="I513" t="s">
        <v>712</v>
      </c>
      <c r="J513" t="s">
        <v>87</v>
      </c>
      <c r="K513" t="s">
        <v>88</v>
      </c>
      <c r="L513" t="s">
        <v>29</v>
      </c>
      <c r="M513" t="s">
        <v>30</v>
      </c>
      <c r="N513" t="s">
        <v>31</v>
      </c>
      <c r="Q513" t="s">
        <v>934</v>
      </c>
      <c r="R513" t="s">
        <v>934</v>
      </c>
    </row>
    <row r="514" spans="1:18" x14ac:dyDescent="0.3">
      <c r="A514" s="2" t="str">
        <f>HYPERLINK(B514,"Oppna PDF")</f>
        <v>Oppna PDF</v>
      </c>
      <c r="B514" t="s">
        <v>1604</v>
      </c>
      <c r="C514" t="s">
        <v>1607</v>
      </c>
      <c r="D514" t="s">
        <v>710</v>
      </c>
      <c r="E514" t="s">
        <v>1606</v>
      </c>
      <c r="H514" t="s">
        <v>25</v>
      </c>
      <c r="I514" t="s">
        <v>712</v>
      </c>
      <c r="J514" t="s">
        <v>27</v>
      </c>
      <c r="K514" t="s">
        <v>28</v>
      </c>
      <c r="L514" t="s">
        <v>29</v>
      </c>
      <c r="M514" t="s">
        <v>30</v>
      </c>
      <c r="N514" t="s">
        <v>31</v>
      </c>
      <c r="Q514" t="s">
        <v>936</v>
      </c>
      <c r="R514" t="s">
        <v>936</v>
      </c>
    </row>
    <row r="515" spans="1:18" x14ac:dyDescent="0.3">
      <c r="A515" s="2" t="str">
        <f>HYPERLINK(B515,"Oppna PDF")</f>
        <v>Oppna PDF</v>
      </c>
      <c r="B515" t="s">
        <v>1604</v>
      </c>
      <c r="C515" t="s">
        <v>1608</v>
      </c>
      <c r="D515" t="s">
        <v>710</v>
      </c>
      <c r="E515" t="s">
        <v>1606</v>
      </c>
      <c r="H515" t="s">
        <v>25</v>
      </c>
      <c r="I515" t="s">
        <v>712</v>
      </c>
      <c r="J515" t="s">
        <v>91</v>
      </c>
      <c r="K515" t="s">
        <v>92</v>
      </c>
      <c r="L515" t="s">
        <v>29</v>
      </c>
      <c r="M515" t="s">
        <v>30</v>
      </c>
      <c r="N515" t="s">
        <v>31</v>
      </c>
      <c r="Q515" t="s">
        <v>938</v>
      </c>
      <c r="R515" t="s">
        <v>938</v>
      </c>
    </row>
    <row r="516" spans="1:18" x14ac:dyDescent="0.3">
      <c r="A516" s="2" t="str">
        <f>HYPERLINK(B516,"Oppna PDF")</f>
        <v>Oppna PDF</v>
      </c>
      <c r="B516" t="s">
        <v>1609</v>
      </c>
      <c r="C516" t="s">
        <v>1610</v>
      </c>
      <c r="D516" t="s">
        <v>1611</v>
      </c>
      <c r="E516" t="s">
        <v>1612</v>
      </c>
      <c r="H516" t="s">
        <v>61</v>
      </c>
      <c r="I516" t="s">
        <v>1613</v>
      </c>
      <c r="J516" t="s">
        <v>27</v>
      </c>
      <c r="K516" t="s">
        <v>28</v>
      </c>
      <c r="L516" t="s">
        <v>29</v>
      </c>
      <c r="M516" t="s">
        <v>30</v>
      </c>
      <c r="N516" t="s">
        <v>31</v>
      </c>
      <c r="Q516" t="s">
        <v>1614</v>
      </c>
      <c r="R516" t="s">
        <v>1614</v>
      </c>
    </row>
    <row r="517" spans="1:18" x14ac:dyDescent="0.3">
      <c r="A517" s="2" t="str">
        <f>HYPERLINK(B517,"Oppna PDF")</f>
        <v>Oppna PDF</v>
      </c>
      <c r="B517" t="s">
        <v>1609</v>
      </c>
      <c r="C517" t="s">
        <v>1615</v>
      </c>
      <c r="D517" t="s">
        <v>1611</v>
      </c>
      <c r="E517" t="s">
        <v>1612</v>
      </c>
      <c r="H517" t="s">
        <v>61</v>
      </c>
      <c r="I517" t="s">
        <v>1613</v>
      </c>
      <c r="J517" t="s">
        <v>27</v>
      </c>
      <c r="K517" t="s">
        <v>28</v>
      </c>
      <c r="L517" t="s">
        <v>29</v>
      </c>
      <c r="M517" t="s">
        <v>30</v>
      </c>
      <c r="N517" t="s">
        <v>31</v>
      </c>
      <c r="Q517" t="s">
        <v>1616</v>
      </c>
      <c r="R517" t="s">
        <v>1616</v>
      </c>
    </row>
    <row r="518" spans="1:18" x14ac:dyDescent="0.3">
      <c r="A518" s="2" t="str">
        <f>HYPERLINK(B518,"Oppna PDF")</f>
        <v>Oppna PDF</v>
      </c>
      <c r="B518" t="s">
        <v>1609</v>
      </c>
      <c r="C518" t="s">
        <v>1617</v>
      </c>
      <c r="D518" t="s">
        <v>1611</v>
      </c>
      <c r="E518" t="s">
        <v>1612</v>
      </c>
      <c r="H518" t="s">
        <v>61</v>
      </c>
      <c r="I518" t="s">
        <v>1613</v>
      </c>
      <c r="J518" t="s">
        <v>34</v>
      </c>
      <c r="K518" t="s">
        <v>35</v>
      </c>
      <c r="L518" t="s">
        <v>29</v>
      </c>
      <c r="M518" t="s">
        <v>30</v>
      </c>
      <c r="N518" t="s">
        <v>31</v>
      </c>
      <c r="Q518" t="s">
        <v>1618</v>
      </c>
      <c r="R518" t="s">
        <v>1618</v>
      </c>
    </row>
    <row r="519" spans="1:18" x14ac:dyDescent="0.3">
      <c r="A519" s="2" t="str">
        <f>HYPERLINK(B519,"Oppna PDF")</f>
        <v>Oppna PDF</v>
      </c>
      <c r="B519" t="s">
        <v>1619</v>
      </c>
      <c r="C519" t="s">
        <v>1620</v>
      </c>
      <c r="D519" t="s">
        <v>710</v>
      </c>
      <c r="E519" t="s">
        <v>1621</v>
      </c>
      <c r="H519" t="s">
        <v>25</v>
      </c>
      <c r="I519" t="s">
        <v>712</v>
      </c>
      <c r="J519" t="s">
        <v>87</v>
      </c>
      <c r="K519" t="s">
        <v>88</v>
      </c>
      <c r="L519" t="s">
        <v>29</v>
      </c>
      <c r="M519" t="s">
        <v>30</v>
      </c>
      <c r="N519" t="s">
        <v>31</v>
      </c>
      <c r="Q519" t="s">
        <v>875</v>
      </c>
      <c r="R519" t="s">
        <v>875</v>
      </c>
    </row>
    <row r="520" spans="1:18" x14ac:dyDescent="0.3">
      <c r="A520" s="2" t="str">
        <f>HYPERLINK(B520,"Oppna PDF")</f>
        <v>Oppna PDF</v>
      </c>
      <c r="B520" t="s">
        <v>1619</v>
      </c>
      <c r="C520" t="s">
        <v>1622</v>
      </c>
      <c r="D520" t="s">
        <v>710</v>
      </c>
      <c r="E520" t="s">
        <v>1621</v>
      </c>
      <c r="H520" t="s">
        <v>25</v>
      </c>
      <c r="I520" t="s">
        <v>712</v>
      </c>
      <c r="J520" t="s">
        <v>87</v>
      </c>
      <c r="K520" t="s">
        <v>88</v>
      </c>
      <c r="L520" t="s">
        <v>29</v>
      </c>
      <c r="M520" t="s">
        <v>30</v>
      </c>
      <c r="N520" t="s">
        <v>31</v>
      </c>
      <c r="Q520" t="s">
        <v>1623</v>
      </c>
      <c r="R520" t="s">
        <v>1624</v>
      </c>
    </row>
    <row r="521" spans="1:18" x14ac:dyDescent="0.3">
      <c r="A521" s="2" t="str">
        <f>HYPERLINK(B521,"Oppna PDF")</f>
        <v>Oppna PDF</v>
      </c>
      <c r="B521" t="s">
        <v>1625</v>
      </c>
      <c r="C521" t="s">
        <v>1626</v>
      </c>
      <c r="D521" t="s">
        <v>1627</v>
      </c>
      <c r="E521" t="s">
        <v>1628</v>
      </c>
      <c r="H521" t="s">
        <v>61</v>
      </c>
      <c r="I521" t="s">
        <v>1613</v>
      </c>
      <c r="J521" t="s">
        <v>27</v>
      </c>
      <c r="K521" t="s">
        <v>28</v>
      </c>
      <c r="L521" t="s">
        <v>29</v>
      </c>
      <c r="M521" t="s">
        <v>30</v>
      </c>
      <c r="N521" t="s">
        <v>31</v>
      </c>
      <c r="Q521" t="s">
        <v>1614</v>
      </c>
      <c r="R521" t="s">
        <v>1614</v>
      </c>
    </row>
    <row r="522" spans="1:18" x14ac:dyDescent="0.3">
      <c r="A522" s="2" t="str">
        <f>HYPERLINK(B522,"Oppna PDF")</f>
        <v>Oppna PDF</v>
      </c>
      <c r="B522" t="s">
        <v>1625</v>
      </c>
      <c r="C522" t="s">
        <v>1629</v>
      </c>
      <c r="D522" t="s">
        <v>1627</v>
      </c>
      <c r="E522" t="s">
        <v>1628</v>
      </c>
      <c r="H522" t="s">
        <v>61</v>
      </c>
      <c r="I522" t="s">
        <v>1613</v>
      </c>
      <c r="J522" t="s">
        <v>27</v>
      </c>
      <c r="K522" t="s">
        <v>28</v>
      </c>
      <c r="L522" t="s">
        <v>29</v>
      </c>
      <c r="M522" t="s">
        <v>30</v>
      </c>
      <c r="N522" t="s">
        <v>31</v>
      </c>
      <c r="Q522" t="s">
        <v>1616</v>
      </c>
      <c r="R522" t="s">
        <v>1616</v>
      </c>
    </row>
    <row r="523" spans="1:18" x14ac:dyDescent="0.3">
      <c r="A523" s="2" t="str">
        <f>HYPERLINK(B523,"Oppna PDF")</f>
        <v>Oppna PDF</v>
      </c>
      <c r="B523" t="s">
        <v>1625</v>
      </c>
      <c r="C523" t="s">
        <v>1630</v>
      </c>
      <c r="D523" t="s">
        <v>1627</v>
      </c>
      <c r="E523" t="s">
        <v>1628</v>
      </c>
      <c r="H523" t="s">
        <v>61</v>
      </c>
      <c r="I523" t="s">
        <v>1613</v>
      </c>
      <c r="J523" t="s">
        <v>34</v>
      </c>
      <c r="K523" t="s">
        <v>35</v>
      </c>
      <c r="L523" t="s">
        <v>29</v>
      </c>
      <c r="M523" t="s">
        <v>30</v>
      </c>
      <c r="N523" t="s">
        <v>31</v>
      </c>
      <c r="Q523" t="s">
        <v>1618</v>
      </c>
      <c r="R523" t="s">
        <v>1618</v>
      </c>
    </row>
    <row r="524" spans="1:18" x14ac:dyDescent="0.3">
      <c r="A524" s="2" t="str">
        <f>HYPERLINK(B524,"Oppna PDF")</f>
        <v>Oppna PDF</v>
      </c>
      <c r="B524" t="s">
        <v>1631</v>
      </c>
      <c r="C524" t="s">
        <v>1632</v>
      </c>
      <c r="D524" t="s">
        <v>872</v>
      </c>
      <c r="E524" t="s">
        <v>1633</v>
      </c>
      <c r="H524" t="s">
        <v>25</v>
      </c>
      <c r="I524" t="s">
        <v>874</v>
      </c>
      <c r="J524" t="s">
        <v>91</v>
      </c>
      <c r="K524" t="s">
        <v>92</v>
      </c>
      <c r="L524" t="s">
        <v>29</v>
      </c>
      <c r="M524" t="s">
        <v>30</v>
      </c>
      <c r="N524" t="s">
        <v>31</v>
      </c>
      <c r="Q524" t="s">
        <v>1634</v>
      </c>
      <c r="R524" t="s">
        <v>1634</v>
      </c>
    </row>
    <row r="525" spans="1:18" x14ac:dyDescent="0.3">
      <c r="A525" s="2" t="str">
        <f>HYPERLINK(B525,"Oppna PDF")</f>
        <v>Oppna PDF</v>
      </c>
      <c r="B525" t="s">
        <v>1635</v>
      </c>
      <c r="C525" t="s">
        <v>1636</v>
      </c>
      <c r="D525" t="s">
        <v>872</v>
      </c>
      <c r="E525" t="s">
        <v>1637</v>
      </c>
      <c r="H525" t="s">
        <v>25</v>
      </c>
      <c r="I525" t="s">
        <v>874</v>
      </c>
      <c r="J525" t="s">
        <v>91</v>
      </c>
      <c r="K525" t="s">
        <v>92</v>
      </c>
      <c r="L525" t="s">
        <v>29</v>
      </c>
      <c r="M525" t="s">
        <v>30</v>
      </c>
      <c r="N525" t="s">
        <v>31</v>
      </c>
      <c r="Q525" t="s">
        <v>1638</v>
      </c>
      <c r="R525" t="s">
        <v>1639</v>
      </c>
    </row>
    <row r="526" spans="1:18" x14ac:dyDescent="0.3">
      <c r="A526" s="2" t="str">
        <f>HYPERLINK(B526,"Oppna PDF")</f>
        <v>Oppna PDF</v>
      </c>
      <c r="B526" t="s">
        <v>1640</v>
      </c>
      <c r="C526" t="s">
        <v>1641</v>
      </c>
      <c r="D526" t="s">
        <v>1642</v>
      </c>
      <c r="E526" t="s">
        <v>1643</v>
      </c>
      <c r="F526" t="s">
        <v>1644</v>
      </c>
      <c r="G526" t="s">
        <v>1645</v>
      </c>
      <c r="H526" t="s">
        <v>61</v>
      </c>
      <c r="I526" t="s">
        <v>1646</v>
      </c>
      <c r="J526" t="s">
        <v>87</v>
      </c>
      <c r="K526" t="s">
        <v>88</v>
      </c>
      <c r="L526" t="s">
        <v>29</v>
      </c>
      <c r="M526" t="s">
        <v>30</v>
      </c>
      <c r="N526" t="s">
        <v>31</v>
      </c>
      <c r="Q526" t="s">
        <v>1647</v>
      </c>
      <c r="R526" t="s">
        <v>1647</v>
      </c>
    </row>
    <row r="527" spans="1:18" x14ac:dyDescent="0.3">
      <c r="A527" s="2" t="str">
        <f>HYPERLINK(B527,"Oppna PDF")</f>
        <v>Oppna PDF</v>
      </c>
      <c r="B527" t="s">
        <v>1640</v>
      </c>
      <c r="C527" t="s">
        <v>1648</v>
      </c>
      <c r="D527" t="s">
        <v>1642</v>
      </c>
      <c r="E527" t="s">
        <v>1643</v>
      </c>
      <c r="F527" t="s">
        <v>1644</v>
      </c>
      <c r="G527" t="s">
        <v>1645</v>
      </c>
      <c r="H527" t="s">
        <v>61</v>
      </c>
      <c r="I527" t="s">
        <v>1646</v>
      </c>
      <c r="J527" t="s">
        <v>87</v>
      </c>
      <c r="K527" t="s">
        <v>88</v>
      </c>
      <c r="L527" t="s">
        <v>29</v>
      </c>
      <c r="M527" t="s">
        <v>30</v>
      </c>
      <c r="N527" t="s">
        <v>31</v>
      </c>
      <c r="Q527" t="s">
        <v>1649</v>
      </c>
      <c r="R527" t="s">
        <v>1649</v>
      </c>
    </row>
    <row r="528" spans="1:18" x14ac:dyDescent="0.3">
      <c r="A528" s="2" t="str">
        <f>HYPERLINK(B528,"Oppna PDF")</f>
        <v>Oppna PDF</v>
      </c>
      <c r="B528" t="s">
        <v>1640</v>
      </c>
      <c r="C528" t="s">
        <v>1650</v>
      </c>
      <c r="D528" t="s">
        <v>1642</v>
      </c>
      <c r="E528" t="s">
        <v>1643</v>
      </c>
      <c r="F528" t="s">
        <v>1644</v>
      </c>
      <c r="G528" t="s">
        <v>1645</v>
      </c>
      <c r="H528" t="s">
        <v>61</v>
      </c>
      <c r="I528" t="s">
        <v>1646</v>
      </c>
      <c r="J528" t="s">
        <v>34</v>
      </c>
      <c r="K528" t="s">
        <v>35</v>
      </c>
      <c r="L528" t="s">
        <v>29</v>
      </c>
      <c r="M528" t="s">
        <v>30</v>
      </c>
      <c r="N528" t="s">
        <v>31</v>
      </c>
      <c r="Q528" t="s">
        <v>1651</v>
      </c>
      <c r="R528" t="s">
        <v>1651</v>
      </c>
    </row>
    <row r="529" spans="1:18" x14ac:dyDescent="0.3">
      <c r="A529" s="2" t="str">
        <f>HYPERLINK(B529,"Oppna PDF")</f>
        <v>Oppna PDF</v>
      </c>
      <c r="B529" t="s">
        <v>1652</v>
      </c>
      <c r="C529" t="s">
        <v>1653</v>
      </c>
      <c r="D529" t="s">
        <v>1642</v>
      </c>
      <c r="E529" t="s">
        <v>1654</v>
      </c>
      <c r="F529" t="s">
        <v>1644</v>
      </c>
      <c r="G529" t="s">
        <v>1645</v>
      </c>
      <c r="H529" t="s">
        <v>61</v>
      </c>
      <c r="I529" t="s">
        <v>1646</v>
      </c>
      <c r="J529" t="s">
        <v>27</v>
      </c>
      <c r="K529" t="s">
        <v>28</v>
      </c>
      <c r="L529" t="s">
        <v>29</v>
      </c>
      <c r="M529" t="s">
        <v>30</v>
      </c>
      <c r="N529" t="s">
        <v>31</v>
      </c>
      <c r="Q529" t="s">
        <v>1655</v>
      </c>
      <c r="R529" t="s">
        <v>1656</v>
      </c>
    </row>
    <row r="530" spans="1:18" x14ac:dyDescent="0.3">
      <c r="A530" s="2" t="str">
        <f>HYPERLINK(B530,"Oppna PDF")</f>
        <v>Oppna PDF</v>
      </c>
      <c r="B530" t="s">
        <v>1652</v>
      </c>
      <c r="C530" t="s">
        <v>1657</v>
      </c>
      <c r="D530" t="s">
        <v>1642</v>
      </c>
      <c r="E530" t="s">
        <v>1654</v>
      </c>
      <c r="F530" t="s">
        <v>1644</v>
      </c>
      <c r="G530" t="s">
        <v>1645</v>
      </c>
      <c r="H530" t="s">
        <v>61</v>
      </c>
      <c r="I530" t="s">
        <v>1646</v>
      </c>
      <c r="J530" t="s">
        <v>34</v>
      </c>
      <c r="K530" t="s">
        <v>35</v>
      </c>
      <c r="L530" t="s">
        <v>29</v>
      </c>
      <c r="M530" t="s">
        <v>30</v>
      </c>
      <c r="N530" t="s">
        <v>31</v>
      </c>
      <c r="Q530" t="s">
        <v>1658</v>
      </c>
      <c r="R530" t="s">
        <v>1659</v>
      </c>
    </row>
    <row r="531" spans="1:18" x14ac:dyDescent="0.3">
      <c r="A531" s="2" t="str">
        <f>HYPERLINK(B531,"Oppna PDF")</f>
        <v>Oppna PDF</v>
      </c>
      <c r="B531" t="s">
        <v>1652</v>
      </c>
      <c r="C531" t="s">
        <v>1660</v>
      </c>
      <c r="D531" t="s">
        <v>1642</v>
      </c>
      <c r="E531" t="s">
        <v>1654</v>
      </c>
      <c r="F531" t="s">
        <v>1644</v>
      </c>
      <c r="G531" t="s">
        <v>1645</v>
      </c>
      <c r="H531" t="s">
        <v>61</v>
      </c>
      <c r="I531" t="s">
        <v>1646</v>
      </c>
      <c r="J531" t="s">
        <v>27</v>
      </c>
      <c r="K531" t="s">
        <v>28</v>
      </c>
      <c r="L531" t="s">
        <v>29</v>
      </c>
      <c r="M531" t="s">
        <v>30</v>
      </c>
      <c r="N531" t="s">
        <v>31</v>
      </c>
      <c r="Q531" t="s">
        <v>1661</v>
      </c>
      <c r="R531" t="s">
        <v>1661</v>
      </c>
    </row>
    <row r="532" spans="1:18" x14ac:dyDescent="0.3">
      <c r="A532" s="2" t="str">
        <f>HYPERLINK(B532,"Oppna PDF")</f>
        <v>Oppna PDF</v>
      </c>
      <c r="B532" t="s">
        <v>1662</v>
      </c>
      <c r="C532" t="s">
        <v>1663</v>
      </c>
      <c r="D532" t="s">
        <v>1664</v>
      </c>
      <c r="E532" t="s">
        <v>1665</v>
      </c>
      <c r="H532" t="s">
        <v>61</v>
      </c>
      <c r="I532" t="s">
        <v>1666</v>
      </c>
      <c r="J532" t="s">
        <v>27</v>
      </c>
      <c r="K532" t="s">
        <v>28</v>
      </c>
      <c r="L532" t="s">
        <v>29</v>
      </c>
      <c r="M532" t="s">
        <v>30</v>
      </c>
      <c r="N532" t="s">
        <v>31</v>
      </c>
      <c r="Q532" t="s">
        <v>1655</v>
      </c>
      <c r="R532" t="s">
        <v>1656</v>
      </c>
    </row>
    <row r="533" spans="1:18" x14ac:dyDescent="0.3">
      <c r="A533" s="2" t="str">
        <f>HYPERLINK(B533,"Oppna PDF")</f>
        <v>Oppna PDF</v>
      </c>
      <c r="B533" t="s">
        <v>1662</v>
      </c>
      <c r="C533" t="s">
        <v>1667</v>
      </c>
      <c r="D533" t="s">
        <v>1664</v>
      </c>
      <c r="E533" t="s">
        <v>1665</v>
      </c>
      <c r="H533" t="s">
        <v>61</v>
      </c>
      <c r="I533" t="s">
        <v>1666</v>
      </c>
      <c r="J533" t="s">
        <v>34</v>
      </c>
      <c r="K533" t="s">
        <v>35</v>
      </c>
      <c r="L533" t="s">
        <v>29</v>
      </c>
      <c r="M533" t="s">
        <v>30</v>
      </c>
      <c r="N533" t="s">
        <v>31</v>
      </c>
      <c r="Q533" t="s">
        <v>1658</v>
      </c>
      <c r="R533" t="s">
        <v>1659</v>
      </c>
    </row>
    <row r="534" spans="1:18" x14ac:dyDescent="0.3">
      <c r="A534" s="2" t="str">
        <f>HYPERLINK(B534,"Oppna PDF")</f>
        <v>Oppna PDF</v>
      </c>
      <c r="B534" t="s">
        <v>1662</v>
      </c>
      <c r="C534" t="s">
        <v>1668</v>
      </c>
      <c r="D534" t="s">
        <v>1664</v>
      </c>
      <c r="E534" t="s">
        <v>1665</v>
      </c>
      <c r="H534" t="s">
        <v>61</v>
      </c>
      <c r="I534" t="s">
        <v>1666</v>
      </c>
      <c r="J534" t="s">
        <v>27</v>
      </c>
      <c r="K534" t="s">
        <v>28</v>
      </c>
      <c r="L534" t="s">
        <v>29</v>
      </c>
      <c r="M534" t="s">
        <v>30</v>
      </c>
      <c r="N534" t="s">
        <v>31</v>
      </c>
      <c r="Q534" t="s">
        <v>1661</v>
      </c>
      <c r="R534" t="s">
        <v>1661</v>
      </c>
    </row>
    <row r="535" spans="1:18" x14ac:dyDescent="0.3">
      <c r="A535" s="2" t="str">
        <f>HYPERLINK(B535,"Oppna PDF")</f>
        <v>Oppna PDF</v>
      </c>
      <c r="B535" t="s">
        <v>1669</v>
      </c>
      <c r="C535" t="s">
        <v>1670</v>
      </c>
      <c r="D535" t="s">
        <v>730</v>
      </c>
      <c r="E535" t="s">
        <v>1671</v>
      </c>
      <c r="F535" t="s">
        <v>459</v>
      </c>
      <c r="G535" t="s">
        <v>460</v>
      </c>
      <c r="H535" t="s">
        <v>25</v>
      </c>
      <c r="I535" t="s">
        <v>732</v>
      </c>
      <c r="J535" t="s">
        <v>38</v>
      </c>
      <c r="K535" t="s">
        <v>39</v>
      </c>
      <c r="L535" t="s">
        <v>29</v>
      </c>
      <c r="M535" t="s">
        <v>30</v>
      </c>
      <c r="N535" t="s">
        <v>31</v>
      </c>
      <c r="Q535" t="s">
        <v>1672</v>
      </c>
      <c r="R535" t="s">
        <v>1672</v>
      </c>
    </row>
    <row r="536" spans="1:18" x14ac:dyDescent="0.3">
      <c r="A536" s="2" t="str">
        <f>HYPERLINK(B536,"Oppna PDF")</f>
        <v>Oppna PDF</v>
      </c>
      <c r="B536" t="s">
        <v>1669</v>
      </c>
      <c r="C536" t="s">
        <v>1673</v>
      </c>
      <c r="D536" t="s">
        <v>730</v>
      </c>
      <c r="E536" t="s">
        <v>1671</v>
      </c>
      <c r="F536" t="s">
        <v>459</v>
      </c>
      <c r="G536" t="s">
        <v>460</v>
      </c>
      <c r="H536" t="s">
        <v>25</v>
      </c>
      <c r="I536" t="s">
        <v>732</v>
      </c>
      <c r="J536" t="s">
        <v>27</v>
      </c>
      <c r="K536" t="s">
        <v>28</v>
      </c>
      <c r="L536" t="s">
        <v>29</v>
      </c>
      <c r="M536" t="s">
        <v>30</v>
      </c>
      <c r="N536" t="s">
        <v>31</v>
      </c>
      <c r="Q536" t="s">
        <v>696</v>
      </c>
      <c r="R536" t="s">
        <v>696</v>
      </c>
    </row>
    <row r="537" spans="1:18" x14ac:dyDescent="0.3">
      <c r="A537" s="2" t="str">
        <f>HYPERLINK(B537,"Oppna PDF")</f>
        <v>Oppna PDF</v>
      </c>
      <c r="B537" t="s">
        <v>1669</v>
      </c>
      <c r="C537" t="s">
        <v>1674</v>
      </c>
      <c r="D537" t="s">
        <v>730</v>
      </c>
      <c r="E537" t="s">
        <v>1671</v>
      </c>
      <c r="F537" t="s">
        <v>459</v>
      </c>
      <c r="G537" t="s">
        <v>460</v>
      </c>
      <c r="H537" t="s">
        <v>25</v>
      </c>
      <c r="I537" t="s">
        <v>732</v>
      </c>
      <c r="J537" t="s">
        <v>38</v>
      </c>
      <c r="K537" t="s">
        <v>39</v>
      </c>
      <c r="L537" t="s">
        <v>29</v>
      </c>
      <c r="M537" t="s">
        <v>30</v>
      </c>
      <c r="N537" t="s">
        <v>31</v>
      </c>
      <c r="Q537" t="s">
        <v>1675</v>
      </c>
      <c r="R537" t="s">
        <v>1675</v>
      </c>
    </row>
    <row r="538" spans="1:18" x14ac:dyDescent="0.3">
      <c r="A538" s="2" t="str">
        <f>HYPERLINK(B538,"Oppna PDF")</f>
        <v>Oppna PDF</v>
      </c>
      <c r="B538" t="s">
        <v>1676</v>
      </c>
      <c r="C538" t="s">
        <v>1677</v>
      </c>
      <c r="D538" t="s">
        <v>730</v>
      </c>
      <c r="E538" t="s">
        <v>1678</v>
      </c>
      <c r="F538" t="s">
        <v>459</v>
      </c>
      <c r="G538" t="s">
        <v>460</v>
      </c>
      <c r="H538" t="s">
        <v>25</v>
      </c>
      <c r="I538" t="s">
        <v>732</v>
      </c>
      <c r="J538" t="s">
        <v>27</v>
      </c>
      <c r="K538" t="s">
        <v>28</v>
      </c>
      <c r="L538" t="s">
        <v>29</v>
      </c>
      <c r="M538" t="s">
        <v>30</v>
      </c>
      <c r="N538" t="s">
        <v>31</v>
      </c>
      <c r="Q538" t="s">
        <v>1679</v>
      </c>
      <c r="R538" t="s">
        <v>1680</v>
      </c>
    </row>
    <row r="539" spans="1:18" x14ac:dyDescent="0.3">
      <c r="A539" s="2" t="str">
        <f>HYPERLINK(B539,"Oppna PDF")</f>
        <v>Oppna PDF</v>
      </c>
      <c r="B539" t="s">
        <v>1676</v>
      </c>
      <c r="C539" t="s">
        <v>1681</v>
      </c>
      <c r="D539" t="s">
        <v>730</v>
      </c>
      <c r="E539" t="s">
        <v>1678</v>
      </c>
      <c r="F539" t="s">
        <v>459</v>
      </c>
      <c r="G539" t="s">
        <v>460</v>
      </c>
      <c r="H539" t="s">
        <v>25</v>
      </c>
      <c r="I539" t="s">
        <v>732</v>
      </c>
      <c r="J539" t="s">
        <v>38</v>
      </c>
      <c r="K539" t="s">
        <v>39</v>
      </c>
      <c r="L539" t="s">
        <v>142</v>
      </c>
      <c r="M539" t="s">
        <v>30</v>
      </c>
      <c r="N539" t="s">
        <v>31</v>
      </c>
      <c r="Q539" t="s">
        <v>782</v>
      </c>
      <c r="R539" t="s">
        <v>782</v>
      </c>
    </row>
    <row r="540" spans="1:18" x14ac:dyDescent="0.3">
      <c r="A540" s="2" t="str">
        <f>HYPERLINK(B540,"Oppna PDF")</f>
        <v>Oppna PDF</v>
      </c>
      <c r="B540" t="s">
        <v>1676</v>
      </c>
      <c r="C540" t="s">
        <v>1682</v>
      </c>
      <c r="D540" t="s">
        <v>730</v>
      </c>
      <c r="E540" t="s">
        <v>1678</v>
      </c>
      <c r="F540" t="s">
        <v>459</v>
      </c>
      <c r="G540" t="s">
        <v>460</v>
      </c>
      <c r="H540" t="s">
        <v>25</v>
      </c>
      <c r="I540" t="s">
        <v>732</v>
      </c>
      <c r="J540" t="s">
        <v>34</v>
      </c>
      <c r="K540" t="s">
        <v>35</v>
      </c>
      <c r="L540" t="s">
        <v>29</v>
      </c>
      <c r="M540" t="s">
        <v>30</v>
      </c>
      <c r="N540" t="s">
        <v>31</v>
      </c>
      <c r="Q540" t="s">
        <v>1111</v>
      </c>
      <c r="R540" t="s">
        <v>1111</v>
      </c>
    </row>
    <row r="541" spans="1:18" x14ac:dyDescent="0.3">
      <c r="A541" s="2" t="str">
        <f>HYPERLINK(B541,"Oppna PDF")</f>
        <v>Oppna PDF</v>
      </c>
      <c r="B541" t="s">
        <v>1683</v>
      </c>
      <c r="C541" t="s">
        <v>1684</v>
      </c>
      <c r="D541" t="s">
        <v>740</v>
      </c>
      <c r="E541" t="s">
        <v>1685</v>
      </c>
      <c r="F541" t="s">
        <v>459</v>
      </c>
      <c r="G541" t="s">
        <v>460</v>
      </c>
      <c r="H541" t="s">
        <v>25</v>
      </c>
      <c r="I541" t="s">
        <v>732</v>
      </c>
      <c r="J541" t="s">
        <v>38</v>
      </c>
      <c r="K541" t="s">
        <v>39</v>
      </c>
      <c r="L541" t="s">
        <v>29</v>
      </c>
      <c r="M541" t="s">
        <v>30</v>
      </c>
      <c r="N541" t="s">
        <v>31</v>
      </c>
      <c r="Q541" t="s">
        <v>1672</v>
      </c>
      <c r="R541" t="s">
        <v>1672</v>
      </c>
    </row>
    <row r="542" spans="1:18" x14ac:dyDescent="0.3">
      <c r="A542" s="2" t="str">
        <f>HYPERLINK(B542,"Oppna PDF")</f>
        <v>Oppna PDF</v>
      </c>
      <c r="B542" t="s">
        <v>1683</v>
      </c>
      <c r="C542" t="s">
        <v>1686</v>
      </c>
      <c r="D542" t="s">
        <v>740</v>
      </c>
      <c r="E542" t="s">
        <v>1685</v>
      </c>
      <c r="F542" t="s">
        <v>459</v>
      </c>
      <c r="G542" t="s">
        <v>460</v>
      </c>
      <c r="H542" t="s">
        <v>25</v>
      </c>
      <c r="I542" t="s">
        <v>732</v>
      </c>
      <c r="J542" t="s">
        <v>27</v>
      </c>
      <c r="K542" t="s">
        <v>28</v>
      </c>
      <c r="L542" t="s">
        <v>29</v>
      </c>
      <c r="M542" t="s">
        <v>30</v>
      </c>
      <c r="N542" t="s">
        <v>31</v>
      </c>
      <c r="Q542" t="s">
        <v>696</v>
      </c>
      <c r="R542" t="s">
        <v>696</v>
      </c>
    </row>
    <row r="543" spans="1:18" x14ac:dyDescent="0.3">
      <c r="A543" s="2" t="str">
        <f>HYPERLINK(B543,"Oppna PDF")</f>
        <v>Oppna PDF</v>
      </c>
      <c r="B543" t="s">
        <v>1683</v>
      </c>
      <c r="C543" t="s">
        <v>1687</v>
      </c>
      <c r="D543" t="s">
        <v>740</v>
      </c>
      <c r="E543" t="s">
        <v>1685</v>
      </c>
      <c r="F543" t="s">
        <v>459</v>
      </c>
      <c r="G543" t="s">
        <v>460</v>
      </c>
      <c r="H543" t="s">
        <v>25</v>
      </c>
      <c r="I543" t="s">
        <v>732</v>
      </c>
      <c r="J543" t="s">
        <v>38</v>
      </c>
      <c r="K543" t="s">
        <v>39</v>
      </c>
      <c r="L543" t="s">
        <v>29</v>
      </c>
      <c r="M543" t="s">
        <v>30</v>
      </c>
      <c r="N543" t="s">
        <v>31</v>
      </c>
      <c r="Q543" t="s">
        <v>1675</v>
      </c>
      <c r="R543" t="s">
        <v>1675</v>
      </c>
    </row>
    <row r="544" spans="1:18" x14ac:dyDescent="0.3">
      <c r="A544" s="2" t="str">
        <f>HYPERLINK(B544,"Oppna PDF")</f>
        <v>Oppna PDF</v>
      </c>
      <c r="B544" t="s">
        <v>1688</v>
      </c>
      <c r="C544" t="s">
        <v>1689</v>
      </c>
      <c r="D544" t="s">
        <v>740</v>
      </c>
      <c r="E544" t="s">
        <v>1690</v>
      </c>
      <c r="F544" t="s">
        <v>459</v>
      </c>
      <c r="G544" t="s">
        <v>460</v>
      </c>
      <c r="H544" t="s">
        <v>25</v>
      </c>
      <c r="I544" t="s">
        <v>732</v>
      </c>
      <c r="J544" t="s">
        <v>27</v>
      </c>
      <c r="K544" t="s">
        <v>28</v>
      </c>
      <c r="L544" t="s">
        <v>29</v>
      </c>
      <c r="M544" t="s">
        <v>30</v>
      </c>
      <c r="N544" t="s">
        <v>31</v>
      </c>
      <c r="Q544" t="s">
        <v>1679</v>
      </c>
      <c r="R544" t="s">
        <v>1680</v>
      </c>
    </row>
    <row r="545" spans="1:18" x14ac:dyDescent="0.3">
      <c r="A545" s="2" t="str">
        <f>HYPERLINK(B545,"Oppna PDF")</f>
        <v>Oppna PDF</v>
      </c>
      <c r="B545" t="s">
        <v>1688</v>
      </c>
      <c r="C545" t="s">
        <v>1691</v>
      </c>
      <c r="D545" t="s">
        <v>740</v>
      </c>
      <c r="E545" t="s">
        <v>1690</v>
      </c>
      <c r="F545" t="s">
        <v>459</v>
      </c>
      <c r="G545" t="s">
        <v>460</v>
      </c>
      <c r="H545" t="s">
        <v>25</v>
      </c>
      <c r="I545" t="s">
        <v>732</v>
      </c>
      <c r="J545" t="s">
        <v>38</v>
      </c>
      <c r="K545" t="s">
        <v>39</v>
      </c>
      <c r="L545" t="s">
        <v>142</v>
      </c>
      <c r="M545" t="s">
        <v>30</v>
      </c>
      <c r="N545" t="s">
        <v>31</v>
      </c>
      <c r="Q545" t="s">
        <v>782</v>
      </c>
      <c r="R545" t="s">
        <v>782</v>
      </c>
    </row>
    <row r="546" spans="1:18" x14ac:dyDescent="0.3">
      <c r="A546" s="2" t="str">
        <f>HYPERLINK(B546,"Oppna PDF")</f>
        <v>Oppna PDF</v>
      </c>
      <c r="B546" t="s">
        <v>1688</v>
      </c>
      <c r="C546" t="s">
        <v>1692</v>
      </c>
      <c r="D546" t="s">
        <v>740</v>
      </c>
      <c r="E546" t="s">
        <v>1690</v>
      </c>
      <c r="F546" t="s">
        <v>459</v>
      </c>
      <c r="G546" t="s">
        <v>460</v>
      </c>
      <c r="H546" t="s">
        <v>25</v>
      </c>
      <c r="I546" t="s">
        <v>732</v>
      </c>
      <c r="J546" t="s">
        <v>34</v>
      </c>
      <c r="K546" t="s">
        <v>35</v>
      </c>
      <c r="L546" t="s">
        <v>29</v>
      </c>
      <c r="M546" t="s">
        <v>30</v>
      </c>
      <c r="N546" t="s">
        <v>31</v>
      </c>
      <c r="Q546" t="s">
        <v>1111</v>
      </c>
      <c r="R546" t="s">
        <v>1111</v>
      </c>
    </row>
    <row r="547" spans="1:18" x14ac:dyDescent="0.3">
      <c r="A547" s="2" t="str">
        <f>HYPERLINK(B547,"Oppna PDF")</f>
        <v>Oppna PDF</v>
      </c>
      <c r="B547" t="s">
        <v>1693</v>
      </c>
      <c r="C547" t="s">
        <v>1694</v>
      </c>
      <c r="D547" t="s">
        <v>748</v>
      </c>
      <c r="E547" t="s">
        <v>1695</v>
      </c>
      <c r="F547" t="s">
        <v>459</v>
      </c>
      <c r="G547" t="s">
        <v>460</v>
      </c>
      <c r="H547" t="s">
        <v>25</v>
      </c>
      <c r="I547" t="s">
        <v>750</v>
      </c>
      <c r="J547" t="s">
        <v>27</v>
      </c>
      <c r="K547" t="s">
        <v>28</v>
      </c>
      <c r="L547" t="s">
        <v>29</v>
      </c>
      <c r="M547" t="s">
        <v>30</v>
      </c>
      <c r="N547" t="s">
        <v>31</v>
      </c>
      <c r="Q547" t="s">
        <v>778</v>
      </c>
      <c r="R547" t="s">
        <v>778</v>
      </c>
    </row>
    <row r="548" spans="1:18" x14ac:dyDescent="0.3">
      <c r="A548" s="2" t="str">
        <f>HYPERLINK(B548,"Oppna PDF")</f>
        <v>Oppna PDF</v>
      </c>
      <c r="B548" t="s">
        <v>1693</v>
      </c>
      <c r="C548" t="s">
        <v>1696</v>
      </c>
      <c r="D548" t="s">
        <v>748</v>
      </c>
      <c r="E548" t="s">
        <v>1695</v>
      </c>
      <c r="F548" t="s">
        <v>459</v>
      </c>
      <c r="G548" t="s">
        <v>460</v>
      </c>
      <c r="H548" t="s">
        <v>25</v>
      </c>
      <c r="I548" t="s">
        <v>750</v>
      </c>
      <c r="J548" t="s">
        <v>38</v>
      </c>
      <c r="K548" t="s">
        <v>39</v>
      </c>
      <c r="L548" t="s">
        <v>29</v>
      </c>
      <c r="M548" t="s">
        <v>30</v>
      </c>
      <c r="N548" t="s">
        <v>31</v>
      </c>
      <c r="Q548" t="s">
        <v>780</v>
      </c>
      <c r="R548" t="s">
        <v>780</v>
      </c>
    </row>
    <row r="549" spans="1:18" x14ac:dyDescent="0.3">
      <c r="A549" s="2" t="str">
        <f>HYPERLINK(B549,"Oppna PDF")</f>
        <v>Oppna PDF</v>
      </c>
      <c r="B549" t="s">
        <v>1693</v>
      </c>
      <c r="C549" t="s">
        <v>1697</v>
      </c>
      <c r="D549" t="s">
        <v>748</v>
      </c>
      <c r="E549" t="s">
        <v>1695</v>
      </c>
      <c r="F549" t="s">
        <v>459</v>
      </c>
      <c r="G549" t="s">
        <v>460</v>
      </c>
      <c r="H549" t="s">
        <v>25</v>
      </c>
      <c r="I549" t="s">
        <v>750</v>
      </c>
      <c r="J549" t="s">
        <v>38</v>
      </c>
      <c r="K549" t="s">
        <v>39</v>
      </c>
      <c r="L549" t="s">
        <v>29</v>
      </c>
      <c r="M549" t="s">
        <v>30</v>
      </c>
      <c r="N549" t="s">
        <v>31</v>
      </c>
      <c r="Q549" t="s">
        <v>782</v>
      </c>
      <c r="R549" t="s">
        <v>782</v>
      </c>
    </row>
    <row r="550" spans="1:18" x14ac:dyDescent="0.3">
      <c r="A550" s="2" t="str">
        <f>HYPERLINK(B550,"Oppna PDF")</f>
        <v>Oppna PDF</v>
      </c>
      <c r="B550" t="s">
        <v>1698</v>
      </c>
      <c r="C550" t="s">
        <v>1699</v>
      </c>
      <c r="D550" t="s">
        <v>748</v>
      </c>
      <c r="E550" t="s">
        <v>1700</v>
      </c>
      <c r="F550" t="s">
        <v>459</v>
      </c>
      <c r="G550" t="s">
        <v>460</v>
      </c>
      <c r="H550" t="s">
        <v>25</v>
      </c>
      <c r="I550" t="s">
        <v>750</v>
      </c>
      <c r="J550" t="s">
        <v>91</v>
      </c>
      <c r="K550" t="s">
        <v>92</v>
      </c>
      <c r="L550" t="s">
        <v>29</v>
      </c>
      <c r="M550" t="s">
        <v>30</v>
      </c>
      <c r="N550" t="s">
        <v>31</v>
      </c>
      <c r="Q550" t="s">
        <v>786</v>
      </c>
      <c r="R550" t="s">
        <v>787</v>
      </c>
    </row>
    <row r="551" spans="1:18" x14ac:dyDescent="0.3">
      <c r="A551" s="2" t="str">
        <f>HYPERLINK(B551,"Oppna PDF")</f>
        <v>Oppna PDF</v>
      </c>
      <c r="B551" t="s">
        <v>1698</v>
      </c>
      <c r="C551" t="s">
        <v>1701</v>
      </c>
      <c r="D551" t="s">
        <v>748</v>
      </c>
      <c r="E551" t="s">
        <v>1700</v>
      </c>
      <c r="F551" t="s">
        <v>459</v>
      </c>
      <c r="G551" t="s">
        <v>460</v>
      </c>
      <c r="H551" t="s">
        <v>25</v>
      </c>
      <c r="I551" t="s">
        <v>750</v>
      </c>
      <c r="J551" t="s">
        <v>38</v>
      </c>
      <c r="K551" t="s">
        <v>39</v>
      </c>
      <c r="L551" t="s">
        <v>29</v>
      </c>
      <c r="M551" t="s">
        <v>30</v>
      </c>
      <c r="N551" t="s">
        <v>31</v>
      </c>
      <c r="Q551" t="s">
        <v>782</v>
      </c>
      <c r="R551" t="s">
        <v>782</v>
      </c>
    </row>
    <row r="552" spans="1:18" x14ac:dyDescent="0.3">
      <c r="A552" s="2" t="str">
        <f>HYPERLINK(B552,"Oppna PDF")</f>
        <v>Oppna PDF</v>
      </c>
      <c r="B552" t="s">
        <v>1698</v>
      </c>
      <c r="C552" t="s">
        <v>1702</v>
      </c>
      <c r="D552" t="s">
        <v>748</v>
      </c>
      <c r="E552" t="s">
        <v>1700</v>
      </c>
      <c r="F552" t="s">
        <v>459</v>
      </c>
      <c r="G552" t="s">
        <v>460</v>
      </c>
      <c r="H552" t="s">
        <v>25</v>
      </c>
      <c r="I552" t="s">
        <v>750</v>
      </c>
      <c r="J552" t="s">
        <v>34</v>
      </c>
      <c r="K552" t="s">
        <v>35</v>
      </c>
      <c r="L552" t="s">
        <v>29</v>
      </c>
      <c r="M552" t="s">
        <v>30</v>
      </c>
      <c r="N552" t="s">
        <v>31</v>
      </c>
      <c r="Q552" t="e">
        <f>- Skalenliga profilskisser av platsen där avfallet ska användas.</f>
        <v>#NAME?</v>
      </c>
      <c r="R552" t="e">
        <f>- Skalenliga profilskisser av platsen där avfallet ska användas.</f>
        <v>#NAME?</v>
      </c>
    </row>
    <row r="553" spans="1:18" x14ac:dyDescent="0.3">
      <c r="A553" s="2" t="str">
        <f>HYPERLINK(B553,"Oppna PDF")</f>
        <v>Oppna PDF</v>
      </c>
      <c r="B553" t="s">
        <v>1703</v>
      </c>
      <c r="C553" t="s">
        <v>1704</v>
      </c>
      <c r="D553" t="s">
        <v>748</v>
      </c>
      <c r="E553" t="s">
        <v>1705</v>
      </c>
      <c r="F553" t="s">
        <v>459</v>
      </c>
      <c r="G553" t="s">
        <v>460</v>
      </c>
      <c r="H553" t="s">
        <v>25</v>
      </c>
      <c r="I553" t="s">
        <v>750</v>
      </c>
      <c r="J553" t="s">
        <v>91</v>
      </c>
      <c r="K553" t="s">
        <v>92</v>
      </c>
      <c r="L553" t="s">
        <v>29</v>
      </c>
      <c r="M553" t="s">
        <v>30</v>
      </c>
      <c r="N553" t="s">
        <v>31</v>
      </c>
      <c r="Q553" t="s">
        <v>786</v>
      </c>
      <c r="R553" t="s">
        <v>787</v>
      </c>
    </row>
    <row r="554" spans="1:18" x14ac:dyDescent="0.3">
      <c r="A554" s="2" t="str">
        <f>HYPERLINK(B554,"Oppna PDF")</f>
        <v>Oppna PDF</v>
      </c>
      <c r="B554" t="s">
        <v>1703</v>
      </c>
      <c r="C554" t="s">
        <v>1706</v>
      </c>
      <c r="D554" t="s">
        <v>748</v>
      </c>
      <c r="E554" t="s">
        <v>1705</v>
      </c>
      <c r="F554" t="s">
        <v>459</v>
      </c>
      <c r="G554" t="s">
        <v>460</v>
      </c>
      <c r="H554" t="s">
        <v>25</v>
      </c>
      <c r="I554" t="s">
        <v>750</v>
      </c>
      <c r="J554" t="s">
        <v>38</v>
      </c>
      <c r="K554" t="s">
        <v>39</v>
      </c>
      <c r="L554" t="s">
        <v>29</v>
      </c>
      <c r="M554" t="s">
        <v>30</v>
      </c>
      <c r="N554" t="s">
        <v>31</v>
      </c>
      <c r="Q554" t="s">
        <v>782</v>
      </c>
      <c r="R554" t="s">
        <v>782</v>
      </c>
    </row>
    <row r="555" spans="1:18" x14ac:dyDescent="0.3">
      <c r="A555" s="2" t="str">
        <f>HYPERLINK(B555,"Oppna PDF")</f>
        <v>Oppna PDF</v>
      </c>
      <c r="B555" t="s">
        <v>1703</v>
      </c>
      <c r="C555" t="s">
        <v>1707</v>
      </c>
      <c r="D555" t="s">
        <v>748</v>
      </c>
      <c r="E555" t="s">
        <v>1705</v>
      </c>
      <c r="F555" t="s">
        <v>459</v>
      </c>
      <c r="G555" t="s">
        <v>460</v>
      </c>
      <c r="H555" t="s">
        <v>25</v>
      </c>
      <c r="I555" t="s">
        <v>750</v>
      </c>
      <c r="J555" t="s">
        <v>34</v>
      </c>
      <c r="K555" t="s">
        <v>35</v>
      </c>
      <c r="L555" t="s">
        <v>29</v>
      </c>
      <c r="M555" t="s">
        <v>30</v>
      </c>
      <c r="N555" t="s">
        <v>31</v>
      </c>
      <c r="Q555" t="e">
        <f>- Skalenliga profilskisser av platsen där avfallet ska användas.</f>
        <v>#NAME?</v>
      </c>
      <c r="R555" t="e">
        <f>- Skalenliga profilskisser av platsen där avfallet ska användas.</f>
        <v>#NAME?</v>
      </c>
    </row>
    <row r="556" spans="1:18" x14ac:dyDescent="0.3">
      <c r="A556" s="2" t="str">
        <f>HYPERLINK(B556,"Oppna PDF")</f>
        <v>Oppna PDF</v>
      </c>
      <c r="B556" t="s">
        <v>1708</v>
      </c>
      <c r="C556" t="s">
        <v>1709</v>
      </c>
      <c r="D556" t="s">
        <v>748</v>
      </c>
      <c r="E556" t="s">
        <v>1710</v>
      </c>
      <c r="F556" t="s">
        <v>459</v>
      </c>
      <c r="G556" t="s">
        <v>460</v>
      </c>
      <c r="H556" t="s">
        <v>25</v>
      </c>
      <c r="I556" t="s">
        <v>750</v>
      </c>
      <c r="J556" t="s">
        <v>91</v>
      </c>
      <c r="K556" t="s">
        <v>92</v>
      </c>
      <c r="L556" t="s">
        <v>29</v>
      </c>
      <c r="M556" t="s">
        <v>30</v>
      </c>
      <c r="N556" t="s">
        <v>31</v>
      </c>
      <c r="Q556" t="s">
        <v>786</v>
      </c>
      <c r="R556" t="s">
        <v>787</v>
      </c>
    </row>
    <row r="557" spans="1:18" x14ac:dyDescent="0.3">
      <c r="A557" s="2" t="str">
        <f>HYPERLINK(B557,"Oppna PDF")</f>
        <v>Oppna PDF</v>
      </c>
      <c r="B557" t="s">
        <v>1708</v>
      </c>
      <c r="C557" t="s">
        <v>1711</v>
      </c>
      <c r="D557" t="s">
        <v>748</v>
      </c>
      <c r="E557" t="s">
        <v>1710</v>
      </c>
      <c r="F557" t="s">
        <v>459</v>
      </c>
      <c r="G557" t="s">
        <v>460</v>
      </c>
      <c r="H557" t="s">
        <v>25</v>
      </c>
      <c r="I557" t="s">
        <v>750</v>
      </c>
      <c r="J557" t="s">
        <v>38</v>
      </c>
      <c r="K557" t="s">
        <v>39</v>
      </c>
      <c r="L557" t="s">
        <v>29</v>
      </c>
      <c r="M557" t="s">
        <v>30</v>
      </c>
      <c r="N557" t="s">
        <v>31</v>
      </c>
      <c r="Q557" t="s">
        <v>782</v>
      </c>
      <c r="R557" t="s">
        <v>782</v>
      </c>
    </row>
    <row r="558" spans="1:18" x14ac:dyDescent="0.3">
      <c r="A558" s="2" t="str">
        <f>HYPERLINK(B558,"Oppna PDF")</f>
        <v>Oppna PDF</v>
      </c>
      <c r="B558" t="s">
        <v>1708</v>
      </c>
      <c r="C558" t="s">
        <v>1712</v>
      </c>
      <c r="D558" t="s">
        <v>748</v>
      </c>
      <c r="E558" t="s">
        <v>1710</v>
      </c>
      <c r="F558" t="s">
        <v>459</v>
      </c>
      <c r="G558" t="s">
        <v>460</v>
      </c>
      <c r="H558" t="s">
        <v>25</v>
      </c>
      <c r="I558" t="s">
        <v>750</v>
      </c>
      <c r="J558" t="s">
        <v>34</v>
      </c>
      <c r="K558" t="s">
        <v>35</v>
      </c>
      <c r="L558" t="s">
        <v>29</v>
      </c>
      <c r="M558" t="s">
        <v>30</v>
      </c>
      <c r="N558" t="s">
        <v>31</v>
      </c>
      <c r="Q558" t="e">
        <f>- Skalenliga profilskisser av platsen där avfallet ska användas.</f>
        <v>#NAME?</v>
      </c>
      <c r="R558" t="e">
        <f>- Skalenliga profilskisser av platsen där avfallet ska användas.</f>
        <v>#NAME?</v>
      </c>
    </row>
    <row r="559" spans="1:18" x14ac:dyDescent="0.3">
      <c r="A559" s="2" t="str">
        <f>HYPERLINK(B559,"Oppna PDF")</f>
        <v>Oppna PDF</v>
      </c>
      <c r="B559" t="s">
        <v>1713</v>
      </c>
      <c r="C559" t="s">
        <v>1714</v>
      </c>
      <c r="D559" t="s">
        <v>748</v>
      </c>
      <c r="E559" t="s">
        <v>1715</v>
      </c>
      <c r="F559" t="s">
        <v>459</v>
      </c>
      <c r="G559" t="s">
        <v>460</v>
      </c>
      <c r="H559" t="s">
        <v>25</v>
      </c>
      <c r="I559" t="s">
        <v>750</v>
      </c>
      <c r="J559" t="s">
        <v>27</v>
      </c>
      <c r="K559" t="s">
        <v>28</v>
      </c>
      <c r="L559" t="s">
        <v>29</v>
      </c>
      <c r="M559" t="s">
        <v>30</v>
      </c>
      <c r="N559" t="s">
        <v>31</v>
      </c>
      <c r="Q559" t="s">
        <v>793</v>
      </c>
      <c r="R559" t="s">
        <v>793</v>
      </c>
    </row>
    <row r="560" spans="1:18" x14ac:dyDescent="0.3">
      <c r="A560" s="2" t="str">
        <f>HYPERLINK(B560,"Oppna PDF")</f>
        <v>Oppna PDF</v>
      </c>
      <c r="B560" t="s">
        <v>1713</v>
      </c>
      <c r="C560" t="s">
        <v>1716</v>
      </c>
      <c r="D560" t="s">
        <v>748</v>
      </c>
      <c r="E560" t="s">
        <v>1715</v>
      </c>
      <c r="F560" t="s">
        <v>459</v>
      </c>
      <c r="G560" t="s">
        <v>460</v>
      </c>
      <c r="H560" t="s">
        <v>25</v>
      </c>
      <c r="I560" t="s">
        <v>750</v>
      </c>
      <c r="J560" t="s">
        <v>34</v>
      </c>
      <c r="K560" t="s">
        <v>35</v>
      </c>
      <c r="L560" t="s">
        <v>29</v>
      </c>
      <c r="M560" t="s">
        <v>30</v>
      </c>
      <c r="N560" t="s">
        <v>31</v>
      </c>
      <c r="Q560" t="s">
        <v>795</v>
      </c>
      <c r="R560" t="s">
        <v>795</v>
      </c>
    </row>
    <row r="561" spans="1:18" x14ac:dyDescent="0.3">
      <c r="A561" s="2" t="str">
        <f>HYPERLINK(B561,"Oppna PDF")</f>
        <v>Oppna PDF</v>
      </c>
      <c r="B561" t="s">
        <v>1713</v>
      </c>
      <c r="C561" t="s">
        <v>1717</v>
      </c>
      <c r="D561" t="s">
        <v>748</v>
      </c>
      <c r="E561" t="s">
        <v>1715</v>
      </c>
      <c r="F561" t="s">
        <v>459</v>
      </c>
      <c r="G561" t="s">
        <v>460</v>
      </c>
      <c r="H561" t="s">
        <v>25</v>
      </c>
      <c r="I561" t="s">
        <v>750</v>
      </c>
      <c r="J561" t="s">
        <v>91</v>
      </c>
      <c r="K561" t="s">
        <v>92</v>
      </c>
      <c r="L561" t="s">
        <v>29</v>
      </c>
      <c r="M561" t="s">
        <v>30</v>
      </c>
      <c r="N561" t="s">
        <v>31</v>
      </c>
      <c r="Q561" t="s">
        <v>797</v>
      </c>
      <c r="R561" t="s">
        <v>797</v>
      </c>
    </row>
    <row r="562" spans="1:18" x14ac:dyDescent="0.3">
      <c r="A562" s="2" t="str">
        <f>HYPERLINK(B562,"Oppna PDF")</f>
        <v>Oppna PDF</v>
      </c>
      <c r="B562" t="s">
        <v>1718</v>
      </c>
      <c r="C562" t="s">
        <v>1719</v>
      </c>
      <c r="D562" t="s">
        <v>748</v>
      </c>
      <c r="E562" t="s">
        <v>1720</v>
      </c>
      <c r="F562" t="s">
        <v>459</v>
      </c>
      <c r="G562" t="s">
        <v>460</v>
      </c>
      <c r="H562" t="s">
        <v>25</v>
      </c>
      <c r="I562" t="s">
        <v>750</v>
      </c>
      <c r="J562" t="s">
        <v>91</v>
      </c>
      <c r="K562" t="s">
        <v>92</v>
      </c>
      <c r="L562" t="s">
        <v>29</v>
      </c>
      <c r="M562" t="s">
        <v>30</v>
      </c>
      <c r="N562" t="s">
        <v>31</v>
      </c>
      <c r="Q562" t="s">
        <v>786</v>
      </c>
      <c r="R562" t="s">
        <v>787</v>
      </c>
    </row>
    <row r="563" spans="1:18" x14ac:dyDescent="0.3">
      <c r="A563" s="2" t="str">
        <f>HYPERLINK(B563,"Oppna PDF")</f>
        <v>Oppna PDF</v>
      </c>
      <c r="B563" t="s">
        <v>1718</v>
      </c>
      <c r="C563" t="s">
        <v>1721</v>
      </c>
      <c r="D563" t="s">
        <v>748</v>
      </c>
      <c r="E563" t="s">
        <v>1720</v>
      </c>
      <c r="F563" t="s">
        <v>459</v>
      </c>
      <c r="G563" t="s">
        <v>460</v>
      </c>
      <c r="H563" t="s">
        <v>25</v>
      </c>
      <c r="I563" t="s">
        <v>750</v>
      </c>
      <c r="J563" t="s">
        <v>38</v>
      </c>
      <c r="K563" t="s">
        <v>39</v>
      </c>
      <c r="L563" t="s">
        <v>29</v>
      </c>
      <c r="M563" t="s">
        <v>30</v>
      </c>
      <c r="N563" t="s">
        <v>31</v>
      </c>
      <c r="Q563" t="s">
        <v>782</v>
      </c>
      <c r="R563" t="s">
        <v>782</v>
      </c>
    </row>
    <row r="564" spans="1:18" x14ac:dyDescent="0.3">
      <c r="A564" s="2" t="str">
        <f>HYPERLINK(B564,"Oppna PDF")</f>
        <v>Oppna PDF</v>
      </c>
      <c r="B564" t="s">
        <v>1718</v>
      </c>
      <c r="C564" t="s">
        <v>1722</v>
      </c>
      <c r="D564" t="s">
        <v>748</v>
      </c>
      <c r="E564" t="s">
        <v>1720</v>
      </c>
      <c r="F564" t="s">
        <v>459</v>
      </c>
      <c r="G564" t="s">
        <v>460</v>
      </c>
      <c r="H564" t="s">
        <v>25</v>
      </c>
      <c r="I564" t="s">
        <v>750</v>
      </c>
      <c r="J564" t="s">
        <v>34</v>
      </c>
      <c r="K564" t="s">
        <v>35</v>
      </c>
      <c r="L564" t="s">
        <v>29</v>
      </c>
      <c r="M564" t="s">
        <v>30</v>
      </c>
      <c r="N564" t="s">
        <v>31</v>
      </c>
      <c r="Q564" t="e">
        <f>- Skalenliga profilskisser av platsen där avfallet ska användas.</f>
        <v>#NAME?</v>
      </c>
      <c r="R564" t="e">
        <f>- Skalenliga profilskisser av platsen där avfallet ska användas.</f>
        <v>#NAME?</v>
      </c>
    </row>
    <row r="565" spans="1:18" x14ac:dyDescent="0.3">
      <c r="A565" s="2" t="str">
        <f>HYPERLINK(B565,"Oppna PDF")</f>
        <v>Oppna PDF</v>
      </c>
      <c r="B565" t="s">
        <v>1723</v>
      </c>
      <c r="C565" t="s">
        <v>1724</v>
      </c>
      <c r="D565" t="s">
        <v>775</v>
      </c>
      <c r="E565" t="s">
        <v>1725</v>
      </c>
      <c r="H565" t="s">
        <v>25</v>
      </c>
      <c r="I565" t="s">
        <v>777</v>
      </c>
      <c r="J565" t="s">
        <v>87</v>
      </c>
      <c r="K565" t="s">
        <v>88</v>
      </c>
      <c r="L565" t="s">
        <v>29</v>
      </c>
      <c r="M565" t="s">
        <v>30</v>
      </c>
      <c r="N565" t="s">
        <v>31</v>
      </c>
      <c r="Q565" t="s">
        <v>751</v>
      </c>
      <c r="R565" t="s">
        <v>751</v>
      </c>
    </row>
    <row r="566" spans="1:18" x14ac:dyDescent="0.3">
      <c r="A566" s="2" t="str">
        <f>HYPERLINK(B566,"Oppna PDF")</f>
        <v>Oppna PDF</v>
      </c>
      <c r="B566" t="s">
        <v>1723</v>
      </c>
      <c r="C566" t="s">
        <v>1726</v>
      </c>
      <c r="D566" t="s">
        <v>775</v>
      </c>
      <c r="E566" t="s">
        <v>1725</v>
      </c>
      <c r="H566" t="s">
        <v>25</v>
      </c>
      <c r="I566" t="s">
        <v>777</v>
      </c>
      <c r="J566" t="s">
        <v>27</v>
      </c>
      <c r="K566" t="s">
        <v>28</v>
      </c>
      <c r="L566" t="s">
        <v>29</v>
      </c>
      <c r="M566" t="s">
        <v>30</v>
      </c>
      <c r="N566" t="s">
        <v>31</v>
      </c>
      <c r="Q566" t="s">
        <v>753</v>
      </c>
      <c r="R566" t="s">
        <v>753</v>
      </c>
    </row>
    <row r="567" spans="1:18" x14ac:dyDescent="0.3">
      <c r="A567" s="2" t="str">
        <f>HYPERLINK(B567,"Oppna PDF")</f>
        <v>Oppna PDF</v>
      </c>
      <c r="B567" t="s">
        <v>1723</v>
      </c>
      <c r="C567" t="s">
        <v>1727</v>
      </c>
      <c r="D567" t="s">
        <v>775</v>
      </c>
      <c r="E567" t="s">
        <v>1725</v>
      </c>
      <c r="H567" t="s">
        <v>25</v>
      </c>
      <c r="I567" t="s">
        <v>777</v>
      </c>
      <c r="J567" t="s">
        <v>91</v>
      </c>
      <c r="K567" t="s">
        <v>92</v>
      </c>
      <c r="L567" t="s">
        <v>29</v>
      </c>
      <c r="M567" t="s">
        <v>30</v>
      </c>
      <c r="N567" t="s">
        <v>31</v>
      </c>
      <c r="Q567" t="s">
        <v>755</v>
      </c>
      <c r="R567" t="s">
        <v>755</v>
      </c>
    </row>
    <row r="568" spans="1:18" x14ac:dyDescent="0.3">
      <c r="A568" s="2" t="str">
        <f>HYPERLINK(B568,"Oppna PDF")</f>
        <v>Oppna PDF</v>
      </c>
      <c r="B568" t="s">
        <v>1728</v>
      </c>
      <c r="C568" t="s">
        <v>1729</v>
      </c>
      <c r="D568" t="s">
        <v>775</v>
      </c>
      <c r="E568" t="s">
        <v>1730</v>
      </c>
      <c r="H568" t="s">
        <v>25</v>
      </c>
      <c r="I568" t="s">
        <v>777</v>
      </c>
      <c r="J568" t="s">
        <v>34</v>
      </c>
      <c r="K568" t="s">
        <v>35</v>
      </c>
      <c r="L568" t="s">
        <v>29</v>
      </c>
      <c r="M568" t="s">
        <v>30</v>
      </c>
      <c r="N568" t="s">
        <v>31</v>
      </c>
      <c r="Q568" t="s">
        <v>759</v>
      </c>
      <c r="R568" t="s">
        <v>759</v>
      </c>
    </row>
    <row r="569" spans="1:18" x14ac:dyDescent="0.3">
      <c r="A569" s="2" t="str">
        <f>HYPERLINK(B569,"Oppna PDF")</f>
        <v>Oppna PDF</v>
      </c>
      <c r="B569" t="s">
        <v>1728</v>
      </c>
      <c r="C569" t="s">
        <v>1731</v>
      </c>
      <c r="D569" t="s">
        <v>775</v>
      </c>
      <c r="E569" t="s">
        <v>1730</v>
      </c>
      <c r="H569" t="s">
        <v>25</v>
      </c>
      <c r="I569" t="s">
        <v>777</v>
      </c>
      <c r="J569" t="s">
        <v>34</v>
      </c>
      <c r="K569" t="s">
        <v>35</v>
      </c>
      <c r="L569" t="s">
        <v>29</v>
      </c>
      <c r="M569" t="s">
        <v>30</v>
      </c>
      <c r="N569" t="s">
        <v>31</v>
      </c>
      <c r="Q569" t="s">
        <v>761</v>
      </c>
      <c r="R569" t="s">
        <v>761</v>
      </c>
    </row>
    <row r="570" spans="1:18" x14ac:dyDescent="0.3">
      <c r="A570" s="2" t="str">
        <f>HYPERLINK(B570,"Oppna PDF")</f>
        <v>Oppna PDF</v>
      </c>
      <c r="B570" t="s">
        <v>1732</v>
      </c>
      <c r="C570" t="s">
        <v>1733</v>
      </c>
      <c r="D570" t="s">
        <v>775</v>
      </c>
      <c r="E570" t="s">
        <v>1734</v>
      </c>
      <c r="H570" t="s">
        <v>25</v>
      </c>
      <c r="I570" t="s">
        <v>777</v>
      </c>
      <c r="J570" t="s">
        <v>38</v>
      </c>
      <c r="K570" t="s">
        <v>39</v>
      </c>
      <c r="L570" t="s">
        <v>29</v>
      </c>
      <c r="M570" t="s">
        <v>30</v>
      </c>
      <c r="N570" t="s">
        <v>31</v>
      </c>
      <c r="Q570" t="s">
        <v>882</v>
      </c>
      <c r="R570" t="s">
        <v>882</v>
      </c>
    </row>
    <row r="571" spans="1:18" x14ac:dyDescent="0.3">
      <c r="A571" s="2" t="str">
        <f>HYPERLINK(B571,"Oppna PDF")</f>
        <v>Oppna PDF</v>
      </c>
      <c r="B571" t="s">
        <v>1732</v>
      </c>
      <c r="C571" t="s">
        <v>1735</v>
      </c>
      <c r="D571" t="s">
        <v>775</v>
      </c>
      <c r="E571" t="s">
        <v>1734</v>
      </c>
      <c r="H571" t="s">
        <v>25</v>
      </c>
      <c r="I571" t="s">
        <v>777</v>
      </c>
      <c r="J571" t="s">
        <v>27</v>
      </c>
      <c r="K571" t="s">
        <v>28</v>
      </c>
      <c r="L571" t="s">
        <v>29</v>
      </c>
      <c r="M571" t="s">
        <v>30</v>
      </c>
      <c r="N571" t="s">
        <v>31</v>
      </c>
      <c r="Q571" t="s">
        <v>884</v>
      </c>
      <c r="R571" t="s">
        <v>884</v>
      </c>
    </row>
    <row r="572" spans="1:18" x14ac:dyDescent="0.3">
      <c r="A572" s="2" t="str">
        <f>HYPERLINK(B572,"Oppna PDF")</f>
        <v>Oppna PDF</v>
      </c>
      <c r="B572" t="s">
        <v>1732</v>
      </c>
      <c r="C572" t="s">
        <v>1736</v>
      </c>
      <c r="D572" t="s">
        <v>775</v>
      </c>
      <c r="E572" t="s">
        <v>1734</v>
      </c>
      <c r="H572" t="s">
        <v>25</v>
      </c>
      <c r="I572" t="s">
        <v>777</v>
      </c>
      <c r="J572" t="s">
        <v>48</v>
      </c>
      <c r="K572" t="s">
        <v>49</v>
      </c>
      <c r="L572" t="s">
        <v>29</v>
      </c>
      <c r="M572" t="s">
        <v>30</v>
      </c>
      <c r="N572" t="s">
        <v>31</v>
      </c>
      <c r="Q572" t="s">
        <v>886</v>
      </c>
      <c r="R572" t="s">
        <v>886</v>
      </c>
    </row>
    <row r="573" spans="1:18" x14ac:dyDescent="0.3">
      <c r="A573" s="2" t="str">
        <f>HYPERLINK(B573,"Oppna PDF")</f>
        <v>Oppna PDF</v>
      </c>
      <c r="B573" t="s">
        <v>1737</v>
      </c>
      <c r="C573" t="s">
        <v>1738</v>
      </c>
      <c r="D573" t="s">
        <v>775</v>
      </c>
      <c r="E573" t="s">
        <v>1739</v>
      </c>
      <c r="H573" t="s">
        <v>25</v>
      </c>
      <c r="I573" t="s">
        <v>777</v>
      </c>
      <c r="J573" t="s">
        <v>87</v>
      </c>
      <c r="K573" t="s">
        <v>88</v>
      </c>
      <c r="L573" t="s">
        <v>29</v>
      </c>
      <c r="M573" t="s">
        <v>30</v>
      </c>
      <c r="N573" t="s">
        <v>31</v>
      </c>
      <c r="Q573" t="s">
        <v>903</v>
      </c>
      <c r="R573" t="s">
        <v>903</v>
      </c>
    </row>
    <row r="574" spans="1:18" x14ac:dyDescent="0.3">
      <c r="A574" s="2" t="str">
        <f>HYPERLINK(B574,"Oppna PDF")</f>
        <v>Oppna PDF</v>
      </c>
      <c r="B574" t="s">
        <v>1737</v>
      </c>
      <c r="C574" t="s">
        <v>1740</v>
      </c>
      <c r="D574" t="s">
        <v>775</v>
      </c>
      <c r="E574" t="s">
        <v>1739</v>
      </c>
      <c r="H574" t="s">
        <v>25</v>
      </c>
      <c r="I574" t="s">
        <v>777</v>
      </c>
      <c r="J574" t="s">
        <v>87</v>
      </c>
      <c r="K574" t="s">
        <v>88</v>
      </c>
      <c r="L574" t="s">
        <v>29</v>
      </c>
      <c r="M574" t="s">
        <v>30</v>
      </c>
      <c r="N574" t="s">
        <v>31</v>
      </c>
      <c r="Q574" t="s">
        <v>905</v>
      </c>
      <c r="R574" t="s">
        <v>905</v>
      </c>
    </row>
    <row r="575" spans="1:18" x14ac:dyDescent="0.3">
      <c r="A575" s="2" t="str">
        <f>HYPERLINK(B575,"Oppna PDF")</f>
        <v>Oppna PDF</v>
      </c>
      <c r="B575" t="s">
        <v>1737</v>
      </c>
      <c r="C575" t="s">
        <v>1741</v>
      </c>
      <c r="D575" t="s">
        <v>775</v>
      </c>
      <c r="E575" t="s">
        <v>1739</v>
      </c>
      <c r="H575" t="s">
        <v>25</v>
      </c>
      <c r="I575" t="s">
        <v>777</v>
      </c>
      <c r="J575" t="s">
        <v>87</v>
      </c>
      <c r="K575" t="s">
        <v>88</v>
      </c>
      <c r="L575" t="s">
        <v>29</v>
      </c>
      <c r="M575" t="s">
        <v>30</v>
      </c>
      <c r="N575" t="s">
        <v>31</v>
      </c>
      <c r="Q575" t="s">
        <v>907</v>
      </c>
      <c r="R575" t="s">
        <v>907</v>
      </c>
    </row>
    <row r="576" spans="1:18" x14ac:dyDescent="0.3">
      <c r="A576" s="2" t="str">
        <f>HYPERLINK(B576,"Oppna PDF")</f>
        <v>Oppna PDF</v>
      </c>
      <c r="B576" t="s">
        <v>1742</v>
      </c>
      <c r="C576" t="s">
        <v>1743</v>
      </c>
      <c r="D576" t="s">
        <v>775</v>
      </c>
      <c r="E576" t="s">
        <v>1744</v>
      </c>
      <c r="H576" t="s">
        <v>25</v>
      </c>
      <c r="I576" t="s">
        <v>777</v>
      </c>
      <c r="J576" t="s">
        <v>34</v>
      </c>
      <c r="K576" t="s">
        <v>35</v>
      </c>
      <c r="L576" t="s">
        <v>29</v>
      </c>
      <c r="M576" t="s">
        <v>30</v>
      </c>
      <c r="N576" t="s">
        <v>31</v>
      </c>
      <c r="Q576" t="s">
        <v>770</v>
      </c>
      <c r="R576" t="s">
        <v>770</v>
      </c>
    </row>
    <row r="577" spans="1:18" x14ac:dyDescent="0.3">
      <c r="A577" s="2" t="str">
        <f>HYPERLINK(B577,"Oppna PDF")</f>
        <v>Oppna PDF</v>
      </c>
      <c r="B577" t="s">
        <v>1742</v>
      </c>
      <c r="C577" t="s">
        <v>1745</v>
      </c>
      <c r="D577" t="s">
        <v>775</v>
      </c>
      <c r="E577" t="s">
        <v>1744</v>
      </c>
      <c r="H577" t="s">
        <v>25</v>
      </c>
      <c r="I577" t="s">
        <v>777</v>
      </c>
      <c r="J577" t="s">
        <v>34</v>
      </c>
      <c r="K577" t="s">
        <v>35</v>
      </c>
      <c r="L577" t="s">
        <v>29</v>
      </c>
      <c r="M577" t="s">
        <v>30</v>
      </c>
      <c r="N577" t="s">
        <v>31</v>
      </c>
      <c r="Q577" t="s">
        <v>772</v>
      </c>
      <c r="R577" t="s">
        <v>772</v>
      </c>
    </row>
    <row r="578" spans="1:18" x14ac:dyDescent="0.3">
      <c r="A578" s="2" t="str">
        <f>HYPERLINK(B578,"Oppna PDF")</f>
        <v>Oppna PDF</v>
      </c>
      <c r="B578" t="s">
        <v>1746</v>
      </c>
      <c r="C578" t="s">
        <v>1747</v>
      </c>
      <c r="D578" t="s">
        <v>457</v>
      </c>
      <c r="E578" t="s">
        <v>1748</v>
      </c>
      <c r="F578" t="s">
        <v>459</v>
      </c>
      <c r="G578" t="s">
        <v>460</v>
      </c>
      <c r="H578" t="s">
        <v>25</v>
      </c>
      <c r="I578" t="s">
        <v>461</v>
      </c>
      <c r="J578" t="s">
        <v>34</v>
      </c>
      <c r="K578" t="s">
        <v>35</v>
      </c>
      <c r="L578" t="s">
        <v>142</v>
      </c>
      <c r="M578" t="s">
        <v>30</v>
      </c>
      <c r="N578" t="s">
        <v>31</v>
      </c>
      <c r="Q578" t="s">
        <v>1749</v>
      </c>
      <c r="R578" t="s">
        <v>1749</v>
      </c>
    </row>
    <row r="579" spans="1:18" x14ac:dyDescent="0.3">
      <c r="A579" s="2" t="str">
        <f>HYPERLINK(B579,"Oppna PDF")</f>
        <v>Oppna PDF</v>
      </c>
      <c r="B579" t="s">
        <v>1746</v>
      </c>
      <c r="C579" t="s">
        <v>1750</v>
      </c>
      <c r="D579" t="s">
        <v>457</v>
      </c>
      <c r="E579" t="s">
        <v>1748</v>
      </c>
      <c r="F579" t="s">
        <v>459</v>
      </c>
      <c r="G579" t="s">
        <v>460</v>
      </c>
      <c r="H579" t="s">
        <v>25</v>
      </c>
      <c r="I579" t="s">
        <v>461</v>
      </c>
      <c r="J579" t="s">
        <v>48</v>
      </c>
      <c r="K579" t="s">
        <v>49</v>
      </c>
      <c r="L579" t="s">
        <v>29</v>
      </c>
      <c r="M579" t="s">
        <v>30</v>
      </c>
      <c r="N579" t="s">
        <v>31</v>
      </c>
      <c r="Q579" t="s">
        <v>1751</v>
      </c>
      <c r="R579" t="s">
        <v>1751</v>
      </c>
    </row>
    <row r="580" spans="1:18" x14ac:dyDescent="0.3">
      <c r="A580" s="2" t="str">
        <f>HYPERLINK(B580,"Oppna PDF")</f>
        <v>Oppna PDF</v>
      </c>
      <c r="B580" t="s">
        <v>1752</v>
      </c>
      <c r="C580" t="s">
        <v>1753</v>
      </c>
      <c r="D580" t="s">
        <v>1571</v>
      </c>
      <c r="E580" t="s">
        <v>1754</v>
      </c>
      <c r="H580" t="s">
        <v>61</v>
      </c>
      <c r="I580" t="s">
        <v>1573</v>
      </c>
      <c r="J580" t="s">
        <v>48</v>
      </c>
      <c r="K580" t="s">
        <v>49</v>
      </c>
      <c r="L580" t="s">
        <v>29</v>
      </c>
      <c r="M580" t="s">
        <v>30</v>
      </c>
      <c r="N580" t="s">
        <v>31</v>
      </c>
      <c r="Q580" t="s">
        <v>692</v>
      </c>
      <c r="R580" t="s">
        <v>692</v>
      </c>
    </row>
    <row r="581" spans="1:18" x14ac:dyDescent="0.3">
      <c r="A581" s="2" t="str">
        <f>HYPERLINK(B581,"Oppna PDF")</f>
        <v>Oppna PDF</v>
      </c>
      <c r="B581" t="s">
        <v>1752</v>
      </c>
      <c r="C581" t="s">
        <v>1755</v>
      </c>
      <c r="D581" t="s">
        <v>1571</v>
      </c>
      <c r="E581" t="s">
        <v>1754</v>
      </c>
      <c r="H581" t="s">
        <v>61</v>
      </c>
      <c r="I581" t="s">
        <v>1573</v>
      </c>
      <c r="J581" t="s">
        <v>27</v>
      </c>
      <c r="K581" t="s">
        <v>28</v>
      </c>
      <c r="L581" t="s">
        <v>29</v>
      </c>
      <c r="M581" t="s">
        <v>30</v>
      </c>
      <c r="N581" t="s">
        <v>31</v>
      </c>
      <c r="Q581" t="s">
        <v>694</v>
      </c>
      <c r="R581" t="s">
        <v>694</v>
      </c>
    </row>
    <row r="582" spans="1:18" x14ac:dyDescent="0.3">
      <c r="A582" s="2" t="str">
        <f>HYPERLINK(B582,"Oppna PDF")</f>
        <v>Oppna PDF</v>
      </c>
      <c r="B582" t="s">
        <v>1752</v>
      </c>
      <c r="C582" t="s">
        <v>1756</v>
      </c>
      <c r="D582" t="s">
        <v>1571</v>
      </c>
      <c r="E582" t="s">
        <v>1754</v>
      </c>
      <c r="H582" t="s">
        <v>61</v>
      </c>
      <c r="I582" t="s">
        <v>1573</v>
      </c>
      <c r="J582" t="s">
        <v>27</v>
      </c>
      <c r="K582" t="s">
        <v>28</v>
      </c>
      <c r="L582" t="s">
        <v>29</v>
      </c>
      <c r="M582" t="s">
        <v>30</v>
      </c>
      <c r="N582" t="s">
        <v>31</v>
      </c>
      <c r="Q582" t="s">
        <v>696</v>
      </c>
      <c r="R582" t="s">
        <v>696</v>
      </c>
    </row>
    <row r="583" spans="1:18" x14ac:dyDescent="0.3">
      <c r="A583" s="2" t="str">
        <f>HYPERLINK(B583,"Oppna PDF")</f>
        <v>Oppna PDF</v>
      </c>
      <c r="B583" t="s">
        <v>1757</v>
      </c>
      <c r="C583" t="s">
        <v>1758</v>
      </c>
      <c r="D583" t="s">
        <v>457</v>
      </c>
      <c r="E583" t="s">
        <v>1759</v>
      </c>
      <c r="F583" t="s">
        <v>459</v>
      </c>
      <c r="G583" t="s">
        <v>460</v>
      </c>
      <c r="H583" t="s">
        <v>25</v>
      </c>
      <c r="I583" t="s">
        <v>461</v>
      </c>
      <c r="J583" t="s">
        <v>27</v>
      </c>
      <c r="K583" t="s">
        <v>28</v>
      </c>
      <c r="L583" t="s">
        <v>29</v>
      </c>
      <c r="M583" t="s">
        <v>30</v>
      </c>
      <c r="N583" t="s">
        <v>31</v>
      </c>
      <c r="Q583" t="s">
        <v>1760</v>
      </c>
      <c r="R583" t="s">
        <v>1760</v>
      </c>
    </row>
    <row r="584" spans="1:18" x14ac:dyDescent="0.3">
      <c r="A584" s="2" t="str">
        <f>HYPERLINK(B584,"Oppna PDF")</f>
        <v>Oppna PDF</v>
      </c>
      <c r="B584" t="s">
        <v>1761</v>
      </c>
      <c r="C584" t="s">
        <v>1762</v>
      </c>
      <c r="D584" t="s">
        <v>457</v>
      </c>
      <c r="E584" t="s">
        <v>1763</v>
      </c>
      <c r="F584" t="s">
        <v>459</v>
      </c>
      <c r="G584" t="s">
        <v>460</v>
      </c>
      <c r="H584" t="s">
        <v>25</v>
      </c>
      <c r="I584" t="s">
        <v>461</v>
      </c>
      <c r="J584" t="s">
        <v>38</v>
      </c>
      <c r="K584" t="s">
        <v>39</v>
      </c>
      <c r="L584" t="s">
        <v>29</v>
      </c>
      <c r="M584" t="s">
        <v>30</v>
      </c>
      <c r="N584" t="s">
        <v>31</v>
      </c>
      <c r="Q584" t="s">
        <v>1764</v>
      </c>
      <c r="R584" t="s">
        <v>1764</v>
      </c>
    </row>
    <row r="585" spans="1:18" x14ac:dyDescent="0.3">
      <c r="A585" s="2" t="str">
        <f>HYPERLINK(B585,"Oppna PDF")</f>
        <v>Oppna PDF</v>
      </c>
      <c r="B585" t="s">
        <v>1765</v>
      </c>
      <c r="C585" t="s">
        <v>1766</v>
      </c>
      <c r="D585" t="s">
        <v>1767</v>
      </c>
      <c r="E585" t="s">
        <v>1768</v>
      </c>
      <c r="H585" t="s">
        <v>25</v>
      </c>
      <c r="I585" t="s">
        <v>1593</v>
      </c>
      <c r="J585" t="s">
        <v>38</v>
      </c>
      <c r="K585" t="s">
        <v>39</v>
      </c>
      <c r="L585" t="s">
        <v>29</v>
      </c>
      <c r="M585" t="s">
        <v>30</v>
      </c>
      <c r="N585" t="s">
        <v>31</v>
      </c>
      <c r="Q585" t="s">
        <v>1594</v>
      </c>
      <c r="R585" t="s">
        <v>1594</v>
      </c>
    </row>
    <row r="586" spans="1:18" x14ac:dyDescent="0.3">
      <c r="A586" s="2" t="str">
        <f>HYPERLINK(B586,"Oppna PDF")</f>
        <v>Oppna PDF</v>
      </c>
      <c r="B586" t="s">
        <v>1765</v>
      </c>
      <c r="C586" t="s">
        <v>1769</v>
      </c>
      <c r="D586" t="s">
        <v>1767</v>
      </c>
      <c r="E586" t="s">
        <v>1768</v>
      </c>
      <c r="H586" t="s">
        <v>25</v>
      </c>
      <c r="I586" t="s">
        <v>1593</v>
      </c>
      <c r="J586" t="s">
        <v>27</v>
      </c>
      <c r="K586" t="s">
        <v>28</v>
      </c>
      <c r="L586" t="s">
        <v>29</v>
      </c>
      <c r="M586" t="s">
        <v>30</v>
      </c>
      <c r="N586" t="s">
        <v>31</v>
      </c>
      <c r="Q586" t="s">
        <v>1596</v>
      </c>
      <c r="R586" t="s">
        <v>1596</v>
      </c>
    </row>
    <row r="587" spans="1:18" x14ac:dyDescent="0.3">
      <c r="A587" s="2" t="str">
        <f>HYPERLINK(B587,"Oppna PDF")</f>
        <v>Oppna PDF</v>
      </c>
      <c r="B587" t="s">
        <v>1765</v>
      </c>
      <c r="C587" t="s">
        <v>1770</v>
      </c>
      <c r="D587" t="s">
        <v>1767</v>
      </c>
      <c r="E587" t="s">
        <v>1768</v>
      </c>
      <c r="H587" t="s">
        <v>25</v>
      </c>
      <c r="I587" t="s">
        <v>1593</v>
      </c>
      <c r="J587" t="s">
        <v>209</v>
      </c>
      <c r="K587" t="s">
        <v>210</v>
      </c>
      <c r="L587" t="s">
        <v>300</v>
      </c>
      <c r="M587" t="s">
        <v>30</v>
      </c>
      <c r="N587" t="s">
        <v>31</v>
      </c>
      <c r="Q587" t="s">
        <v>1598</v>
      </c>
      <c r="R587" t="s">
        <v>1598</v>
      </c>
    </row>
    <row r="588" spans="1:18" x14ac:dyDescent="0.3">
      <c r="A588" s="2" t="str">
        <f>HYPERLINK(B588,"Oppna PDF")</f>
        <v>Oppna PDF</v>
      </c>
      <c r="B588" t="s">
        <v>1771</v>
      </c>
      <c r="C588" t="s">
        <v>1772</v>
      </c>
      <c r="D588" t="s">
        <v>457</v>
      </c>
      <c r="E588" t="s">
        <v>1773</v>
      </c>
      <c r="F588" t="s">
        <v>459</v>
      </c>
      <c r="G588" t="s">
        <v>460</v>
      </c>
      <c r="H588" t="s">
        <v>25</v>
      </c>
      <c r="I588" t="s">
        <v>461</v>
      </c>
      <c r="J588" t="s">
        <v>27</v>
      </c>
      <c r="K588" t="s">
        <v>28</v>
      </c>
      <c r="L588" t="s">
        <v>29</v>
      </c>
      <c r="M588" t="s">
        <v>30</v>
      </c>
      <c r="N588" t="s">
        <v>31</v>
      </c>
      <c r="Q588" t="s">
        <v>1774</v>
      </c>
      <c r="R588" t="s">
        <v>1774</v>
      </c>
    </row>
    <row r="589" spans="1:18" x14ac:dyDescent="0.3">
      <c r="A589" s="2" t="str">
        <f>HYPERLINK(B589,"Oppna PDF")</f>
        <v>Oppna PDF</v>
      </c>
      <c r="B589" t="s">
        <v>1771</v>
      </c>
      <c r="C589" t="s">
        <v>1775</v>
      </c>
      <c r="D589" t="s">
        <v>457</v>
      </c>
      <c r="E589" t="s">
        <v>1773</v>
      </c>
      <c r="F589" t="s">
        <v>459</v>
      </c>
      <c r="G589" t="s">
        <v>460</v>
      </c>
      <c r="H589" t="s">
        <v>25</v>
      </c>
      <c r="I589" t="s">
        <v>461</v>
      </c>
      <c r="J589" t="s">
        <v>27</v>
      </c>
      <c r="K589" t="s">
        <v>28</v>
      </c>
      <c r="L589" t="s">
        <v>29</v>
      </c>
      <c r="M589" t="s">
        <v>30</v>
      </c>
      <c r="N589" t="s">
        <v>31</v>
      </c>
      <c r="Q589" t="s">
        <v>1776</v>
      </c>
      <c r="R589" t="s">
        <v>1777</v>
      </c>
    </row>
    <row r="590" spans="1:18" x14ac:dyDescent="0.3">
      <c r="A590" s="2" t="str">
        <f>HYPERLINK(B590,"Oppna PDF")</f>
        <v>Oppna PDF</v>
      </c>
      <c r="B590" t="s">
        <v>1778</v>
      </c>
      <c r="C590" t="s">
        <v>1779</v>
      </c>
      <c r="D590" t="s">
        <v>457</v>
      </c>
      <c r="E590" t="s">
        <v>1780</v>
      </c>
      <c r="F590" t="s">
        <v>459</v>
      </c>
      <c r="G590" t="s">
        <v>460</v>
      </c>
      <c r="H590" t="s">
        <v>25</v>
      </c>
      <c r="I590" t="s">
        <v>461</v>
      </c>
      <c r="J590" t="s">
        <v>48</v>
      </c>
      <c r="K590" t="s">
        <v>49</v>
      </c>
      <c r="L590" t="s">
        <v>29</v>
      </c>
      <c r="M590" t="s">
        <v>30</v>
      </c>
      <c r="N590" t="s">
        <v>31</v>
      </c>
      <c r="Q590" t="s">
        <v>1781</v>
      </c>
      <c r="R590" t="s">
        <v>1782</v>
      </c>
    </row>
    <row r="591" spans="1:18" x14ac:dyDescent="0.3">
      <c r="A591" s="2" t="str">
        <f>HYPERLINK(B591,"Oppna PDF")</f>
        <v>Oppna PDF</v>
      </c>
      <c r="B591" t="s">
        <v>1778</v>
      </c>
      <c r="C591" t="s">
        <v>1783</v>
      </c>
      <c r="D591" t="s">
        <v>457</v>
      </c>
      <c r="E591" t="s">
        <v>1780</v>
      </c>
      <c r="F591" t="s">
        <v>459</v>
      </c>
      <c r="G591" t="s">
        <v>460</v>
      </c>
      <c r="H591" t="s">
        <v>25</v>
      </c>
      <c r="I591" t="s">
        <v>461</v>
      </c>
      <c r="J591" t="s">
        <v>34</v>
      </c>
      <c r="K591" t="s">
        <v>35</v>
      </c>
      <c r="L591" t="s">
        <v>29</v>
      </c>
      <c r="M591" t="s">
        <v>30</v>
      </c>
      <c r="N591" t="s">
        <v>31</v>
      </c>
      <c r="Q591" t="s">
        <v>1784</v>
      </c>
      <c r="R591" t="s">
        <v>1784</v>
      </c>
    </row>
    <row r="592" spans="1:18" x14ac:dyDescent="0.3">
      <c r="A592" s="2" t="str">
        <f>HYPERLINK(B592,"Oppna PDF")</f>
        <v>Oppna PDF</v>
      </c>
      <c r="B592" t="s">
        <v>1778</v>
      </c>
      <c r="C592" t="s">
        <v>1785</v>
      </c>
      <c r="D592" t="s">
        <v>457</v>
      </c>
      <c r="E592" t="s">
        <v>1780</v>
      </c>
      <c r="F592" t="s">
        <v>459</v>
      </c>
      <c r="G592" t="s">
        <v>460</v>
      </c>
      <c r="H592" t="s">
        <v>25</v>
      </c>
      <c r="I592" t="s">
        <v>461</v>
      </c>
      <c r="J592" t="s">
        <v>48</v>
      </c>
      <c r="K592" t="s">
        <v>49</v>
      </c>
      <c r="L592" t="s">
        <v>29</v>
      </c>
      <c r="M592" t="s">
        <v>30</v>
      </c>
      <c r="N592" t="s">
        <v>31</v>
      </c>
      <c r="Q592" t="s">
        <v>1786</v>
      </c>
      <c r="R592" t="s">
        <v>1787</v>
      </c>
    </row>
    <row r="593" spans="1:18" x14ac:dyDescent="0.3">
      <c r="A593" s="2" t="str">
        <f>HYPERLINK(B593,"Oppna PDF")</f>
        <v>Oppna PDF</v>
      </c>
      <c r="B593" t="s">
        <v>1788</v>
      </c>
      <c r="C593" t="s">
        <v>1789</v>
      </c>
      <c r="D593" t="s">
        <v>457</v>
      </c>
      <c r="E593" t="s">
        <v>1790</v>
      </c>
      <c r="F593" t="s">
        <v>459</v>
      </c>
      <c r="G593" t="s">
        <v>460</v>
      </c>
      <c r="H593" t="s">
        <v>25</v>
      </c>
      <c r="I593" t="s">
        <v>461</v>
      </c>
      <c r="J593" t="s">
        <v>27</v>
      </c>
      <c r="K593" t="s">
        <v>28</v>
      </c>
      <c r="L593" t="s">
        <v>29</v>
      </c>
      <c r="M593" t="s">
        <v>30</v>
      </c>
      <c r="N593" t="s">
        <v>31</v>
      </c>
      <c r="Q593" t="s">
        <v>1791</v>
      </c>
      <c r="R593" t="s">
        <v>1791</v>
      </c>
    </row>
    <row r="594" spans="1:18" x14ac:dyDescent="0.3">
      <c r="A594" s="2" t="str">
        <f>HYPERLINK(B594,"Oppna PDF")</f>
        <v>Oppna PDF</v>
      </c>
      <c r="B594" t="s">
        <v>1788</v>
      </c>
      <c r="C594" t="s">
        <v>1792</v>
      </c>
      <c r="D594" t="s">
        <v>457</v>
      </c>
      <c r="E594" t="s">
        <v>1790</v>
      </c>
      <c r="F594" t="s">
        <v>459</v>
      </c>
      <c r="G594" t="s">
        <v>460</v>
      </c>
      <c r="H594" t="s">
        <v>25</v>
      </c>
      <c r="I594" t="s">
        <v>461</v>
      </c>
      <c r="J594" t="s">
        <v>38</v>
      </c>
      <c r="K594" t="s">
        <v>39</v>
      </c>
      <c r="L594" t="s">
        <v>142</v>
      </c>
      <c r="M594" t="s">
        <v>30</v>
      </c>
      <c r="N594" t="s">
        <v>31</v>
      </c>
      <c r="Q594" t="s">
        <v>782</v>
      </c>
      <c r="R594" t="s">
        <v>782</v>
      </c>
    </row>
    <row r="595" spans="1:18" x14ac:dyDescent="0.3">
      <c r="A595" s="2" t="str">
        <f>HYPERLINK(B595,"Oppna PDF")</f>
        <v>Oppna PDF</v>
      </c>
      <c r="B595" t="s">
        <v>1788</v>
      </c>
      <c r="C595" t="s">
        <v>1793</v>
      </c>
      <c r="D595" t="s">
        <v>457</v>
      </c>
      <c r="E595" t="s">
        <v>1790</v>
      </c>
      <c r="F595" t="s">
        <v>459</v>
      </c>
      <c r="G595" t="s">
        <v>460</v>
      </c>
      <c r="H595" t="s">
        <v>25</v>
      </c>
      <c r="I595" t="s">
        <v>461</v>
      </c>
      <c r="J595" t="s">
        <v>34</v>
      </c>
      <c r="K595" t="s">
        <v>35</v>
      </c>
      <c r="L595" t="s">
        <v>29</v>
      </c>
      <c r="M595" t="s">
        <v>30</v>
      </c>
      <c r="N595" t="s">
        <v>31</v>
      </c>
      <c r="Q595" t="s">
        <v>1111</v>
      </c>
      <c r="R595" t="s">
        <v>1111</v>
      </c>
    </row>
    <row r="596" spans="1:18" x14ac:dyDescent="0.3">
      <c r="A596" s="2" t="str">
        <f>HYPERLINK(B596,"Oppna PDF")</f>
        <v>Oppna PDF</v>
      </c>
      <c r="B596" t="s">
        <v>1794</v>
      </c>
      <c r="C596" t="s">
        <v>1795</v>
      </c>
      <c r="D596" t="s">
        <v>598</v>
      </c>
      <c r="E596" t="s">
        <v>1796</v>
      </c>
      <c r="F596" t="s">
        <v>459</v>
      </c>
      <c r="G596" t="s">
        <v>460</v>
      </c>
      <c r="H596" t="s">
        <v>25</v>
      </c>
      <c r="I596" t="s">
        <v>600</v>
      </c>
      <c r="J596" t="s">
        <v>34</v>
      </c>
      <c r="K596" t="s">
        <v>35</v>
      </c>
      <c r="L596" t="s">
        <v>142</v>
      </c>
      <c r="M596" t="s">
        <v>30</v>
      </c>
      <c r="N596" t="s">
        <v>31</v>
      </c>
      <c r="Q596" t="s">
        <v>1749</v>
      </c>
      <c r="R596" t="s">
        <v>1749</v>
      </c>
    </row>
    <row r="597" spans="1:18" x14ac:dyDescent="0.3">
      <c r="A597" s="2" t="str">
        <f>HYPERLINK(B597,"Oppna PDF")</f>
        <v>Oppna PDF</v>
      </c>
      <c r="B597" t="s">
        <v>1794</v>
      </c>
      <c r="C597" t="s">
        <v>1797</v>
      </c>
      <c r="D597" t="s">
        <v>598</v>
      </c>
      <c r="E597" t="s">
        <v>1796</v>
      </c>
      <c r="F597" t="s">
        <v>459</v>
      </c>
      <c r="G597" t="s">
        <v>460</v>
      </c>
      <c r="H597" t="s">
        <v>25</v>
      </c>
      <c r="I597" t="s">
        <v>600</v>
      </c>
      <c r="J597" t="s">
        <v>48</v>
      </c>
      <c r="K597" t="s">
        <v>49</v>
      </c>
      <c r="L597" t="s">
        <v>29</v>
      </c>
      <c r="M597" t="s">
        <v>30</v>
      </c>
      <c r="N597" t="s">
        <v>31</v>
      </c>
      <c r="Q597" t="s">
        <v>1751</v>
      </c>
      <c r="R597" t="s">
        <v>1751</v>
      </c>
    </row>
    <row r="598" spans="1:18" x14ac:dyDescent="0.3">
      <c r="A598" s="2" t="str">
        <f>HYPERLINK(B598,"Oppna PDF")</f>
        <v>Oppna PDF</v>
      </c>
      <c r="B598" t="s">
        <v>1798</v>
      </c>
      <c r="C598" t="s">
        <v>1799</v>
      </c>
      <c r="D598" t="s">
        <v>598</v>
      </c>
      <c r="E598" t="s">
        <v>1800</v>
      </c>
      <c r="F598" t="s">
        <v>459</v>
      </c>
      <c r="G598" t="s">
        <v>460</v>
      </c>
      <c r="H598" t="s">
        <v>25</v>
      </c>
      <c r="I598" t="s">
        <v>600</v>
      </c>
      <c r="J598" t="s">
        <v>27</v>
      </c>
      <c r="K598" t="s">
        <v>28</v>
      </c>
      <c r="L598" t="s">
        <v>142</v>
      </c>
      <c r="M598" t="s">
        <v>30</v>
      </c>
      <c r="N598" t="s">
        <v>31</v>
      </c>
      <c r="Q598" t="s">
        <v>1760</v>
      </c>
      <c r="R598" t="s">
        <v>1760</v>
      </c>
    </row>
    <row r="599" spans="1:18" x14ac:dyDescent="0.3">
      <c r="A599" s="2" t="str">
        <f>HYPERLINK(B599,"Oppna PDF")</f>
        <v>Oppna PDF</v>
      </c>
      <c r="B599" t="s">
        <v>1801</v>
      </c>
      <c r="C599" t="s">
        <v>1802</v>
      </c>
      <c r="D599" t="s">
        <v>1409</v>
      </c>
      <c r="E599" t="s">
        <v>1803</v>
      </c>
      <c r="H599" t="s">
        <v>268</v>
      </c>
      <c r="I599" t="s">
        <v>1411</v>
      </c>
      <c r="J599" t="s">
        <v>87</v>
      </c>
      <c r="K599" t="s">
        <v>88</v>
      </c>
      <c r="L599" t="s">
        <v>29</v>
      </c>
      <c r="M599" t="s">
        <v>30</v>
      </c>
      <c r="N599" t="s">
        <v>31</v>
      </c>
      <c r="Q599" t="s">
        <v>1423</v>
      </c>
      <c r="R599" t="s">
        <v>1423</v>
      </c>
    </row>
    <row r="600" spans="1:18" x14ac:dyDescent="0.3">
      <c r="A600" s="2" t="str">
        <f>HYPERLINK(B600,"Oppna PDF")</f>
        <v>Oppna PDF</v>
      </c>
      <c r="B600" t="s">
        <v>1801</v>
      </c>
      <c r="C600" t="s">
        <v>1804</v>
      </c>
      <c r="D600" t="s">
        <v>1409</v>
      </c>
      <c r="E600" t="s">
        <v>1803</v>
      </c>
      <c r="H600" t="s">
        <v>268</v>
      </c>
      <c r="I600" t="s">
        <v>1411</v>
      </c>
      <c r="J600" t="s">
        <v>34</v>
      </c>
      <c r="K600" t="s">
        <v>35</v>
      </c>
      <c r="L600" t="s">
        <v>29</v>
      </c>
      <c r="M600" t="s">
        <v>30</v>
      </c>
      <c r="N600" t="s">
        <v>31</v>
      </c>
      <c r="Q600" t="s">
        <v>1805</v>
      </c>
      <c r="R600" t="s">
        <v>1805</v>
      </c>
    </row>
    <row r="601" spans="1:18" x14ac:dyDescent="0.3">
      <c r="A601" s="2" t="str">
        <f>HYPERLINK(B601,"Oppna PDF")</f>
        <v>Oppna PDF</v>
      </c>
      <c r="B601" t="s">
        <v>1801</v>
      </c>
      <c r="C601" t="s">
        <v>1806</v>
      </c>
      <c r="D601" t="s">
        <v>1409</v>
      </c>
      <c r="E601" t="s">
        <v>1803</v>
      </c>
      <c r="H601" t="s">
        <v>268</v>
      </c>
      <c r="I601" t="s">
        <v>1411</v>
      </c>
      <c r="J601" t="s">
        <v>91</v>
      </c>
      <c r="K601" t="s">
        <v>92</v>
      </c>
      <c r="L601" t="s">
        <v>29</v>
      </c>
      <c r="M601" t="s">
        <v>30</v>
      </c>
      <c r="N601" t="s">
        <v>31</v>
      </c>
      <c r="Q601" t="s">
        <v>1807</v>
      </c>
      <c r="R601" t="s">
        <v>1807</v>
      </c>
    </row>
    <row r="602" spans="1:18" x14ac:dyDescent="0.3">
      <c r="A602" s="2" t="str">
        <f>HYPERLINK(B602,"Oppna PDF")</f>
        <v>Oppna PDF</v>
      </c>
      <c r="B602" t="s">
        <v>1808</v>
      </c>
      <c r="C602" t="s">
        <v>1809</v>
      </c>
      <c r="D602" t="s">
        <v>598</v>
      </c>
      <c r="E602" t="s">
        <v>1810</v>
      </c>
      <c r="F602" t="s">
        <v>459</v>
      </c>
      <c r="G602" t="s">
        <v>460</v>
      </c>
      <c r="H602" t="s">
        <v>25</v>
      </c>
      <c r="I602" t="s">
        <v>600</v>
      </c>
      <c r="J602" t="s">
        <v>38</v>
      </c>
      <c r="K602" t="s">
        <v>39</v>
      </c>
      <c r="L602" t="s">
        <v>29</v>
      </c>
      <c r="M602" t="s">
        <v>30</v>
      </c>
      <c r="N602" t="s">
        <v>31</v>
      </c>
      <c r="Q602" t="s">
        <v>1764</v>
      </c>
      <c r="R602" t="s">
        <v>1764</v>
      </c>
    </row>
    <row r="603" spans="1:18" x14ac:dyDescent="0.3">
      <c r="A603" s="2" t="str">
        <f>HYPERLINK(B603,"Oppna PDF")</f>
        <v>Oppna PDF</v>
      </c>
      <c r="B603" t="s">
        <v>1811</v>
      </c>
      <c r="C603" t="s">
        <v>1812</v>
      </c>
      <c r="D603" t="s">
        <v>1409</v>
      </c>
      <c r="E603" t="s">
        <v>1813</v>
      </c>
      <c r="H603" t="s">
        <v>268</v>
      </c>
      <c r="I603" t="s">
        <v>1411</v>
      </c>
      <c r="J603" t="s">
        <v>27</v>
      </c>
      <c r="K603" t="s">
        <v>28</v>
      </c>
      <c r="L603" t="s">
        <v>29</v>
      </c>
      <c r="M603" t="s">
        <v>30</v>
      </c>
      <c r="N603" t="s">
        <v>31</v>
      </c>
      <c r="Q603" t="s">
        <v>1814</v>
      </c>
      <c r="R603" t="s">
        <v>1814</v>
      </c>
    </row>
    <row r="604" spans="1:18" x14ac:dyDescent="0.3">
      <c r="A604" s="2" t="str">
        <f>HYPERLINK(B604,"Oppna PDF")</f>
        <v>Oppna PDF</v>
      </c>
      <c r="B604" t="s">
        <v>1811</v>
      </c>
      <c r="C604" t="s">
        <v>1815</v>
      </c>
      <c r="D604" t="s">
        <v>1409</v>
      </c>
      <c r="E604" t="s">
        <v>1813</v>
      </c>
      <c r="H604" t="s">
        <v>268</v>
      </c>
      <c r="I604" t="s">
        <v>1411</v>
      </c>
      <c r="J604" t="s">
        <v>91</v>
      </c>
      <c r="K604" t="s">
        <v>92</v>
      </c>
      <c r="L604" t="s">
        <v>29</v>
      </c>
      <c r="M604" t="s">
        <v>30</v>
      </c>
      <c r="N604" t="s">
        <v>31</v>
      </c>
      <c r="Q604" t="s">
        <v>1816</v>
      </c>
      <c r="R604" t="s">
        <v>1816</v>
      </c>
    </row>
    <row r="605" spans="1:18" x14ac:dyDescent="0.3">
      <c r="A605" s="2" t="str">
        <f>HYPERLINK(B605,"Oppna PDF")</f>
        <v>Oppna PDF</v>
      </c>
      <c r="B605" t="s">
        <v>1811</v>
      </c>
      <c r="C605" t="s">
        <v>1817</v>
      </c>
      <c r="D605" t="s">
        <v>1409</v>
      </c>
      <c r="E605" t="s">
        <v>1813</v>
      </c>
      <c r="H605" t="s">
        <v>268</v>
      </c>
      <c r="I605" t="s">
        <v>1411</v>
      </c>
      <c r="J605" t="s">
        <v>87</v>
      </c>
      <c r="K605" t="s">
        <v>88</v>
      </c>
      <c r="L605" t="s">
        <v>29</v>
      </c>
      <c r="M605" t="s">
        <v>30</v>
      </c>
      <c r="N605" t="s">
        <v>31</v>
      </c>
      <c r="Q605" t="s">
        <v>1423</v>
      </c>
      <c r="R605" t="s">
        <v>1423</v>
      </c>
    </row>
    <row r="606" spans="1:18" x14ac:dyDescent="0.3">
      <c r="A606" s="2" t="str">
        <f>HYPERLINK(B606,"Oppna PDF")</f>
        <v>Oppna PDF</v>
      </c>
      <c r="B606" t="s">
        <v>1818</v>
      </c>
      <c r="C606" t="s">
        <v>1819</v>
      </c>
      <c r="D606" t="s">
        <v>1591</v>
      </c>
      <c r="E606" t="s">
        <v>1820</v>
      </c>
      <c r="H606" t="s">
        <v>25</v>
      </c>
      <c r="I606" t="s">
        <v>1593</v>
      </c>
      <c r="J606" t="s">
        <v>38</v>
      </c>
      <c r="K606" t="s">
        <v>39</v>
      </c>
      <c r="L606" t="s">
        <v>29</v>
      </c>
      <c r="M606" t="s">
        <v>30</v>
      </c>
      <c r="N606" t="s">
        <v>31</v>
      </c>
      <c r="Q606" t="s">
        <v>1821</v>
      </c>
      <c r="R606" t="s">
        <v>1821</v>
      </c>
    </row>
    <row r="607" spans="1:18" x14ac:dyDescent="0.3">
      <c r="A607" s="2" t="str">
        <f>HYPERLINK(B607,"Oppna PDF")</f>
        <v>Oppna PDF</v>
      </c>
      <c r="B607" t="s">
        <v>1818</v>
      </c>
      <c r="C607" t="s">
        <v>1822</v>
      </c>
      <c r="D607" t="s">
        <v>1591</v>
      </c>
      <c r="E607" t="s">
        <v>1820</v>
      </c>
      <c r="H607" t="s">
        <v>25</v>
      </c>
      <c r="I607" t="s">
        <v>1593</v>
      </c>
      <c r="J607" t="s">
        <v>48</v>
      </c>
      <c r="K607" t="s">
        <v>49</v>
      </c>
      <c r="L607" t="s">
        <v>29</v>
      </c>
      <c r="M607" t="s">
        <v>30</v>
      </c>
      <c r="N607" t="s">
        <v>31</v>
      </c>
      <c r="Q607" t="s">
        <v>1823</v>
      </c>
      <c r="R607" t="s">
        <v>1823</v>
      </c>
    </row>
    <row r="608" spans="1:18" x14ac:dyDescent="0.3">
      <c r="A608" s="2" t="str">
        <f>HYPERLINK(B608,"Oppna PDF")</f>
        <v>Oppna PDF</v>
      </c>
      <c r="B608" t="s">
        <v>1818</v>
      </c>
      <c r="C608" t="s">
        <v>1824</v>
      </c>
      <c r="D608" t="s">
        <v>1591</v>
      </c>
      <c r="E608" t="s">
        <v>1820</v>
      </c>
      <c r="H608" t="s">
        <v>25</v>
      </c>
      <c r="I608" t="s">
        <v>1593</v>
      </c>
      <c r="J608" t="s">
        <v>87</v>
      </c>
      <c r="K608" t="s">
        <v>88</v>
      </c>
      <c r="L608" t="s">
        <v>29</v>
      </c>
      <c r="M608" t="s">
        <v>30</v>
      </c>
      <c r="N608" t="s">
        <v>31</v>
      </c>
      <c r="Q608" t="s">
        <v>1825</v>
      </c>
      <c r="R608" t="s">
        <v>1825</v>
      </c>
    </row>
    <row r="609" spans="1:18" x14ac:dyDescent="0.3">
      <c r="A609" s="2" t="str">
        <f>HYPERLINK(B609,"Oppna PDF")</f>
        <v>Oppna PDF</v>
      </c>
      <c r="B609" t="s">
        <v>1826</v>
      </c>
      <c r="C609" t="s">
        <v>1827</v>
      </c>
      <c r="D609" t="s">
        <v>1409</v>
      </c>
      <c r="E609" t="s">
        <v>1828</v>
      </c>
      <c r="H609" t="s">
        <v>268</v>
      </c>
      <c r="I609" t="s">
        <v>1411</v>
      </c>
      <c r="J609" t="s">
        <v>87</v>
      </c>
      <c r="K609" t="s">
        <v>88</v>
      </c>
      <c r="L609" t="s">
        <v>29</v>
      </c>
      <c r="M609" t="s">
        <v>30</v>
      </c>
      <c r="N609" t="s">
        <v>31</v>
      </c>
      <c r="Q609" t="s">
        <v>1423</v>
      </c>
      <c r="R609" t="s">
        <v>1423</v>
      </c>
    </row>
    <row r="610" spans="1:18" x14ac:dyDescent="0.3">
      <c r="A610" s="2" t="str">
        <f>HYPERLINK(B610,"Oppna PDF")</f>
        <v>Oppna PDF</v>
      </c>
      <c r="B610" t="s">
        <v>1826</v>
      </c>
      <c r="C610" t="s">
        <v>1829</v>
      </c>
      <c r="D610" t="s">
        <v>1409</v>
      </c>
      <c r="E610" t="s">
        <v>1828</v>
      </c>
      <c r="H610" t="s">
        <v>268</v>
      </c>
      <c r="I610" t="s">
        <v>1411</v>
      </c>
      <c r="J610" t="s">
        <v>34</v>
      </c>
      <c r="K610" t="s">
        <v>35</v>
      </c>
      <c r="L610" t="s">
        <v>29</v>
      </c>
      <c r="M610" t="s">
        <v>30</v>
      </c>
      <c r="N610" t="s">
        <v>31</v>
      </c>
      <c r="Q610" t="s">
        <v>1830</v>
      </c>
      <c r="R610" t="s">
        <v>1830</v>
      </c>
    </row>
    <row r="611" spans="1:18" x14ac:dyDescent="0.3">
      <c r="A611" s="2" t="str">
        <f>HYPERLINK(B611,"Oppna PDF")</f>
        <v>Oppna PDF</v>
      </c>
      <c r="B611" t="s">
        <v>1831</v>
      </c>
      <c r="C611" t="s">
        <v>1832</v>
      </c>
      <c r="D611" t="s">
        <v>598</v>
      </c>
      <c r="E611" t="s">
        <v>1833</v>
      </c>
      <c r="F611" t="s">
        <v>459</v>
      </c>
      <c r="G611" t="s">
        <v>460</v>
      </c>
      <c r="H611" t="s">
        <v>25</v>
      </c>
      <c r="I611" t="s">
        <v>600</v>
      </c>
      <c r="J611" t="s">
        <v>27</v>
      </c>
      <c r="K611" t="s">
        <v>28</v>
      </c>
      <c r="L611" t="s">
        <v>29</v>
      </c>
      <c r="M611" t="s">
        <v>30</v>
      </c>
      <c r="N611" t="s">
        <v>31</v>
      </c>
      <c r="Q611" t="s">
        <v>1774</v>
      </c>
      <c r="R611" t="s">
        <v>1774</v>
      </c>
    </row>
    <row r="612" spans="1:18" x14ac:dyDescent="0.3">
      <c r="A612" s="2" t="str">
        <f>HYPERLINK(B612,"Oppna PDF")</f>
        <v>Oppna PDF</v>
      </c>
      <c r="B612" t="s">
        <v>1831</v>
      </c>
      <c r="C612" t="s">
        <v>1834</v>
      </c>
      <c r="D612" t="s">
        <v>598</v>
      </c>
      <c r="E612" t="s">
        <v>1833</v>
      </c>
      <c r="F612" t="s">
        <v>459</v>
      </c>
      <c r="G612" t="s">
        <v>460</v>
      </c>
      <c r="H612" t="s">
        <v>25</v>
      </c>
      <c r="I612" t="s">
        <v>600</v>
      </c>
      <c r="J612" t="s">
        <v>27</v>
      </c>
      <c r="K612" t="s">
        <v>28</v>
      </c>
      <c r="L612" t="s">
        <v>29</v>
      </c>
      <c r="M612" t="s">
        <v>30</v>
      </c>
      <c r="N612" t="s">
        <v>31</v>
      </c>
      <c r="Q612" t="s">
        <v>1776</v>
      </c>
      <c r="R612" t="s">
        <v>1777</v>
      </c>
    </row>
    <row r="613" spans="1:18" x14ac:dyDescent="0.3">
      <c r="A613" s="2" t="str">
        <f>HYPERLINK(B613,"Oppna PDF")</f>
        <v>Oppna PDF</v>
      </c>
      <c r="B613" t="s">
        <v>1835</v>
      </c>
      <c r="C613" t="s">
        <v>1836</v>
      </c>
      <c r="D613" t="s">
        <v>598</v>
      </c>
      <c r="E613" t="s">
        <v>1837</v>
      </c>
      <c r="F613" t="s">
        <v>459</v>
      </c>
      <c r="G613" t="s">
        <v>460</v>
      </c>
      <c r="H613" t="s">
        <v>25</v>
      </c>
      <c r="I613" t="s">
        <v>600</v>
      </c>
      <c r="J613" t="s">
        <v>48</v>
      </c>
      <c r="K613" t="s">
        <v>49</v>
      </c>
      <c r="L613" t="s">
        <v>29</v>
      </c>
      <c r="M613" t="s">
        <v>30</v>
      </c>
      <c r="N613" t="s">
        <v>31</v>
      </c>
      <c r="Q613" t="s">
        <v>1781</v>
      </c>
      <c r="R613" t="s">
        <v>1782</v>
      </c>
    </row>
    <row r="614" spans="1:18" x14ac:dyDescent="0.3">
      <c r="A614" s="2" t="str">
        <f>HYPERLINK(B614,"Oppna PDF")</f>
        <v>Oppna PDF</v>
      </c>
      <c r="B614" t="s">
        <v>1835</v>
      </c>
      <c r="C614" t="s">
        <v>1838</v>
      </c>
      <c r="D614" t="s">
        <v>598</v>
      </c>
      <c r="E614" t="s">
        <v>1837</v>
      </c>
      <c r="F614" t="s">
        <v>459</v>
      </c>
      <c r="G614" t="s">
        <v>460</v>
      </c>
      <c r="H614" t="s">
        <v>25</v>
      </c>
      <c r="I614" t="s">
        <v>600</v>
      </c>
      <c r="J614" t="s">
        <v>34</v>
      </c>
      <c r="K614" t="s">
        <v>35</v>
      </c>
      <c r="L614" t="s">
        <v>29</v>
      </c>
      <c r="M614" t="s">
        <v>30</v>
      </c>
      <c r="N614" t="s">
        <v>31</v>
      </c>
      <c r="Q614" t="s">
        <v>1784</v>
      </c>
      <c r="R614" t="s">
        <v>1784</v>
      </c>
    </row>
    <row r="615" spans="1:18" x14ac:dyDescent="0.3">
      <c r="A615" s="2" t="str">
        <f>HYPERLINK(B615,"Oppna PDF")</f>
        <v>Oppna PDF</v>
      </c>
      <c r="B615" t="s">
        <v>1835</v>
      </c>
      <c r="C615" t="s">
        <v>1839</v>
      </c>
      <c r="D615" t="s">
        <v>598</v>
      </c>
      <c r="E615" t="s">
        <v>1837</v>
      </c>
      <c r="F615" t="s">
        <v>459</v>
      </c>
      <c r="G615" t="s">
        <v>460</v>
      </c>
      <c r="H615" t="s">
        <v>25</v>
      </c>
      <c r="I615" t="s">
        <v>600</v>
      </c>
      <c r="J615" t="s">
        <v>48</v>
      </c>
      <c r="K615" t="s">
        <v>49</v>
      </c>
      <c r="L615" t="s">
        <v>29</v>
      </c>
      <c r="M615" t="s">
        <v>30</v>
      </c>
      <c r="N615" t="s">
        <v>31</v>
      </c>
      <c r="Q615" t="s">
        <v>1786</v>
      </c>
      <c r="R615" t="s">
        <v>1787</v>
      </c>
    </row>
    <row r="616" spans="1:18" x14ac:dyDescent="0.3">
      <c r="A616" s="2" t="str">
        <f>HYPERLINK(B616,"Oppna PDF")</f>
        <v>Oppna PDF</v>
      </c>
      <c r="B616" t="s">
        <v>1840</v>
      </c>
      <c r="C616" t="s">
        <v>1841</v>
      </c>
      <c r="D616" t="s">
        <v>598</v>
      </c>
      <c r="E616" t="s">
        <v>1842</v>
      </c>
      <c r="F616" t="s">
        <v>459</v>
      </c>
      <c r="G616" t="s">
        <v>460</v>
      </c>
      <c r="H616" t="s">
        <v>25</v>
      </c>
      <c r="I616" t="s">
        <v>600</v>
      </c>
      <c r="J616" t="s">
        <v>27</v>
      </c>
      <c r="K616" t="s">
        <v>28</v>
      </c>
      <c r="L616" t="s">
        <v>29</v>
      </c>
      <c r="M616" t="s">
        <v>30</v>
      </c>
      <c r="N616" t="s">
        <v>31</v>
      </c>
      <c r="Q616" t="s">
        <v>1791</v>
      </c>
      <c r="R616" t="s">
        <v>1791</v>
      </c>
    </row>
    <row r="617" spans="1:18" x14ac:dyDescent="0.3">
      <c r="A617" s="2" t="str">
        <f>HYPERLINK(B617,"Oppna PDF")</f>
        <v>Oppna PDF</v>
      </c>
      <c r="B617" t="s">
        <v>1840</v>
      </c>
      <c r="C617" t="s">
        <v>1843</v>
      </c>
      <c r="D617" t="s">
        <v>598</v>
      </c>
      <c r="E617" t="s">
        <v>1842</v>
      </c>
      <c r="F617" t="s">
        <v>459</v>
      </c>
      <c r="G617" t="s">
        <v>460</v>
      </c>
      <c r="H617" t="s">
        <v>25</v>
      </c>
      <c r="I617" t="s">
        <v>600</v>
      </c>
      <c r="J617" t="s">
        <v>38</v>
      </c>
      <c r="K617" t="s">
        <v>39</v>
      </c>
      <c r="L617" t="s">
        <v>142</v>
      </c>
      <c r="M617" t="s">
        <v>30</v>
      </c>
      <c r="N617" t="s">
        <v>31</v>
      </c>
      <c r="Q617" t="s">
        <v>782</v>
      </c>
      <c r="R617" t="s">
        <v>782</v>
      </c>
    </row>
    <row r="618" spans="1:18" x14ac:dyDescent="0.3">
      <c r="A618" s="2" t="str">
        <f>HYPERLINK(B618,"Oppna PDF")</f>
        <v>Oppna PDF</v>
      </c>
      <c r="B618" t="s">
        <v>1840</v>
      </c>
      <c r="C618" t="s">
        <v>1844</v>
      </c>
      <c r="D618" t="s">
        <v>598</v>
      </c>
      <c r="E618" t="s">
        <v>1842</v>
      </c>
      <c r="F618" t="s">
        <v>459</v>
      </c>
      <c r="G618" t="s">
        <v>460</v>
      </c>
      <c r="H618" t="s">
        <v>25</v>
      </c>
      <c r="I618" t="s">
        <v>600</v>
      </c>
      <c r="J618" t="s">
        <v>34</v>
      </c>
      <c r="K618" t="s">
        <v>35</v>
      </c>
      <c r="L618" t="s">
        <v>29</v>
      </c>
      <c r="M618" t="s">
        <v>30</v>
      </c>
      <c r="N618" t="s">
        <v>31</v>
      </c>
      <c r="Q618" t="s">
        <v>1111</v>
      </c>
      <c r="R618" t="s">
        <v>1111</v>
      </c>
    </row>
    <row r="619" spans="1:18" x14ac:dyDescent="0.3">
      <c r="A619" s="2" t="str">
        <f>HYPERLINK(B619,"Oppna PDF")</f>
        <v>Oppna PDF</v>
      </c>
      <c r="B619" t="s">
        <v>1845</v>
      </c>
      <c r="C619" t="s">
        <v>1846</v>
      </c>
      <c r="D619" t="s">
        <v>1150</v>
      </c>
      <c r="E619" t="s">
        <v>1847</v>
      </c>
      <c r="F619" t="s">
        <v>1152</v>
      </c>
      <c r="G619" t="s">
        <v>1153</v>
      </c>
      <c r="H619" t="s">
        <v>61</v>
      </c>
      <c r="I619" t="s">
        <v>1154</v>
      </c>
      <c r="J619" t="s">
        <v>27</v>
      </c>
      <c r="K619" t="s">
        <v>28</v>
      </c>
      <c r="L619" t="s">
        <v>29</v>
      </c>
      <c r="M619" t="s">
        <v>30</v>
      </c>
      <c r="N619" t="s">
        <v>31</v>
      </c>
      <c r="Q619" t="s">
        <v>1848</v>
      </c>
      <c r="R619" t="s">
        <v>1848</v>
      </c>
    </row>
    <row r="620" spans="1:18" x14ac:dyDescent="0.3">
      <c r="A620" s="2" t="str">
        <f>HYPERLINK(B620,"Oppna PDF")</f>
        <v>Oppna PDF</v>
      </c>
      <c r="B620" t="s">
        <v>1849</v>
      </c>
      <c r="C620" t="s">
        <v>1850</v>
      </c>
      <c r="D620" t="s">
        <v>1851</v>
      </c>
      <c r="E620" t="s">
        <v>1852</v>
      </c>
      <c r="F620" t="e">
        <f>-- Skinnskattebergs</f>
        <v>#NAME?</v>
      </c>
      <c r="G620" t="e">
        <f>-- Skinnskattebergs kommun</f>
        <v>#NAME?</v>
      </c>
      <c r="H620" t="s">
        <v>25</v>
      </c>
      <c r="I620" t="s">
        <v>1853</v>
      </c>
      <c r="J620" t="s">
        <v>38</v>
      </c>
      <c r="K620" t="s">
        <v>39</v>
      </c>
      <c r="L620" t="s">
        <v>29</v>
      </c>
      <c r="M620" t="s">
        <v>30</v>
      </c>
      <c r="N620" t="s">
        <v>31</v>
      </c>
      <c r="Q620" t="s">
        <v>1854</v>
      </c>
      <c r="R620" t="s">
        <v>1854</v>
      </c>
    </row>
    <row r="621" spans="1:18" x14ac:dyDescent="0.3">
      <c r="A621" s="2" t="str">
        <f>HYPERLINK(B621,"Oppna PDF")</f>
        <v>Oppna PDF</v>
      </c>
      <c r="B621" t="s">
        <v>1849</v>
      </c>
      <c r="C621" t="s">
        <v>1855</v>
      </c>
      <c r="D621" t="s">
        <v>1851</v>
      </c>
      <c r="E621" t="s">
        <v>1852</v>
      </c>
      <c r="F621" t="e">
        <f>-- Skinnskattebergs</f>
        <v>#NAME?</v>
      </c>
      <c r="G621" t="e">
        <f>-- Skinnskattebergs kommun</f>
        <v>#NAME?</v>
      </c>
      <c r="H621" t="s">
        <v>25</v>
      </c>
      <c r="I621" t="s">
        <v>1853</v>
      </c>
      <c r="J621" t="s">
        <v>27</v>
      </c>
      <c r="K621" t="s">
        <v>28</v>
      </c>
      <c r="L621" t="s">
        <v>29</v>
      </c>
      <c r="M621" t="s">
        <v>30</v>
      </c>
      <c r="N621" t="s">
        <v>31</v>
      </c>
      <c r="Q621" t="s">
        <v>1856</v>
      </c>
      <c r="R621" t="s">
        <v>1856</v>
      </c>
    </row>
    <row r="622" spans="1:18" x14ac:dyDescent="0.3">
      <c r="A622" s="2" t="str">
        <f>HYPERLINK(B622,"Oppna PDF")</f>
        <v>Oppna PDF</v>
      </c>
      <c r="B622" t="s">
        <v>1849</v>
      </c>
      <c r="C622" t="s">
        <v>1857</v>
      </c>
      <c r="D622" t="s">
        <v>1851</v>
      </c>
      <c r="E622" t="s">
        <v>1852</v>
      </c>
      <c r="F622" t="e">
        <f>-- Skinnskattebergs</f>
        <v>#NAME?</v>
      </c>
      <c r="G622" t="e">
        <f>-- Skinnskattebergs kommun</f>
        <v>#NAME?</v>
      </c>
      <c r="H622" t="s">
        <v>25</v>
      </c>
      <c r="I622" t="s">
        <v>1853</v>
      </c>
      <c r="J622" t="s">
        <v>38</v>
      </c>
      <c r="K622" t="s">
        <v>39</v>
      </c>
      <c r="L622" t="s">
        <v>29</v>
      </c>
      <c r="M622" t="s">
        <v>30</v>
      </c>
      <c r="N622" t="s">
        <v>31</v>
      </c>
      <c r="Q622" t="s">
        <v>1858</v>
      </c>
      <c r="R622" t="s">
        <v>1858</v>
      </c>
    </row>
    <row r="623" spans="1:18" x14ac:dyDescent="0.3">
      <c r="A623" s="2" t="str">
        <f>HYPERLINK(B623,"Oppna PDF")</f>
        <v>Oppna PDF</v>
      </c>
      <c r="B623" t="s">
        <v>1859</v>
      </c>
      <c r="C623" t="s">
        <v>1860</v>
      </c>
      <c r="D623" t="s">
        <v>957</v>
      </c>
      <c r="E623" t="s">
        <v>1861</v>
      </c>
      <c r="F623" t="s">
        <v>959</v>
      </c>
      <c r="G623" t="s">
        <v>960</v>
      </c>
      <c r="H623" t="s">
        <v>61</v>
      </c>
      <c r="I623" t="s">
        <v>961</v>
      </c>
      <c r="J623" t="s">
        <v>34</v>
      </c>
      <c r="K623" t="s">
        <v>35</v>
      </c>
      <c r="L623" t="s">
        <v>142</v>
      </c>
      <c r="M623" t="s">
        <v>30</v>
      </c>
      <c r="N623" t="s">
        <v>31</v>
      </c>
      <c r="Q623" t="s">
        <v>1193</v>
      </c>
      <c r="R623" t="s">
        <v>1194</v>
      </c>
    </row>
    <row r="624" spans="1:18" x14ac:dyDescent="0.3">
      <c r="A624" s="2" t="str">
        <f>HYPERLINK(B624,"Oppna PDF")</f>
        <v>Oppna PDF</v>
      </c>
      <c r="B624" t="s">
        <v>1862</v>
      </c>
      <c r="C624" t="s">
        <v>1863</v>
      </c>
      <c r="D624" t="s">
        <v>957</v>
      </c>
      <c r="E624" t="s">
        <v>1864</v>
      </c>
      <c r="F624" t="s">
        <v>959</v>
      </c>
      <c r="G624" t="s">
        <v>960</v>
      </c>
      <c r="H624" t="s">
        <v>61</v>
      </c>
      <c r="I624" t="s">
        <v>961</v>
      </c>
      <c r="J624" t="s">
        <v>48</v>
      </c>
      <c r="K624" t="s">
        <v>49</v>
      </c>
      <c r="L624" t="s">
        <v>29</v>
      </c>
      <c r="M624" t="s">
        <v>30</v>
      </c>
      <c r="N624" t="s">
        <v>31</v>
      </c>
      <c r="Q624" t="s">
        <v>1865</v>
      </c>
      <c r="R624" t="s">
        <v>1865</v>
      </c>
    </row>
    <row r="625" spans="1:18" x14ac:dyDescent="0.3">
      <c r="A625" s="2" t="str">
        <f>HYPERLINK(B625,"Oppna PDF")</f>
        <v>Oppna PDF</v>
      </c>
      <c r="B625" t="s">
        <v>1862</v>
      </c>
      <c r="C625" t="s">
        <v>1866</v>
      </c>
      <c r="D625" t="s">
        <v>957</v>
      </c>
      <c r="E625" t="s">
        <v>1864</v>
      </c>
      <c r="F625" t="s">
        <v>959</v>
      </c>
      <c r="G625" t="s">
        <v>960</v>
      </c>
      <c r="H625" t="s">
        <v>61</v>
      </c>
      <c r="I625" t="s">
        <v>961</v>
      </c>
      <c r="J625" t="s">
        <v>38</v>
      </c>
      <c r="K625" t="s">
        <v>39</v>
      </c>
      <c r="L625" t="s">
        <v>29</v>
      </c>
      <c r="M625" t="s">
        <v>30</v>
      </c>
      <c r="N625" t="s">
        <v>31</v>
      </c>
      <c r="Q625" t="s">
        <v>1867</v>
      </c>
      <c r="R625" t="s">
        <v>1867</v>
      </c>
    </row>
    <row r="626" spans="1:18" x14ac:dyDescent="0.3">
      <c r="A626" s="2" t="str">
        <f>HYPERLINK(B626,"Oppna PDF")</f>
        <v>Oppna PDF</v>
      </c>
      <c r="B626" t="s">
        <v>1862</v>
      </c>
      <c r="C626" t="s">
        <v>1868</v>
      </c>
      <c r="D626" t="s">
        <v>957</v>
      </c>
      <c r="E626" t="s">
        <v>1864</v>
      </c>
      <c r="F626" t="s">
        <v>959</v>
      </c>
      <c r="G626" t="s">
        <v>960</v>
      </c>
      <c r="H626" t="s">
        <v>61</v>
      </c>
      <c r="I626" t="s">
        <v>961</v>
      </c>
      <c r="J626" t="s">
        <v>38</v>
      </c>
      <c r="K626" t="s">
        <v>39</v>
      </c>
      <c r="L626" t="s">
        <v>29</v>
      </c>
      <c r="M626" t="s">
        <v>30</v>
      </c>
      <c r="N626" t="s">
        <v>31</v>
      </c>
      <c r="Q626" t="s">
        <v>1869</v>
      </c>
      <c r="R626" t="s">
        <v>1869</v>
      </c>
    </row>
    <row r="627" spans="1:18" x14ac:dyDescent="0.3">
      <c r="A627" s="2" t="str">
        <f>HYPERLINK(B627,"Oppna PDF")</f>
        <v>Oppna PDF</v>
      </c>
      <c r="B627" t="s">
        <v>1870</v>
      </c>
      <c r="C627" t="s">
        <v>1871</v>
      </c>
      <c r="D627" t="s">
        <v>1188</v>
      </c>
      <c r="E627" t="s">
        <v>1872</v>
      </c>
      <c r="F627" t="s">
        <v>1190</v>
      </c>
      <c r="G627" t="s">
        <v>1191</v>
      </c>
      <c r="H627" t="s">
        <v>61</v>
      </c>
      <c r="I627" t="s">
        <v>1192</v>
      </c>
      <c r="J627" t="s">
        <v>38</v>
      </c>
      <c r="K627" t="s">
        <v>39</v>
      </c>
      <c r="L627" t="s">
        <v>29</v>
      </c>
      <c r="M627" t="s">
        <v>30</v>
      </c>
      <c r="N627" t="s">
        <v>31</v>
      </c>
      <c r="Q627" t="s">
        <v>962</v>
      </c>
      <c r="R627" t="s">
        <v>963</v>
      </c>
    </row>
    <row r="628" spans="1:18" x14ac:dyDescent="0.3">
      <c r="A628" s="2" t="str">
        <f>HYPERLINK(B628,"Oppna PDF")</f>
        <v>Oppna PDF</v>
      </c>
      <c r="B628" t="s">
        <v>1870</v>
      </c>
      <c r="C628" t="s">
        <v>1873</v>
      </c>
      <c r="D628" t="s">
        <v>1188</v>
      </c>
      <c r="E628" t="s">
        <v>1872</v>
      </c>
      <c r="F628" t="s">
        <v>1190</v>
      </c>
      <c r="G628" t="s">
        <v>1191</v>
      </c>
      <c r="H628" t="s">
        <v>61</v>
      </c>
      <c r="I628" t="s">
        <v>1192</v>
      </c>
      <c r="J628" t="s">
        <v>38</v>
      </c>
      <c r="K628" t="s">
        <v>39</v>
      </c>
      <c r="L628" t="s">
        <v>29</v>
      </c>
      <c r="M628" t="s">
        <v>30</v>
      </c>
      <c r="N628" t="s">
        <v>31</v>
      </c>
      <c r="Q628" t="s">
        <v>965</v>
      </c>
      <c r="R628" t="s">
        <v>965</v>
      </c>
    </row>
    <row r="629" spans="1:18" x14ac:dyDescent="0.3">
      <c r="A629" s="2" t="str">
        <f>HYPERLINK(B629,"Oppna PDF")</f>
        <v>Oppna PDF</v>
      </c>
      <c r="B629" t="s">
        <v>1870</v>
      </c>
      <c r="C629" t="s">
        <v>1874</v>
      </c>
      <c r="D629" t="s">
        <v>1188</v>
      </c>
      <c r="E629" t="s">
        <v>1872</v>
      </c>
      <c r="F629" t="s">
        <v>1190</v>
      </c>
      <c r="G629" t="s">
        <v>1191</v>
      </c>
      <c r="H629" t="s">
        <v>61</v>
      </c>
      <c r="I629" t="s">
        <v>1192</v>
      </c>
      <c r="J629" t="s">
        <v>38</v>
      </c>
      <c r="K629" t="s">
        <v>39</v>
      </c>
      <c r="L629" t="s">
        <v>29</v>
      </c>
      <c r="M629" t="s">
        <v>30</v>
      </c>
      <c r="N629" t="s">
        <v>31</v>
      </c>
      <c r="Q629" t="s">
        <v>967</v>
      </c>
      <c r="R629" t="s">
        <v>967</v>
      </c>
    </row>
    <row r="630" spans="1:18" x14ac:dyDescent="0.3">
      <c r="A630" s="2" t="str">
        <f>HYPERLINK(B630,"Oppna PDF")</f>
        <v>Oppna PDF</v>
      </c>
      <c r="B630" t="s">
        <v>1875</v>
      </c>
      <c r="C630" t="s">
        <v>1876</v>
      </c>
      <c r="D630" t="s">
        <v>1209</v>
      </c>
      <c r="E630" t="s">
        <v>1877</v>
      </c>
      <c r="F630" t="s">
        <v>1211</v>
      </c>
      <c r="G630" t="s">
        <v>1212</v>
      </c>
      <c r="H630" t="s">
        <v>61</v>
      </c>
      <c r="I630" t="s">
        <v>1213</v>
      </c>
      <c r="J630" t="s">
        <v>27</v>
      </c>
      <c r="K630" t="s">
        <v>28</v>
      </c>
      <c r="L630" t="s">
        <v>29</v>
      </c>
      <c r="M630" t="s">
        <v>30</v>
      </c>
      <c r="N630" t="s">
        <v>31</v>
      </c>
      <c r="Q630" t="s">
        <v>1878</v>
      </c>
      <c r="R630" t="s">
        <v>1878</v>
      </c>
    </row>
    <row r="631" spans="1:18" x14ac:dyDescent="0.3">
      <c r="A631" s="2" t="str">
        <f>HYPERLINK(B631,"Oppna PDF")</f>
        <v>Oppna PDF</v>
      </c>
      <c r="B631" t="s">
        <v>1875</v>
      </c>
      <c r="C631" t="s">
        <v>1879</v>
      </c>
      <c r="D631" t="s">
        <v>1209</v>
      </c>
      <c r="E631" t="s">
        <v>1877</v>
      </c>
      <c r="F631" t="s">
        <v>1211</v>
      </c>
      <c r="G631" t="s">
        <v>1212</v>
      </c>
      <c r="H631" t="s">
        <v>61</v>
      </c>
      <c r="I631" t="s">
        <v>1213</v>
      </c>
      <c r="J631" t="s">
        <v>27</v>
      </c>
      <c r="K631" t="s">
        <v>28</v>
      </c>
      <c r="L631" t="s">
        <v>29</v>
      </c>
      <c r="M631" t="s">
        <v>30</v>
      </c>
      <c r="N631" t="s">
        <v>31</v>
      </c>
      <c r="Q631" t="s">
        <v>1880</v>
      </c>
      <c r="R631" t="s">
        <v>1880</v>
      </c>
    </row>
    <row r="632" spans="1:18" x14ac:dyDescent="0.3">
      <c r="A632" s="2" t="str">
        <f>HYPERLINK(B632,"Oppna PDF")</f>
        <v>Oppna PDF</v>
      </c>
      <c r="B632" t="s">
        <v>1875</v>
      </c>
      <c r="C632" t="s">
        <v>1881</v>
      </c>
      <c r="D632" t="s">
        <v>1209</v>
      </c>
      <c r="E632" t="s">
        <v>1877</v>
      </c>
      <c r="F632" t="s">
        <v>1211</v>
      </c>
      <c r="G632" t="s">
        <v>1212</v>
      </c>
      <c r="H632" t="s">
        <v>61</v>
      </c>
      <c r="I632" t="s">
        <v>1213</v>
      </c>
      <c r="J632" t="s">
        <v>27</v>
      </c>
      <c r="K632" t="s">
        <v>28</v>
      </c>
      <c r="L632" t="s">
        <v>29</v>
      </c>
      <c r="M632" t="s">
        <v>30</v>
      </c>
      <c r="N632" t="s">
        <v>31</v>
      </c>
      <c r="Q632" t="s">
        <v>1882</v>
      </c>
      <c r="R632" t="s">
        <v>1882</v>
      </c>
    </row>
    <row r="633" spans="1:18" x14ac:dyDescent="0.3">
      <c r="A633" s="2" t="str">
        <f>HYPERLINK(B633,"Oppna PDF")</f>
        <v>Oppna PDF</v>
      </c>
      <c r="B633" t="s">
        <v>1883</v>
      </c>
      <c r="C633" t="s">
        <v>1884</v>
      </c>
      <c r="D633" t="s">
        <v>1209</v>
      </c>
      <c r="E633" t="s">
        <v>1885</v>
      </c>
      <c r="F633" t="s">
        <v>1211</v>
      </c>
      <c r="G633" t="s">
        <v>1212</v>
      </c>
      <c r="H633" t="s">
        <v>61</v>
      </c>
      <c r="I633" t="s">
        <v>1213</v>
      </c>
      <c r="J633" t="s">
        <v>209</v>
      </c>
      <c r="K633" t="s">
        <v>210</v>
      </c>
      <c r="L633" t="s">
        <v>29</v>
      </c>
      <c r="M633" t="s">
        <v>30</v>
      </c>
      <c r="N633" t="s">
        <v>31</v>
      </c>
      <c r="Q633" t="s">
        <v>1886</v>
      </c>
      <c r="R633" t="s">
        <v>1886</v>
      </c>
    </row>
    <row r="634" spans="1:18" x14ac:dyDescent="0.3">
      <c r="A634" s="2" t="str">
        <f>HYPERLINK(B634,"Oppna PDF")</f>
        <v>Oppna PDF</v>
      </c>
      <c r="B634" t="s">
        <v>1887</v>
      </c>
      <c r="C634" t="s">
        <v>1888</v>
      </c>
      <c r="D634" t="s">
        <v>1218</v>
      </c>
      <c r="E634" t="s">
        <v>1889</v>
      </c>
      <c r="F634" t="s">
        <v>1211</v>
      </c>
      <c r="G634" t="s">
        <v>1212</v>
      </c>
      <c r="H634" t="s">
        <v>61</v>
      </c>
      <c r="I634" t="s">
        <v>1213</v>
      </c>
      <c r="J634" t="s">
        <v>27</v>
      </c>
      <c r="K634" t="s">
        <v>28</v>
      </c>
      <c r="L634" t="s">
        <v>29</v>
      </c>
      <c r="M634" t="s">
        <v>30</v>
      </c>
      <c r="N634" t="s">
        <v>31</v>
      </c>
      <c r="Q634" t="s">
        <v>1878</v>
      </c>
      <c r="R634" t="s">
        <v>1878</v>
      </c>
    </row>
    <row r="635" spans="1:18" x14ac:dyDescent="0.3">
      <c r="A635" s="2" t="str">
        <f>HYPERLINK(B635,"Oppna PDF")</f>
        <v>Oppna PDF</v>
      </c>
      <c r="B635" t="s">
        <v>1887</v>
      </c>
      <c r="C635" t="s">
        <v>1890</v>
      </c>
      <c r="D635" t="s">
        <v>1218</v>
      </c>
      <c r="E635" t="s">
        <v>1889</v>
      </c>
      <c r="F635" t="s">
        <v>1211</v>
      </c>
      <c r="G635" t="s">
        <v>1212</v>
      </c>
      <c r="H635" t="s">
        <v>61</v>
      </c>
      <c r="I635" t="s">
        <v>1213</v>
      </c>
      <c r="J635" t="s">
        <v>27</v>
      </c>
      <c r="K635" t="s">
        <v>28</v>
      </c>
      <c r="L635" t="s">
        <v>29</v>
      </c>
      <c r="M635" t="s">
        <v>30</v>
      </c>
      <c r="N635" t="s">
        <v>31</v>
      </c>
      <c r="Q635" t="s">
        <v>1880</v>
      </c>
      <c r="R635" t="s">
        <v>1880</v>
      </c>
    </row>
    <row r="636" spans="1:18" x14ac:dyDescent="0.3">
      <c r="A636" s="2" t="str">
        <f>HYPERLINK(B636,"Oppna PDF")</f>
        <v>Oppna PDF</v>
      </c>
      <c r="B636" t="s">
        <v>1887</v>
      </c>
      <c r="C636" t="s">
        <v>1891</v>
      </c>
      <c r="D636" t="s">
        <v>1218</v>
      </c>
      <c r="E636" t="s">
        <v>1889</v>
      </c>
      <c r="F636" t="s">
        <v>1211</v>
      </c>
      <c r="G636" t="s">
        <v>1212</v>
      </c>
      <c r="H636" t="s">
        <v>61</v>
      </c>
      <c r="I636" t="s">
        <v>1213</v>
      </c>
      <c r="J636" t="s">
        <v>27</v>
      </c>
      <c r="K636" t="s">
        <v>28</v>
      </c>
      <c r="L636" t="s">
        <v>29</v>
      </c>
      <c r="M636" t="s">
        <v>30</v>
      </c>
      <c r="N636" t="s">
        <v>31</v>
      </c>
      <c r="Q636" t="s">
        <v>1882</v>
      </c>
      <c r="R636" t="s">
        <v>1882</v>
      </c>
    </row>
    <row r="637" spans="1:18" x14ac:dyDescent="0.3">
      <c r="A637" s="2" t="str">
        <f>HYPERLINK(B637,"Oppna PDF")</f>
        <v>Oppna PDF</v>
      </c>
      <c r="B637" t="s">
        <v>1892</v>
      </c>
      <c r="C637" t="s">
        <v>1893</v>
      </c>
      <c r="D637" t="s">
        <v>1218</v>
      </c>
      <c r="E637" t="s">
        <v>1894</v>
      </c>
      <c r="F637" t="s">
        <v>1211</v>
      </c>
      <c r="G637" t="s">
        <v>1212</v>
      </c>
      <c r="H637" t="s">
        <v>61</v>
      </c>
      <c r="I637" t="s">
        <v>1213</v>
      </c>
      <c r="J637" t="s">
        <v>209</v>
      </c>
      <c r="K637" t="s">
        <v>210</v>
      </c>
      <c r="L637" t="s">
        <v>29</v>
      </c>
      <c r="M637" t="s">
        <v>30</v>
      </c>
      <c r="N637" t="s">
        <v>31</v>
      </c>
      <c r="Q637" t="s">
        <v>1886</v>
      </c>
      <c r="R637" t="s">
        <v>1886</v>
      </c>
    </row>
    <row r="638" spans="1:18" x14ac:dyDescent="0.3">
      <c r="A638" s="2" t="str">
        <f>HYPERLINK(B638,"Oppna PDF")</f>
        <v>Oppna PDF</v>
      </c>
      <c r="B638" t="s">
        <v>1895</v>
      </c>
      <c r="C638" t="s">
        <v>1896</v>
      </c>
      <c r="D638" t="s">
        <v>1897</v>
      </c>
      <c r="E638" t="s">
        <v>1898</v>
      </c>
      <c r="H638" t="s">
        <v>61</v>
      </c>
      <c r="I638" t="s">
        <v>1899</v>
      </c>
      <c r="J638" t="s">
        <v>48</v>
      </c>
      <c r="K638" t="s">
        <v>49</v>
      </c>
      <c r="L638" t="s">
        <v>29</v>
      </c>
      <c r="M638" t="s">
        <v>30</v>
      </c>
      <c r="N638" t="s">
        <v>31</v>
      </c>
      <c r="Q638" t="s">
        <v>680</v>
      </c>
      <c r="R638" t="s">
        <v>681</v>
      </c>
    </row>
    <row r="639" spans="1:18" x14ac:dyDescent="0.3">
      <c r="A639" s="2" t="str">
        <f>HYPERLINK(B639,"Oppna PDF")</f>
        <v>Oppna PDF</v>
      </c>
      <c r="B639" t="s">
        <v>1895</v>
      </c>
      <c r="C639" t="s">
        <v>1900</v>
      </c>
      <c r="D639" t="s">
        <v>1897</v>
      </c>
      <c r="E639" t="s">
        <v>1898</v>
      </c>
      <c r="H639" t="s">
        <v>61</v>
      </c>
      <c r="I639" t="s">
        <v>1899</v>
      </c>
      <c r="J639" t="s">
        <v>27</v>
      </c>
      <c r="K639" t="s">
        <v>28</v>
      </c>
      <c r="L639" t="s">
        <v>29</v>
      </c>
      <c r="M639" t="s">
        <v>30</v>
      </c>
      <c r="N639" t="s">
        <v>31</v>
      </c>
      <c r="Q639" t="s">
        <v>683</v>
      </c>
      <c r="R639" t="s">
        <v>684</v>
      </c>
    </row>
    <row r="640" spans="1:18" x14ac:dyDescent="0.3">
      <c r="A640" s="2" t="str">
        <f>HYPERLINK(B640,"Oppna PDF")</f>
        <v>Oppna PDF</v>
      </c>
      <c r="B640" t="s">
        <v>1895</v>
      </c>
      <c r="C640" t="s">
        <v>1901</v>
      </c>
      <c r="D640" t="s">
        <v>1897</v>
      </c>
      <c r="E640" t="s">
        <v>1898</v>
      </c>
      <c r="H640" t="s">
        <v>61</v>
      </c>
      <c r="I640" t="s">
        <v>1899</v>
      </c>
      <c r="J640" t="s">
        <v>27</v>
      </c>
      <c r="K640" t="s">
        <v>28</v>
      </c>
      <c r="L640" t="s">
        <v>29</v>
      </c>
      <c r="M640" t="s">
        <v>30</v>
      </c>
      <c r="N640" t="s">
        <v>31</v>
      </c>
      <c r="Q640" t="s">
        <v>686</v>
      </c>
      <c r="R640" t="s">
        <v>686</v>
      </c>
    </row>
    <row r="641" spans="1:18" x14ac:dyDescent="0.3">
      <c r="A641" s="2" t="str">
        <f>HYPERLINK(B641,"Oppna PDF")</f>
        <v>Oppna PDF</v>
      </c>
      <c r="B641" t="s">
        <v>1902</v>
      </c>
      <c r="C641" t="s">
        <v>1903</v>
      </c>
      <c r="D641" t="s">
        <v>1432</v>
      </c>
      <c r="E641" t="s">
        <v>1904</v>
      </c>
      <c r="F641" t="s">
        <v>1434</v>
      </c>
      <c r="G641" t="s">
        <v>1435</v>
      </c>
      <c r="H641" t="s">
        <v>61</v>
      </c>
      <c r="I641" t="s">
        <v>1436</v>
      </c>
      <c r="J641" t="s">
        <v>38</v>
      </c>
      <c r="K641" t="s">
        <v>39</v>
      </c>
      <c r="L641" t="s">
        <v>29</v>
      </c>
      <c r="M641" t="s">
        <v>30</v>
      </c>
      <c r="N641" t="s">
        <v>31</v>
      </c>
      <c r="Q641" t="s">
        <v>1905</v>
      </c>
      <c r="R641" t="s">
        <v>1905</v>
      </c>
    </row>
    <row r="642" spans="1:18" x14ac:dyDescent="0.3">
      <c r="A642" s="2" t="str">
        <f>HYPERLINK(B642,"Oppna PDF")</f>
        <v>Oppna PDF</v>
      </c>
      <c r="B642" t="s">
        <v>1902</v>
      </c>
      <c r="C642" t="s">
        <v>1906</v>
      </c>
      <c r="D642" t="s">
        <v>1432</v>
      </c>
      <c r="E642" t="s">
        <v>1904</v>
      </c>
      <c r="F642" t="s">
        <v>1434</v>
      </c>
      <c r="G642" t="s">
        <v>1435</v>
      </c>
      <c r="H642" t="s">
        <v>61</v>
      </c>
      <c r="I642" t="s">
        <v>1436</v>
      </c>
      <c r="J642" t="s">
        <v>87</v>
      </c>
      <c r="K642" t="s">
        <v>88</v>
      </c>
      <c r="L642" t="s">
        <v>29</v>
      </c>
      <c r="M642" t="s">
        <v>30</v>
      </c>
      <c r="N642" t="s">
        <v>31</v>
      </c>
      <c r="Q642" t="s">
        <v>1907</v>
      </c>
      <c r="R642" t="s">
        <v>1907</v>
      </c>
    </row>
    <row r="643" spans="1:18" x14ac:dyDescent="0.3">
      <c r="A643" s="2" t="str">
        <f>HYPERLINK(B643,"Oppna PDF")</f>
        <v>Oppna PDF</v>
      </c>
      <c r="B643" t="s">
        <v>1902</v>
      </c>
      <c r="C643" t="s">
        <v>1908</v>
      </c>
      <c r="D643" t="s">
        <v>1432</v>
      </c>
      <c r="E643" t="s">
        <v>1904</v>
      </c>
      <c r="F643" t="s">
        <v>1434</v>
      </c>
      <c r="G643" t="s">
        <v>1435</v>
      </c>
      <c r="H643" t="s">
        <v>61</v>
      </c>
      <c r="I643" t="s">
        <v>1436</v>
      </c>
      <c r="J643" t="s">
        <v>87</v>
      </c>
      <c r="K643" t="s">
        <v>88</v>
      </c>
      <c r="L643" t="s">
        <v>29</v>
      </c>
      <c r="M643" t="s">
        <v>30</v>
      </c>
      <c r="N643" t="s">
        <v>31</v>
      </c>
      <c r="Q643" t="s">
        <v>1909</v>
      </c>
      <c r="R643" t="s">
        <v>1909</v>
      </c>
    </row>
    <row r="644" spans="1:18" x14ac:dyDescent="0.3">
      <c r="A644" s="2" t="str">
        <f>HYPERLINK(B644,"Oppna PDF")</f>
        <v>Oppna PDF</v>
      </c>
      <c r="B644" t="s">
        <v>1910</v>
      </c>
      <c r="C644" t="s">
        <v>1911</v>
      </c>
      <c r="D644" t="s">
        <v>1452</v>
      </c>
      <c r="E644" t="s">
        <v>1912</v>
      </c>
      <c r="H644" t="s">
        <v>25</v>
      </c>
      <c r="I644" t="s">
        <v>1454</v>
      </c>
      <c r="J644" t="s">
        <v>27</v>
      </c>
      <c r="K644" t="s">
        <v>28</v>
      </c>
      <c r="L644" t="s">
        <v>29</v>
      </c>
      <c r="M644" t="s">
        <v>30</v>
      </c>
      <c r="N644" t="s">
        <v>31</v>
      </c>
      <c r="Q644" t="s">
        <v>1913</v>
      </c>
      <c r="R644" t="s">
        <v>1913</v>
      </c>
    </row>
    <row r="645" spans="1:18" x14ac:dyDescent="0.3">
      <c r="A645" s="2" t="str">
        <f>HYPERLINK(B645,"Oppna PDF")</f>
        <v>Oppna PDF</v>
      </c>
      <c r="B645" t="s">
        <v>1910</v>
      </c>
      <c r="C645" t="s">
        <v>1914</v>
      </c>
      <c r="D645" t="s">
        <v>1452</v>
      </c>
      <c r="E645" t="s">
        <v>1912</v>
      </c>
      <c r="H645" t="s">
        <v>25</v>
      </c>
      <c r="I645" t="s">
        <v>1454</v>
      </c>
      <c r="J645" t="s">
        <v>87</v>
      </c>
      <c r="K645" t="s">
        <v>88</v>
      </c>
      <c r="L645" t="s">
        <v>29</v>
      </c>
      <c r="M645" t="s">
        <v>30</v>
      </c>
      <c r="N645" t="s">
        <v>31</v>
      </c>
      <c r="Q645" t="s">
        <v>1915</v>
      </c>
      <c r="R645" t="s">
        <v>1915</v>
      </c>
    </row>
    <row r="646" spans="1:18" x14ac:dyDescent="0.3">
      <c r="A646" s="2" t="str">
        <f>HYPERLINK(B646,"Oppna PDF")</f>
        <v>Oppna PDF</v>
      </c>
      <c r="B646" t="s">
        <v>1910</v>
      </c>
      <c r="C646" t="s">
        <v>1916</v>
      </c>
      <c r="D646" t="s">
        <v>1452</v>
      </c>
      <c r="E646" t="s">
        <v>1912</v>
      </c>
      <c r="H646" t="s">
        <v>25</v>
      </c>
      <c r="I646" t="s">
        <v>1454</v>
      </c>
      <c r="J646" t="s">
        <v>38</v>
      </c>
      <c r="K646" t="s">
        <v>39</v>
      </c>
      <c r="L646" t="s">
        <v>29</v>
      </c>
      <c r="M646" t="s">
        <v>30</v>
      </c>
      <c r="N646" t="s">
        <v>31</v>
      </c>
      <c r="Q646" t="s">
        <v>1917</v>
      </c>
      <c r="R646" t="s">
        <v>1917</v>
      </c>
    </row>
    <row r="647" spans="1:18" x14ac:dyDescent="0.3">
      <c r="A647" s="2" t="str">
        <f>HYPERLINK(B647,"Oppna PDF")</f>
        <v>Oppna PDF</v>
      </c>
      <c r="B647" t="s">
        <v>1918</v>
      </c>
      <c r="C647" t="s">
        <v>1919</v>
      </c>
      <c r="D647" t="s">
        <v>1920</v>
      </c>
      <c r="E647" t="s">
        <v>1921</v>
      </c>
      <c r="F647" t="e">
        <f>-- Emmaboda</f>
        <v>#NAME?</v>
      </c>
      <c r="G647" t="e">
        <f>-- Emmaboda kommun</f>
        <v>#NAME?</v>
      </c>
      <c r="H647" t="s">
        <v>61</v>
      </c>
      <c r="I647" t="s">
        <v>1922</v>
      </c>
      <c r="J647" t="s">
        <v>38</v>
      </c>
      <c r="K647" t="s">
        <v>39</v>
      </c>
      <c r="L647" t="s">
        <v>29</v>
      </c>
      <c r="M647" t="s">
        <v>30</v>
      </c>
      <c r="N647" t="s">
        <v>31</v>
      </c>
      <c r="Q647" t="s">
        <v>1923</v>
      </c>
      <c r="R647" t="s">
        <v>1924</v>
      </c>
    </row>
    <row r="648" spans="1:18" x14ac:dyDescent="0.3">
      <c r="A648" s="2" t="str">
        <f>HYPERLINK(B648,"Oppna PDF")</f>
        <v>Oppna PDF</v>
      </c>
      <c r="B648" t="s">
        <v>1925</v>
      </c>
      <c r="C648" t="s">
        <v>1926</v>
      </c>
      <c r="D648" t="s">
        <v>1452</v>
      </c>
      <c r="E648" t="s">
        <v>1927</v>
      </c>
      <c r="H648" t="s">
        <v>25</v>
      </c>
      <c r="I648" t="s">
        <v>1454</v>
      </c>
      <c r="J648" t="s">
        <v>27</v>
      </c>
      <c r="K648" t="s">
        <v>28</v>
      </c>
      <c r="L648" t="s">
        <v>29</v>
      </c>
      <c r="M648" t="s">
        <v>30</v>
      </c>
      <c r="N648" t="s">
        <v>31</v>
      </c>
      <c r="Q648" t="s">
        <v>1928</v>
      </c>
      <c r="R648" t="s">
        <v>1928</v>
      </c>
    </row>
    <row r="649" spans="1:18" x14ac:dyDescent="0.3">
      <c r="A649" s="2" t="str">
        <f>HYPERLINK(B649,"Oppna PDF")</f>
        <v>Oppna PDF</v>
      </c>
      <c r="B649" t="s">
        <v>1925</v>
      </c>
      <c r="C649" t="s">
        <v>1929</v>
      </c>
      <c r="D649" t="s">
        <v>1452</v>
      </c>
      <c r="E649" t="s">
        <v>1927</v>
      </c>
      <c r="H649" t="s">
        <v>25</v>
      </c>
      <c r="I649" t="s">
        <v>1454</v>
      </c>
      <c r="J649" t="s">
        <v>87</v>
      </c>
      <c r="K649" t="s">
        <v>88</v>
      </c>
      <c r="L649" t="s">
        <v>29</v>
      </c>
      <c r="M649" t="s">
        <v>30</v>
      </c>
      <c r="N649" t="s">
        <v>31</v>
      </c>
      <c r="Q649" t="s">
        <v>1930</v>
      </c>
      <c r="R649" t="s">
        <v>1930</v>
      </c>
    </row>
    <row r="650" spans="1:18" x14ac:dyDescent="0.3">
      <c r="A650" s="2" t="str">
        <f>HYPERLINK(B650,"Oppna PDF")</f>
        <v>Oppna PDF</v>
      </c>
      <c r="B650" t="s">
        <v>1931</v>
      </c>
      <c r="C650" t="s">
        <v>1932</v>
      </c>
      <c r="D650" t="s">
        <v>1298</v>
      </c>
      <c r="E650" t="s">
        <v>1933</v>
      </c>
      <c r="H650" t="s">
        <v>25</v>
      </c>
      <c r="I650" t="s">
        <v>1300</v>
      </c>
      <c r="J650" t="s">
        <v>91</v>
      </c>
      <c r="K650" t="s">
        <v>92</v>
      </c>
      <c r="L650" t="s">
        <v>142</v>
      </c>
      <c r="M650" t="s">
        <v>30</v>
      </c>
      <c r="N650" t="s">
        <v>31</v>
      </c>
      <c r="Q650" t="s">
        <v>1318</v>
      </c>
      <c r="R650" t="s">
        <v>1318</v>
      </c>
    </row>
    <row r="651" spans="1:18" x14ac:dyDescent="0.3">
      <c r="A651" s="2" t="str">
        <f>HYPERLINK(B651,"Oppna PDF")</f>
        <v>Oppna PDF</v>
      </c>
      <c r="B651" t="s">
        <v>1931</v>
      </c>
      <c r="C651" t="s">
        <v>1934</v>
      </c>
      <c r="D651" t="s">
        <v>1298</v>
      </c>
      <c r="E651" t="s">
        <v>1933</v>
      </c>
      <c r="H651" t="s">
        <v>25</v>
      </c>
      <c r="I651" t="s">
        <v>1300</v>
      </c>
      <c r="J651" t="s">
        <v>87</v>
      </c>
      <c r="K651" t="s">
        <v>88</v>
      </c>
      <c r="L651" t="s">
        <v>29</v>
      </c>
      <c r="M651" t="s">
        <v>30</v>
      </c>
      <c r="N651" t="s">
        <v>31</v>
      </c>
      <c r="Q651" t="s">
        <v>1935</v>
      </c>
      <c r="R651" t="s">
        <v>1935</v>
      </c>
    </row>
    <row r="652" spans="1:18" x14ac:dyDescent="0.3">
      <c r="A652" s="2" t="str">
        <f>HYPERLINK(B652,"Oppna PDF")</f>
        <v>Oppna PDF</v>
      </c>
      <c r="B652" t="s">
        <v>1936</v>
      </c>
      <c r="C652" t="s">
        <v>1937</v>
      </c>
      <c r="D652" t="s">
        <v>1938</v>
      </c>
      <c r="E652" t="s">
        <v>1939</v>
      </c>
      <c r="F652" t="s">
        <v>1557</v>
      </c>
      <c r="G652" t="s">
        <v>1558</v>
      </c>
      <c r="H652" t="s">
        <v>61</v>
      </c>
      <c r="I652" t="s">
        <v>1940</v>
      </c>
      <c r="J652" t="s">
        <v>38</v>
      </c>
      <c r="K652" t="s">
        <v>39</v>
      </c>
      <c r="L652" t="s">
        <v>29</v>
      </c>
      <c r="M652" t="s">
        <v>30</v>
      </c>
      <c r="N652" t="s">
        <v>31</v>
      </c>
      <c r="Q652" t="s">
        <v>1941</v>
      </c>
      <c r="R652" t="s">
        <v>1941</v>
      </c>
    </row>
    <row r="653" spans="1:18" x14ac:dyDescent="0.3">
      <c r="A653" s="2" t="str">
        <f>HYPERLINK(B653,"Oppna PDF")</f>
        <v>Oppna PDF</v>
      </c>
      <c r="B653" t="s">
        <v>1936</v>
      </c>
      <c r="C653" t="s">
        <v>1942</v>
      </c>
      <c r="D653" t="s">
        <v>1938</v>
      </c>
      <c r="E653" t="s">
        <v>1939</v>
      </c>
      <c r="F653" t="s">
        <v>1557</v>
      </c>
      <c r="G653" t="s">
        <v>1558</v>
      </c>
      <c r="H653" t="s">
        <v>61</v>
      </c>
      <c r="I653" t="s">
        <v>1940</v>
      </c>
      <c r="J653" t="s">
        <v>38</v>
      </c>
      <c r="K653" t="s">
        <v>39</v>
      </c>
      <c r="L653" t="s">
        <v>29</v>
      </c>
      <c r="M653" t="s">
        <v>30</v>
      </c>
      <c r="N653" t="s">
        <v>31</v>
      </c>
      <c r="Q653" t="s">
        <v>1943</v>
      </c>
      <c r="R653" t="s">
        <v>1943</v>
      </c>
    </row>
    <row r="654" spans="1:18" x14ac:dyDescent="0.3">
      <c r="A654" s="2" t="str">
        <f>HYPERLINK(B654,"Oppna PDF")</f>
        <v>Oppna PDF</v>
      </c>
      <c r="B654" t="s">
        <v>1936</v>
      </c>
      <c r="C654" t="s">
        <v>1944</v>
      </c>
      <c r="D654" t="s">
        <v>1938</v>
      </c>
      <c r="E654" t="s">
        <v>1939</v>
      </c>
      <c r="F654" t="s">
        <v>1557</v>
      </c>
      <c r="G654" t="s">
        <v>1558</v>
      </c>
      <c r="H654" t="s">
        <v>61</v>
      </c>
      <c r="I654" t="s">
        <v>1940</v>
      </c>
      <c r="J654" t="s">
        <v>48</v>
      </c>
      <c r="K654" t="s">
        <v>49</v>
      </c>
      <c r="L654" t="s">
        <v>29</v>
      </c>
      <c r="M654" t="s">
        <v>30</v>
      </c>
      <c r="N654" t="s">
        <v>31</v>
      </c>
      <c r="Q654" t="s">
        <v>1945</v>
      </c>
      <c r="R654" t="s">
        <v>1945</v>
      </c>
    </row>
    <row r="655" spans="1:18" x14ac:dyDescent="0.3">
      <c r="A655" s="2" t="str">
        <f>HYPERLINK(B655,"Oppna PDF")</f>
        <v>Oppna PDF</v>
      </c>
      <c r="B655" t="s">
        <v>1946</v>
      </c>
      <c r="C655" t="s">
        <v>1947</v>
      </c>
      <c r="D655" t="s">
        <v>1938</v>
      </c>
      <c r="E655" t="s">
        <v>1948</v>
      </c>
      <c r="F655" t="s">
        <v>1557</v>
      </c>
      <c r="G655" t="s">
        <v>1558</v>
      </c>
      <c r="H655" t="s">
        <v>61</v>
      </c>
      <c r="I655" t="s">
        <v>1940</v>
      </c>
      <c r="J655" t="s">
        <v>48</v>
      </c>
      <c r="K655" t="s">
        <v>49</v>
      </c>
      <c r="L655" t="s">
        <v>29</v>
      </c>
      <c r="M655" t="s">
        <v>30</v>
      </c>
      <c r="N655" t="s">
        <v>31</v>
      </c>
      <c r="Q655" t="s">
        <v>1466</v>
      </c>
      <c r="R655" t="s">
        <v>1467</v>
      </c>
    </row>
    <row r="656" spans="1:18" x14ac:dyDescent="0.3">
      <c r="A656" s="2" t="str">
        <f>HYPERLINK(B656,"Oppna PDF")</f>
        <v>Oppna PDF</v>
      </c>
      <c r="B656" t="s">
        <v>1946</v>
      </c>
      <c r="C656" t="s">
        <v>1949</v>
      </c>
      <c r="D656" t="s">
        <v>1938</v>
      </c>
      <c r="E656" t="s">
        <v>1948</v>
      </c>
      <c r="F656" t="s">
        <v>1557</v>
      </c>
      <c r="G656" t="s">
        <v>1558</v>
      </c>
      <c r="H656" t="s">
        <v>61</v>
      </c>
      <c r="I656" t="s">
        <v>1940</v>
      </c>
      <c r="J656" t="s">
        <v>87</v>
      </c>
      <c r="K656" t="s">
        <v>88</v>
      </c>
      <c r="L656" t="s">
        <v>29</v>
      </c>
      <c r="M656" t="s">
        <v>30</v>
      </c>
      <c r="N656" t="s">
        <v>31</v>
      </c>
      <c r="Q656" t="s">
        <v>1469</v>
      </c>
      <c r="R656" t="s">
        <v>1470</v>
      </c>
    </row>
    <row r="657" spans="1:18" x14ac:dyDescent="0.3">
      <c r="A657" s="2" t="str">
        <f>HYPERLINK(B657,"Oppna PDF")</f>
        <v>Oppna PDF</v>
      </c>
      <c r="B657" t="s">
        <v>1946</v>
      </c>
      <c r="C657" t="s">
        <v>1950</v>
      </c>
      <c r="D657" t="s">
        <v>1938</v>
      </c>
      <c r="E657" t="s">
        <v>1948</v>
      </c>
      <c r="F657" t="s">
        <v>1557</v>
      </c>
      <c r="G657" t="s">
        <v>1558</v>
      </c>
      <c r="H657" t="s">
        <v>61</v>
      </c>
      <c r="I657" t="s">
        <v>1940</v>
      </c>
      <c r="J657" t="s">
        <v>27</v>
      </c>
      <c r="K657" t="s">
        <v>28</v>
      </c>
      <c r="L657" t="s">
        <v>29</v>
      </c>
      <c r="M657" t="s">
        <v>30</v>
      </c>
      <c r="N657" t="s">
        <v>31</v>
      </c>
      <c r="Q657" t="s">
        <v>1472</v>
      </c>
      <c r="R657" t="s">
        <v>1473</v>
      </c>
    </row>
    <row r="658" spans="1:18" x14ac:dyDescent="0.3">
      <c r="A658" s="2" t="str">
        <f>HYPERLINK(B658,"Oppna PDF")</f>
        <v>Oppna PDF</v>
      </c>
      <c r="B658" t="s">
        <v>1951</v>
      </c>
      <c r="C658" t="s">
        <v>1952</v>
      </c>
      <c r="D658" t="s">
        <v>976</v>
      </c>
      <c r="E658" t="s">
        <v>1953</v>
      </c>
      <c r="H658" t="s">
        <v>61</v>
      </c>
      <c r="I658" t="s">
        <v>978</v>
      </c>
      <c r="J658" t="s">
        <v>38</v>
      </c>
      <c r="K658" t="s">
        <v>39</v>
      </c>
      <c r="L658" t="s">
        <v>29</v>
      </c>
      <c r="M658" t="s">
        <v>30</v>
      </c>
      <c r="N658" t="s">
        <v>31</v>
      </c>
      <c r="Q658" t="s">
        <v>1954</v>
      </c>
      <c r="R658" t="s">
        <v>1954</v>
      </c>
    </row>
    <row r="659" spans="1:18" x14ac:dyDescent="0.3">
      <c r="A659" s="2" t="str">
        <f>HYPERLINK(B659,"Oppna PDF")</f>
        <v>Oppna PDF</v>
      </c>
      <c r="B659" t="s">
        <v>1951</v>
      </c>
      <c r="C659" t="s">
        <v>1955</v>
      </c>
      <c r="D659" t="s">
        <v>976</v>
      </c>
      <c r="E659" t="s">
        <v>1953</v>
      </c>
      <c r="H659" t="s">
        <v>61</v>
      </c>
      <c r="I659" t="s">
        <v>978</v>
      </c>
      <c r="J659" t="s">
        <v>38</v>
      </c>
      <c r="K659" t="s">
        <v>39</v>
      </c>
      <c r="L659" t="s">
        <v>29</v>
      </c>
      <c r="M659" t="s">
        <v>30</v>
      </c>
      <c r="N659" t="s">
        <v>31</v>
      </c>
      <c r="Q659" t="s">
        <v>1956</v>
      </c>
      <c r="R659" t="s">
        <v>1956</v>
      </c>
    </row>
    <row r="660" spans="1:18" x14ac:dyDescent="0.3">
      <c r="A660" s="2" t="str">
        <f>HYPERLINK(B660,"Oppna PDF")</f>
        <v>Oppna PDF</v>
      </c>
      <c r="B660" t="s">
        <v>1951</v>
      </c>
      <c r="C660" t="s">
        <v>1957</v>
      </c>
      <c r="D660" t="s">
        <v>976</v>
      </c>
      <c r="E660" t="s">
        <v>1953</v>
      </c>
      <c r="H660" t="s">
        <v>61</v>
      </c>
      <c r="I660" t="s">
        <v>978</v>
      </c>
      <c r="J660" t="s">
        <v>38</v>
      </c>
      <c r="K660" t="s">
        <v>39</v>
      </c>
      <c r="L660" t="s">
        <v>29</v>
      </c>
      <c r="M660" t="s">
        <v>30</v>
      </c>
      <c r="N660" t="s">
        <v>31</v>
      </c>
      <c r="Q660" t="s">
        <v>1958</v>
      </c>
      <c r="R660" t="s">
        <v>1958</v>
      </c>
    </row>
    <row r="661" spans="1:18" x14ac:dyDescent="0.3">
      <c r="A661" s="2" t="str">
        <f>HYPERLINK(B661,"Oppna PDF")</f>
        <v>Oppna PDF</v>
      </c>
      <c r="B661" t="s">
        <v>1959</v>
      </c>
      <c r="C661" t="s">
        <v>1960</v>
      </c>
      <c r="D661" t="s">
        <v>976</v>
      </c>
      <c r="E661" t="s">
        <v>1961</v>
      </c>
      <c r="H661" t="s">
        <v>61</v>
      </c>
      <c r="I661" t="s">
        <v>978</v>
      </c>
      <c r="J661" t="s">
        <v>27</v>
      </c>
      <c r="K661" t="s">
        <v>28</v>
      </c>
      <c r="L661" t="s">
        <v>29</v>
      </c>
      <c r="M661" t="s">
        <v>30</v>
      </c>
      <c r="N661" t="s">
        <v>31</v>
      </c>
      <c r="Q661" t="s">
        <v>1962</v>
      </c>
      <c r="R661" t="s">
        <v>1962</v>
      </c>
    </row>
    <row r="662" spans="1:18" x14ac:dyDescent="0.3">
      <c r="A662" s="2" t="str">
        <f>HYPERLINK(B662,"Oppna PDF")</f>
        <v>Oppna PDF</v>
      </c>
      <c r="B662" t="s">
        <v>1963</v>
      </c>
      <c r="C662" t="s">
        <v>1964</v>
      </c>
      <c r="D662" t="s">
        <v>976</v>
      </c>
      <c r="E662" t="s">
        <v>1965</v>
      </c>
      <c r="H662" t="s">
        <v>61</v>
      </c>
      <c r="I662" t="s">
        <v>978</v>
      </c>
      <c r="J662" t="s">
        <v>27</v>
      </c>
      <c r="K662" t="s">
        <v>28</v>
      </c>
      <c r="L662" t="s">
        <v>29</v>
      </c>
      <c r="M662" t="s">
        <v>30</v>
      </c>
      <c r="N662" t="s">
        <v>31</v>
      </c>
      <c r="Q662" t="s">
        <v>1966</v>
      </c>
      <c r="R662" t="s">
        <v>1967</v>
      </c>
    </row>
    <row r="663" spans="1:18" x14ac:dyDescent="0.3">
      <c r="A663" s="2" t="str">
        <f>HYPERLINK(B663,"Oppna PDF")</f>
        <v>Oppna PDF</v>
      </c>
      <c r="B663" t="s">
        <v>1968</v>
      </c>
      <c r="C663" t="s">
        <v>1969</v>
      </c>
      <c r="D663" t="s">
        <v>976</v>
      </c>
      <c r="E663" t="s">
        <v>1970</v>
      </c>
      <c r="H663" t="s">
        <v>61</v>
      </c>
      <c r="I663" t="s">
        <v>978</v>
      </c>
      <c r="J663" t="s">
        <v>27</v>
      </c>
      <c r="K663" t="s">
        <v>28</v>
      </c>
      <c r="L663" t="s">
        <v>29</v>
      </c>
      <c r="M663" t="s">
        <v>30</v>
      </c>
      <c r="N663" t="s">
        <v>31</v>
      </c>
      <c r="Q663" t="s">
        <v>1971</v>
      </c>
      <c r="R663" t="s">
        <v>1971</v>
      </c>
    </row>
    <row r="664" spans="1:18" x14ac:dyDescent="0.3">
      <c r="A664" s="2" t="str">
        <f>HYPERLINK(B664,"Oppna PDF")</f>
        <v>Oppna PDF</v>
      </c>
      <c r="B664" t="s">
        <v>1968</v>
      </c>
      <c r="C664" t="s">
        <v>1972</v>
      </c>
      <c r="D664" t="s">
        <v>976</v>
      </c>
      <c r="E664" t="s">
        <v>1970</v>
      </c>
      <c r="H664" t="s">
        <v>61</v>
      </c>
      <c r="I664" t="s">
        <v>978</v>
      </c>
      <c r="J664" t="s">
        <v>27</v>
      </c>
      <c r="K664" t="s">
        <v>28</v>
      </c>
      <c r="L664" t="s">
        <v>29</v>
      </c>
      <c r="M664" t="s">
        <v>30</v>
      </c>
      <c r="N664" t="s">
        <v>31</v>
      </c>
      <c r="Q664" t="s">
        <v>1564</v>
      </c>
      <c r="R664" t="s">
        <v>1564</v>
      </c>
    </row>
    <row r="665" spans="1:18" x14ac:dyDescent="0.3">
      <c r="A665" s="2" t="str">
        <f>HYPERLINK(B665,"Oppna PDF")</f>
        <v>Oppna PDF</v>
      </c>
      <c r="B665" t="s">
        <v>1968</v>
      </c>
      <c r="C665" t="s">
        <v>1973</v>
      </c>
      <c r="D665" t="s">
        <v>976</v>
      </c>
      <c r="E665" t="s">
        <v>1970</v>
      </c>
      <c r="H665" t="s">
        <v>61</v>
      </c>
      <c r="I665" t="s">
        <v>978</v>
      </c>
      <c r="J665" t="s">
        <v>27</v>
      </c>
      <c r="K665" t="s">
        <v>28</v>
      </c>
      <c r="L665" t="s">
        <v>29</v>
      </c>
      <c r="M665" t="s">
        <v>30</v>
      </c>
      <c r="N665" t="s">
        <v>31</v>
      </c>
      <c r="Q665" t="s">
        <v>1974</v>
      </c>
      <c r="R665" t="s">
        <v>1974</v>
      </c>
    </row>
    <row r="666" spans="1:18" x14ac:dyDescent="0.3">
      <c r="A666" s="2" t="str">
        <f>HYPERLINK(B666,"Oppna PDF")</f>
        <v>Oppna PDF</v>
      </c>
      <c r="B666" t="s">
        <v>1975</v>
      </c>
      <c r="C666" t="s">
        <v>1976</v>
      </c>
      <c r="D666" t="s">
        <v>976</v>
      </c>
      <c r="E666" t="s">
        <v>1977</v>
      </c>
      <c r="H666" t="s">
        <v>61</v>
      </c>
      <c r="I666" t="s">
        <v>978</v>
      </c>
      <c r="J666" t="s">
        <v>27</v>
      </c>
      <c r="K666" t="s">
        <v>28</v>
      </c>
      <c r="L666" t="s">
        <v>29</v>
      </c>
      <c r="M666" t="s">
        <v>30</v>
      </c>
      <c r="N666" t="s">
        <v>31</v>
      </c>
      <c r="Q666" t="s">
        <v>1978</v>
      </c>
      <c r="R666" t="s">
        <v>1978</v>
      </c>
    </row>
    <row r="667" spans="1:18" x14ac:dyDescent="0.3">
      <c r="A667" s="2" t="str">
        <f>HYPERLINK(B667,"Oppna PDF")</f>
        <v>Oppna PDF</v>
      </c>
      <c r="B667" t="s">
        <v>1975</v>
      </c>
      <c r="C667" t="s">
        <v>1979</v>
      </c>
      <c r="D667" t="s">
        <v>976</v>
      </c>
      <c r="E667" t="s">
        <v>1977</v>
      </c>
      <c r="H667" t="s">
        <v>61</v>
      </c>
      <c r="I667" t="s">
        <v>978</v>
      </c>
      <c r="J667" t="s">
        <v>91</v>
      </c>
      <c r="K667" t="s">
        <v>92</v>
      </c>
      <c r="L667" t="s">
        <v>29</v>
      </c>
      <c r="M667" t="s">
        <v>30</v>
      </c>
      <c r="N667" t="s">
        <v>31</v>
      </c>
      <c r="Q667" t="s">
        <v>1980</v>
      </c>
      <c r="R667" t="s">
        <v>1980</v>
      </c>
    </row>
    <row r="668" spans="1:18" x14ac:dyDescent="0.3">
      <c r="A668" s="2" t="str">
        <f>HYPERLINK(B668,"Oppna PDF")</f>
        <v>Oppna PDF</v>
      </c>
      <c r="B668" t="s">
        <v>1975</v>
      </c>
      <c r="C668" t="s">
        <v>1981</v>
      </c>
      <c r="D668" t="s">
        <v>976</v>
      </c>
      <c r="E668" t="s">
        <v>1977</v>
      </c>
      <c r="H668" t="s">
        <v>61</v>
      </c>
      <c r="I668" t="s">
        <v>978</v>
      </c>
      <c r="J668" t="s">
        <v>38</v>
      </c>
      <c r="K668" t="s">
        <v>39</v>
      </c>
      <c r="L668" t="s">
        <v>29</v>
      </c>
      <c r="M668" t="s">
        <v>30</v>
      </c>
      <c r="N668" t="s">
        <v>31</v>
      </c>
      <c r="Q668" t="s">
        <v>1982</v>
      </c>
      <c r="R668" t="s">
        <v>1983</v>
      </c>
    </row>
    <row r="669" spans="1:18" x14ac:dyDescent="0.3">
      <c r="A669" s="2" t="str">
        <f>HYPERLINK(B669,"Oppna PDF")</f>
        <v>Oppna PDF</v>
      </c>
      <c r="B669" t="s">
        <v>1984</v>
      </c>
      <c r="C669" t="s">
        <v>1985</v>
      </c>
      <c r="D669" t="s">
        <v>1986</v>
      </c>
      <c r="E669" t="s">
        <v>1987</v>
      </c>
      <c r="F669" t="s">
        <v>1988</v>
      </c>
      <c r="G669" t="s">
        <v>1989</v>
      </c>
      <c r="H669" t="s">
        <v>61</v>
      </c>
      <c r="I669" t="s">
        <v>1990</v>
      </c>
      <c r="J669" t="s">
        <v>48</v>
      </c>
      <c r="K669" t="s">
        <v>49</v>
      </c>
      <c r="L669" t="s">
        <v>29</v>
      </c>
      <c r="M669" t="s">
        <v>30</v>
      </c>
      <c r="N669" t="s">
        <v>31</v>
      </c>
      <c r="Q669" t="s">
        <v>1991</v>
      </c>
      <c r="R669" t="s">
        <v>1991</v>
      </c>
    </row>
    <row r="670" spans="1:18" x14ac:dyDescent="0.3">
      <c r="A670" s="2" t="str">
        <f>HYPERLINK(B670,"Oppna PDF")</f>
        <v>Oppna PDF</v>
      </c>
      <c r="B670" t="s">
        <v>1984</v>
      </c>
      <c r="C670" t="s">
        <v>1992</v>
      </c>
      <c r="D670" t="s">
        <v>1986</v>
      </c>
      <c r="E670" t="s">
        <v>1987</v>
      </c>
      <c r="F670" t="s">
        <v>1988</v>
      </c>
      <c r="G670" t="s">
        <v>1989</v>
      </c>
      <c r="H670" t="s">
        <v>61</v>
      </c>
      <c r="I670" t="s">
        <v>1990</v>
      </c>
      <c r="J670" t="s">
        <v>27</v>
      </c>
      <c r="K670" t="s">
        <v>28</v>
      </c>
      <c r="L670" t="s">
        <v>29</v>
      </c>
      <c r="M670" t="s">
        <v>30</v>
      </c>
      <c r="N670" t="s">
        <v>31</v>
      </c>
      <c r="Q670" t="s">
        <v>1993</v>
      </c>
      <c r="R670" t="s">
        <v>1993</v>
      </c>
    </row>
    <row r="671" spans="1:18" x14ac:dyDescent="0.3">
      <c r="A671" s="2" t="str">
        <f>HYPERLINK(B671,"Oppna PDF")</f>
        <v>Oppna PDF</v>
      </c>
      <c r="B671" t="s">
        <v>1984</v>
      </c>
      <c r="C671" t="s">
        <v>1994</v>
      </c>
      <c r="D671" t="s">
        <v>1986</v>
      </c>
      <c r="E671" t="s">
        <v>1987</v>
      </c>
      <c r="F671" t="s">
        <v>1988</v>
      </c>
      <c r="G671" t="s">
        <v>1989</v>
      </c>
      <c r="H671" t="s">
        <v>61</v>
      </c>
      <c r="I671" t="s">
        <v>1990</v>
      </c>
      <c r="J671" t="s">
        <v>48</v>
      </c>
      <c r="K671" t="s">
        <v>49</v>
      </c>
      <c r="L671" t="s">
        <v>29</v>
      </c>
      <c r="M671" t="s">
        <v>30</v>
      </c>
      <c r="N671" t="s">
        <v>31</v>
      </c>
      <c r="Q671" t="s">
        <v>1995</v>
      </c>
      <c r="R671" t="s">
        <v>1995</v>
      </c>
    </row>
    <row r="672" spans="1:18" x14ac:dyDescent="0.3">
      <c r="A672" s="2" t="str">
        <f>HYPERLINK(B672,"Oppna PDF")</f>
        <v>Oppna PDF</v>
      </c>
      <c r="B672" t="s">
        <v>1996</v>
      </c>
      <c r="C672" t="s">
        <v>1997</v>
      </c>
      <c r="D672" t="s">
        <v>1986</v>
      </c>
      <c r="E672" t="s">
        <v>1998</v>
      </c>
      <c r="F672" t="s">
        <v>1988</v>
      </c>
      <c r="G672" t="s">
        <v>1989</v>
      </c>
      <c r="H672" t="s">
        <v>61</v>
      </c>
      <c r="I672" t="s">
        <v>1990</v>
      </c>
      <c r="J672" t="s">
        <v>27</v>
      </c>
      <c r="K672" t="s">
        <v>28</v>
      </c>
      <c r="L672" t="s">
        <v>29</v>
      </c>
      <c r="M672" t="s">
        <v>30</v>
      </c>
      <c r="N672" t="s">
        <v>31</v>
      </c>
      <c r="Q672" t="s">
        <v>1999</v>
      </c>
      <c r="R672" t="s">
        <v>1999</v>
      </c>
    </row>
    <row r="673" spans="1:18" x14ac:dyDescent="0.3">
      <c r="A673" s="2" t="str">
        <f>HYPERLINK(B673,"Oppna PDF")</f>
        <v>Oppna PDF</v>
      </c>
      <c r="B673" t="s">
        <v>2000</v>
      </c>
      <c r="C673" t="s">
        <v>2001</v>
      </c>
      <c r="D673" t="s">
        <v>536</v>
      </c>
      <c r="E673" t="s">
        <v>2002</v>
      </c>
      <c r="H673" t="s">
        <v>25</v>
      </c>
      <c r="I673" t="s">
        <v>538</v>
      </c>
      <c r="J673" t="s">
        <v>48</v>
      </c>
      <c r="K673" t="s">
        <v>49</v>
      </c>
      <c r="L673" t="s">
        <v>29</v>
      </c>
      <c r="M673" t="s">
        <v>30</v>
      </c>
      <c r="N673" t="s">
        <v>31</v>
      </c>
      <c r="Q673" t="s">
        <v>1477</v>
      </c>
      <c r="R673" t="s">
        <v>1477</v>
      </c>
    </row>
    <row r="674" spans="1:18" x14ac:dyDescent="0.3">
      <c r="A674" s="2" t="str">
        <f>HYPERLINK(B674,"Oppna PDF")</f>
        <v>Oppna PDF</v>
      </c>
      <c r="B674" t="s">
        <v>2000</v>
      </c>
      <c r="C674" t="s">
        <v>2003</v>
      </c>
      <c r="D674" t="s">
        <v>536</v>
      </c>
      <c r="E674" t="s">
        <v>2002</v>
      </c>
      <c r="H674" t="s">
        <v>25</v>
      </c>
      <c r="I674" t="s">
        <v>538</v>
      </c>
      <c r="J674" t="s">
        <v>48</v>
      </c>
      <c r="K674" t="s">
        <v>49</v>
      </c>
      <c r="L674" t="s">
        <v>29</v>
      </c>
      <c r="M674" t="s">
        <v>30</v>
      </c>
      <c r="N674" t="s">
        <v>31</v>
      </c>
      <c r="Q674" t="s">
        <v>1479</v>
      </c>
      <c r="R674" t="s">
        <v>1479</v>
      </c>
    </row>
    <row r="675" spans="1:18" x14ac:dyDescent="0.3">
      <c r="A675" s="2" t="str">
        <f>HYPERLINK(B675,"Oppna PDF")</f>
        <v>Oppna PDF</v>
      </c>
      <c r="B675" t="s">
        <v>2000</v>
      </c>
      <c r="C675" t="s">
        <v>2004</v>
      </c>
      <c r="D675" t="s">
        <v>536</v>
      </c>
      <c r="E675" t="s">
        <v>2002</v>
      </c>
      <c r="H675" t="s">
        <v>25</v>
      </c>
      <c r="I675" t="s">
        <v>538</v>
      </c>
      <c r="J675" t="s">
        <v>38</v>
      </c>
      <c r="K675" t="s">
        <v>39</v>
      </c>
      <c r="L675" t="s">
        <v>29</v>
      </c>
      <c r="M675" t="s">
        <v>30</v>
      </c>
      <c r="N675" t="s">
        <v>31</v>
      </c>
      <c r="Q675" t="s">
        <v>2005</v>
      </c>
      <c r="R675" t="s">
        <v>2005</v>
      </c>
    </row>
    <row r="676" spans="1:18" x14ac:dyDescent="0.3">
      <c r="A676" s="2" t="str">
        <f>HYPERLINK(B676,"Oppna PDF")</f>
        <v>Oppna PDF</v>
      </c>
      <c r="B676" t="s">
        <v>2006</v>
      </c>
      <c r="C676" t="s">
        <v>2007</v>
      </c>
      <c r="D676" t="s">
        <v>1986</v>
      </c>
      <c r="E676" t="s">
        <v>2008</v>
      </c>
      <c r="F676" t="s">
        <v>1988</v>
      </c>
      <c r="G676" t="s">
        <v>1989</v>
      </c>
      <c r="H676" t="s">
        <v>61</v>
      </c>
      <c r="I676" t="s">
        <v>1990</v>
      </c>
      <c r="J676" t="s">
        <v>38</v>
      </c>
      <c r="K676" t="s">
        <v>39</v>
      </c>
      <c r="L676" t="s">
        <v>29</v>
      </c>
      <c r="M676" t="s">
        <v>30</v>
      </c>
      <c r="N676" t="s">
        <v>31</v>
      </c>
      <c r="Q676" t="s">
        <v>1954</v>
      </c>
      <c r="R676" t="s">
        <v>1954</v>
      </c>
    </row>
    <row r="677" spans="1:18" x14ac:dyDescent="0.3">
      <c r="A677" s="2" t="str">
        <f>HYPERLINK(B677,"Oppna PDF")</f>
        <v>Oppna PDF</v>
      </c>
      <c r="B677" t="s">
        <v>2006</v>
      </c>
      <c r="C677" t="s">
        <v>2009</v>
      </c>
      <c r="D677" t="s">
        <v>1986</v>
      </c>
      <c r="E677" t="s">
        <v>2008</v>
      </c>
      <c r="F677" t="s">
        <v>1988</v>
      </c>
      <c r="G677" t="s">
        <v>1989</v>
      </c>
      <c r="H677" t="s">
        <v>61</v>
      </c>
      <c r="I677" t="s">
        <v>1990</v>
      </c>
      <c r="J677" t="s">
        <v>38</v>
      </c>
      <c r="K677" t="s">
        <v>39</v>
      </c>
      <c r="L677" t="s">
        <v>29</v>
      </c>
      <c r="M677" t="s">
        <v>30</v>
      </c>
      <c r="N677" t="s">
        <v>31</v>
      </c>
      <c r="Q677" t="s">
        <v>1956</v>
      </c>
      <c r="R677" t="s">
        <v>1956</v>
      </c>
    </row>
    <row r="678" spans="1:18" x14ac:dyDescent="0.3">
      <c r="A678" s="2" t="str">
        <f>HYPERLINK(B678,"Oppna PDF")</f>
        <v>Oppna PDF</v>
      </c>
      <c r="B678" t="s">
        <v>2006</v>
      </c>
      <c r="C678" t="s">
        <v>2010</v>
      </c>
      <c r="D678" t="s">
        <v>1986</v>
      </c>
      <c r="E678" t="s">
        <v>2008</v>
      </c>
      <c r="F678" t="s">
        <v>1988</v>
      </c>
      <c r="G678" t="s">
        <v>1989</v>
      </c>
      <c r="H678" t="s">
        <v>61</v>
      </c>
      <c r="I678" t="s">
        <v>1990</v>
      </c>
      <c r="J678" t="s">
        <v>38</v>
      </c>
      <c r="K678" t="s">
        <v>39</v>
      </c>
      <c r="L678" t="s">
        <v>29</v>
      </c>
      <c r="M678" t="s">
        <v>30</v>
      </c>
      <c r="N678" t="s">
        <v>31</v>
      </c>
      <c r="Q678" t="s">
        <v>1958</v>
      </c>
      <c r="R678" t="s">
        <v>1958</v>
      </c>
    </row>
    <row r="679" spans="1:18" x14ac:dyDescent="0.3">
      <c r="A679" s="2" t="str">
        <f>HYPERLINK(B679,"Oppna PDF")</f>
        <v>Oppna PDF</v>
      </c>
      <c r="B679" t="s">
        <v>2011</v>
      </c>
      <c r="C679" t="s">
        <v>2012</v>
      </c>
      <c r="D679" t="s">
        <v>1986</v>
      </c>
      <c r="E679" t="s">
        <v>2013</v>
      </c>
      <c r="F679" t="s">
        <v>1988</v>
      </c>
      <c r="G679" t="s">
        <v>1989</v>
      </c>
      <c r="H679" t="s">
        <v>61</v>
      </c>
      <c r="I679" t="s">
        <v>1990</v>
      </c>
      <c r="J679" t="s">
        <v>27</v>
      </c>
      <c r="K679" t="s">
        <v>28</v>
      </c>
      <c r="L679" t="s">
        <v>29</v>
      </c>
      <c r="M679" t="s">
        <v>30</v>
      </c>
      <c r="N679" t="s">
        <v>31</v>
      </c>
      <c r="Q679" t="s">
        <v>1962</v>
      </c>
      <c r="R679" t="s">
        <v>1962</v>
      </c>
    </row>
    <row r="680" spans="1:18" x14ac:dyDescent="0.3">
      <c r="A680" s="2" t="str">
        <f>HYPERLINK(B680,"Oppna PDF")</f>
        <v>Oppna PDF</v>
      </c>
      <c r="B680" t="s">
        <v>2014</v>
      </c>
      <c r="C680" t="s">
        <v>2015</v>
      </c>
      <c r="D680" t="s">
        <v>1986</v>
      </c>
      <c r="E680" t="s">
        <v>2016</v>
      </c>
      <c r="F680" t="s">
        <v>1988</v>
      </c>
      <c r="G680" t="s">
        <v>1989</v>
      </c>
      <c r="H680" t="s">
        <v>61</v>
      </c>
      <c r="I680" t="s">
        <v>1990</v>
      </c>
      <c r="J680" t="s">
        <v>27</v>
      </c>
      <c r="K680" t="s">
        <v>28</v>
      </c>
      <c r="L680" t="s">
        <v>29</v>
      </c>
      <c r="M680" t="s">
        <v>30</v>
      </c>
      <c r="N680" t="s">
        <v>31</v>
      </c>
      <c r="Q680" t="s">
        <v>1971</v>
      </c>
      <c r="R680" t="s">
        <v>1971</v>
      </c>
    </row>
    <row r="681" spans="1:18" x14ac:dyDescent="0.3">
      <c r="A681" s="2" t="str">
        <f>HYPERLINK(B681,"Oppna PDF")</f>
        <v>Oppna PDF</v>
      </c>
      <c r="B681" t="s">
        <v>2014</v>
      </c>
      <c r="C681" t="s">
        <v>2017</v>
      </c>
      <c r="D681" t="s">
        <v>1986</v>
      </c>
      <c r="E681" t="s">
        <v>2016</v>
      </c>
      <c r="F681" t="s">
        <v>1988</v>
      </c>
      <c r="G681" t="s">
        <v>1989</v>
      </c>
      <c r="H681" t="s">
        <v>61</v>
      </c>
      <c r="I681" t="s">
        <v>1990</v>
      </c>
      <c r="J681" t="s">
        <v>27</v>
      </c>
      <c r="K681" t="s">
        <v>28</v>
      </c>
      <c r="L681" t="s">
        <v>29</v>
      </c>
      <c r="M681" t="s">
        <v>30</v>
      </c>
      <c r="N681" t="s">
        <v>31</v>
      </c>
      <c r="Q681" t="s">
        <v>1564</v>
      </c>
      <c r="R681" t="s">
        <v>1564</v>
      </c>
    </row>
    <row r="682" spans="1:18" x14ac:dyDescent="0.3">
      <c r="A682" s="2" t="str">
        <f>HYPERLINK(B682,"Oppna PDF")</f>
        <v>Oppna PDF</v>
      </c>
      <c r="B682" t="s">
        <v>2014</v>
      </c>
      <c r="C682" t="s">
        <v>2018</v>
      </c>
      <c r="D682" t="s">
        <v>1986</v>
      </c>
      <c r="E682" t="s">
        <v>2016</v>
      </c>
      <c r="F682" t="s">
        <v>1988</v>
      </c>
      <c r="G682" t="s">
        <v>1989</v>
      </c>
      <c r="H682" t="s">
        <v>61</v>
      </c>
      <c r="I682" t="s">
        <v>1990</v>
      </c>
      <c r="J682" t="s">
        <v>27</v>
      </c>
      <c r="K682" t="s">
        <v>28</v>
      </c>
      <c r="L682" t="s">
        <v>29</v>
      </c>
      <c r="M682" t="s">
        <v>30</v>
      </c>
      <c r="N682" t="s">
        <v>31</v>
      </c>
      <c r="Q682" t="s">
        <v>1974</v>
      </c>
      <c r="R682" t="s">
        <v>1974</v>
      </c>
    </row>
    <row r="683" spans="1:18" x14ac:dyDescent="0.3">
      <c r="A683" s="2" t="str">
        <f>HYPERLINK(B683,"Oppna PDF")</f>
        <v>Oppna PDF</v>
      </c>
      <c r="B683" t="s">
        <v>2019</v>
      </c>
      <c r="C683" t="s">
        <v>2020</v>
      </c>
      <c r="D683" t="s">
        <v>1986</v>
      </c>
      <c r="E683" t="s">
        <v>2021</v>
      </c>
      <c r="F683" t="s">
        <v>1988</v>
      </c>
      <c r="G683" t="s">
        <v>1989</v>
      </c>
      <c r="H683" t="s">
        <v>61</v>
      </c>
      <c r="I683" t="s">
        <v>1990</v>
      </c>
      <c r="J683" t="s">
        <v>48</v>
      </c>
      <c r="K683" t="s">
        <v>49</v>
      </c>
      <c r="L683" t="s">
        <v>29</v>
      </c>
      <c r="M683" t="s">
        <v>30</v>
      </c>
      <c r="N683" t="s">
        <v>31</v>
      </c>
      <c r="Q683" t="s">
        <v>979</v>
      </c>
      <c r="R683" t="s">
        <v>980</v>
      </c>
    </row>
    <row r="684" spans="1:18" x14ac:dyDescent="0.3">
      <c r="A684" s="2" t="str">
        <f>HYPERLINK(B684,"Oppna PDF")</f>
        <v>Oppna PDF</v>
      </c>
      <c r="B684" t="s">
        <v>2019</v>
      </c>
      <c r="C684" t="s">
        <v>2022</v>
      </c>
      <c r="D684" t="s">
        <v>1986</v>
      </c>
      <c r="E684" t="s">
        <v>2021</v>
      </c>
      <c r="F684" t="s">
        <v>1988</v>
      </c>
      <c r="G684" t="s">
        <v>1989</v>
      </c>
      <c r="H684" t="s">
        <v>61</v>
      </c>
      <c r="I684" t="s">
        <v>1990</v>
      </c>
      <c r="J684" t="s">
        <v>27</v>
      </c>
      <c r="K684" t="s">
        <v>28</v>
      </c>
      <c r="L684" t="s">
        <v>29</v>
      </c>
      <c r="M684" t="s">
        <v>30</v>
      </c>
      <c r="N684" t="s">
        <v>31</v>
      </c>
      <c r="Q684" t="s">
        <v>982</v>
      </c>
      <c r="R684" t="s">
        <v>983</v>
      </c>
    </row>
    <row r="685" spans="1:18" x14ac:dyDescent="0.3">
      <c r="A685" s="2" t="str">
        <f>HYPERLINK(B685,"Oppna PDF")</f>
        <v>Oppna PDF</v>
      </c>
      <c r="B685" t="s">
        <v>2019</v>
      </c>
      <c r="C685" t="s">
        <v>2023</v>
      </c>
      <c r="D685" t="s">
        <v>1986</v>
      </c>
      <c r="E685" t="s">
        <v>2021</v>
      </c>
      <c r="F685" t="s">
        <v>1988</v>
      </c>
      <c r="G685" t="s">
        <v>1989</v>
      </c>
      <c r="H685" t="s">
        <v>61</v>
      </c>
      <c r="I685" t="s">
        <v>1990</v>
      </c>
      <c r="J685" t="s">
        <v>38</v>
      </c>
      <c r="K685" t="s">
        <v>39</v>
      </c>
      <c r="L685" t="s">
        <v>29</v>
      </c>
      <c r="M685" t="s">
        <v>30</v>
      </c>
      <c r="N685" t="s">
        <v>31</v>
      </c>
      <c r="Q685" t="s">
        <v>985</v>
      </c>
      <c r="R685" t="s">
        <v>985</v>
      </c>
    </row>
    <row r="686" spans="1:18" x14ac:dyDescent="0.3">
      <c r="A686" s="2" t="str">
        <f>HYPERLINK(B686,"Oppna PDF")</f>
        <v>Oppna PDF</v>
      </c>
      <c r="B686" t="s">
        <v>2024</v>
      </c>
      <c r="C686" t="s">
        <v>2025</v>
      </c>
      <c r="D686" t="s">
        <v>2026</v>
      </c>
      <c r="E686" t="s">
        <v>2027</v>
      </c>
      <c r="H686" t="s">
        <v>25</v>
      </c>
      <c r="I686" t="s">
        <v>2028</v>
      </c>
      <c r="J686" t="s">
        <v>1293</v>
      </c>
      <c r="K686" t="s">
        <v>1294</v>
      </c>
      <c r="L686" t="s">
        <v>29</v>
      </c>
      <c r="M686" t="s">
        <v>30</v>
      </c>
      <c r="N686" t="s">
        <v>31</v>
      </c>
      <c r="Q686" t="s">
        <v>2029</v>
      </c>
      <c r="R686" t="s">
        <v>2030</v>
      </c>
    </row>
    <row r="687" spans="1:18" x14ac:dyDescent="0.3">
      <c r="A687" s="2" t="str">
        <f>HYPERLINK(B687,"Oppna PDF")</f>
        <v>Oppna PDF</v>
      </c>
      <c r="B687" t="s">
        <v>2031</v>
      </c>
      <c r="C687" t="s">
        <v>2032</v>
      </c>
      <c r="D687" t="s">
        <v>2033</v>
      </c>
      <c r="E687" t="s">
        <v>2034</v>
      </c>
      <c r="H687" t="s">
        <v>25</v>
      </c>
      <c r="I687" t="s">
        <v>2028</v>
      </c>
      <c r="J687" t="s">
        <v>1293</v>
      </c>
      <c r="K687" t="s">
        <v>1294</v>
      </c>
      <c r="L687" t="s">
        <v>29</v>
      </c>
      <c r="M687" t="s">
        <v>30</v>
      </c>
      <c r="N687" t="s">
        <v>31</v>
      </c>
      <c r="Q687" t="s">
        <v>2029</v>
      </c>
      <c r="R687" t="s">
        <v>2030</v>
      </c>
    </row>
    <row r="688" spans="1:18" x14ac:dyDescent="0.3">
      <c r="A688" s="2" t="str">
        <f>HYPERLINK(B688,"Oppna PDF")</f>
        <v>Oppna PDF</v>
      </c>
      <c r="B688" t="s">
        <v>2035</v>
      </c>
      <c r="C688" t="s">
        <v>2036</v>
      </c>
      <c r="D688" t="s">
        <v>2037</v>
      </c>
      <c r="E688" t="s">
        <v>2038</v>
      </c>
      <c r="F688" t="e">
        <f>-- arlstads</f>
        <v>#NAME?</v>
      </c>
      <c r="G688" t="e">
        <f>-- arlstads kommun</f>
        <v>#NAME?</v>
      </c>
      <c r="H688" t="s">
        <v>2039</v>
      </c>
      <c r="I688" t="s">
        <v>2040</v>
      </c>
      <c r="J688" t="s">
        <v>48</v>
      </c>
      <c r="K688" t="s">
        <v>49</v>
      </c>
      <c r="L688" t="s">
        <v>29</v>
      </c>
      <c r="M688" t="s">
        <v>30</v>
      </c>
      <c r="N688" t="s">
        <v>31</v>
      </c>
      <c r="Q688" t="s">
        <v>2041</v>
      </c>
      <c r="R688" t="s">
        <v>2041</v>
      </c>
    </row>
    <row r="689" spans="1:18" x14ac:dyDescent="0.3">
      <c r="A689" s="2" t="str">
        <f>HYPERLINK(B689,"Oppna PDF")</f>
        <v>Oppna PDF</v>
      </c>
      <c r="B689" t="s">
        <v>2035</v>
      </c>
      <c r="C689" t="s">
        <v>2042</v>
      </c>
      <c r="D689" t="s">
        <v>2037</v>
      </c>
      <c r="E689" t="s">
        <v>2038</v>
      </c>
      <c r="F689" t="e">
        <f>-- arlstads</f>
        <v>#NAME?</v>
      </c>
      <c r="G689" t="e">
        <f>-- arlstads kommun</f>
        <v>#NAME?</v>
      </c>
      <c r="H689" t="s">
        <v>2039</v>
      </c>
      <c r="I689" t="s">
        <v>2040</v>
      </c>
      <c r="J689" t="s">
        <v>27</v>
      </c>
      <c r="K689" t="s">
        <v>28</v>
      </c>
      <c r="L689" t="s">
        <v>29</v>
      </c>
      <c r="M689" t="s">
        <v>30</v>
      </c>
      <c r="N689" t="s">
        <v>31</v>
      </c>
      <c r="Q689" t="s">
        <v>2043</v>
      </c>
      <c r="R689" t="s">
        <v>2043</v>
      </c>
    </row>
    <row r="690" spans="1:18" x14ac:dyDescent="0.3">
      <c r="A690" s="2" t="str">
        <f>HYPERLINK(B690,"Oppna PDF")</f>
        <v>Oppna PDF</v>
      </c>
      <c r="B690" t="s">
        <v>2035</v>
      </c>
      <c r="C690" t="s">
        <v>2044</v>
      </c>
      <c r="D690" t="s">
        <v>2037</v>
      </c>
      <c r="E690" t="s">
        <v>2038</v>
      </c>
      <c r="F690" t="e">
        <f>-- arlstads</f>
        <v>#NAME?</v>
      </c>
      <c r="G690" t="e">
        <f>-- arlstads kommun</f>
        <v>#NAME?</v>
      </c>
      <c r="H690" t="s">
        <v>2039</v>
      </c>
      <c r="I690" t="s">
        <v>2040</v>
      </c>
      <c r="J690" t="s">
        <v>27</v>
      </c>
      <c r="K690" t="s">
        <v>28</v>
      </c>
      <c r="L690" t="s">
        <v>29</v>
      </c>
      <c r="M690" t="s">
        <v>30</v>
      </c>
      <c r="N690" t="s">
        <v>31</v>
      </c>
      <c r="Q690" t="s">
        <v>2045</v>
      </c>
      <c r="R690" t="s">
        <v>2045</v>
      </c>
    </row>
    <row r="691" spans="1:18" x14ac:dyDescent="0.3">
      <c r="A691" s="2" t="str">
        <f>HYPERLINK(B691,"Oppna PDF")</f>
        <v>Oppna PDF</v>
      </c>
      <c r="B691" t="s">
        <v>2046</v>
      </c>
      <c r="C691" t="s">
        <v>2047</v>
      </c>
      <c r="D691" t="s">
        <v>536</v>
      </c>
      <c r="E691" t="s">
        <v>2048</v>
      </c>
      <c r="H691" t="s">
        <v>25</v>
      </c>
      <c r="I691" t="s">
        <v>538</v>
      </c>
      <c r="J691" t="s">
        <v>27</v>
      </c>
      <c r="K691" t="s">
        <v>28</v>
      </c>
      <c r="L691" t="s">
        <v>29</v>
      </c>
      <c r="M691" t="s">
        <v>30</v>
      </c>
      <c r="N691" t="s">
        <v>31</v>
      </c>
      <c r="Q691" t="s">
        <v>2049</v>
      </c>
      <c r="R691" t="s">
        <v>2049</v>
      </c>
    </row>
    <row r="692" spans="1:18" x14ac:dyDescent="0.3">
      <c r="A692" s="2" t="str">
        <f>HYPERLINK(B692,"Oppna PDF")</f>
        <v>Oppna PDF</v>
      </c>
      <c r="B692" t="s">
        <v>2050</v>
      </c>
      <c r="C692" t="s">
        <v>2051</v>
      </c>
      <c r="D692" t="s">
        <v>546</v>
      </c>
      <c r="E692" t="s">
        <v>2052</v>
      </c>
      <c r="F692" t="s">
        <v>548</v>
      </c>
      <c r="G692" t="s">
        <v>549</v>
      </c>
      <c r="H692" t="s">
        <v>61</v>
      </c>
      <c r="I692" t="s">
        <v>550</v>
      </c>
      <c r="J692" t="s">
        <v>48</v>
      </c>
      <c r="K692" t="s">
        <v>49</v>
      </c>
      <c r="L692" t="s">
        <v>29</v>
      </c>
      <c r="M692" t="s">
        <v>30</v>
      </c>
      <c r="N692" t="s">
        <v>31</v>
      </c>
      <c r="Q692" t="s">
        <v>2053</v>
      </c>
      <c r="R692" t="s">
        <v>2053</v>
      </c>
    </row>
    <row r="693" spans="1:18" x14ac:dyDescent="0.3">
      <c r="A693" s="2" t="str">
        <f>HYPERLINK(B693,"Oppna PDF")</f>
        <v>Oppna PDF</v>
      </c>
      <c r="B693" t="s">
        <v>2050</v>
      </c>
      <c r="C693" t="s">
        <v>2054</v>
      </c>
      <c r="D693" t="s">
        <v>546</v>
      </c>
      <c r="E693" t="s">
        <v>2052</v>
      </c>
      <c r="F693" t="s">
        <v>548</v>
      </c>
      <c r="G693" t="s">
        <v>549</v>
      </c>
      <c r="H693" t="s">
        <v>61</v>
      </c>
      <c r="I693" t="s">
        <v>550</v>
      </c>
      <c r="J693" t="s">
        <v>38</v>
      </c>
      <c r="K693" t="s">
        <v>39</v>
      </c>
      <c r="L693" t="s">
        <v>29</v>
      </c>
      <c r="M693" t="s">
        <v>30</v>
      </c>
      <c r="N693" t="s">
        <v>31</v>
      </c>
      <c r="Q693" t="s">
        <v>2055</v>
      </c>
      <c r="R693" t="s">
        <v>2055</v>
      </c>
    </row>
    <row r="694" spans="1:18" x14ac:dyDescent="0.3">
      <c r="A694" s="2" t="str">
        <f>HYPERLINK(B694,"Oppna PDF")</f>
        <v>Oppna PDF</v>
      </c>
      <c r="B694" t="s">
        <v>2050</v>
      </c>
      <c r="C694" t="s">
        <v>2056</v>
      </c>
      <c r="D694" t="s">
        <v>546</v>
      </c>
      <c r="E694" t="s">
        <v>2052</v>
      </c>
      <c r="F694" t="s">
        <v>548</v>
      </c>
      <c r="G694" t="s">
        <v>549</v>
      </c>
      <c r="H694" t="s">
        <v>61</v>
      </c>
      <c r="I694" t="s">
        <v>550</v>
      </c>
      <c r="J694" t="s">
        <v>38</v>
      </c>
      <c r="K694" t="s">
        <v>39</v>
      </c>
      <c r="L694" t="s">
        <v>29</v>
      </c>
      <c r="M694" t="s">
        <v>30</v>
      </c>
      <c r="N694" t="s">
        <v>31</v>
      </c>
      <c r="Q694" t="s">
        <v>2057</v>
      </c>
      <c r="R694" t="s">
        <v>2057</v>
      </c>
    </row>
    <row r="695" spans="1:18" x14ac:dyDescent="0.3">
      <c r="A695" s="2" t="str">
        <f>HYPERLINK(B695,"Oppna PDF")</f>
        <v>Oppna PDF</v>
      </c>
      <c r="B695" t="s">
        <v>2058</v>
      </c>
      <c r="C695" t="s">
        <v>2059</v>
      </c>
      <c r="D695" t="s">
        <v>546</v>
      </c>
      <c r="E695" t="s">
        <v>2060</v>
      </c>
      <c r="F695" t="s">
        <v>548</v>
      </c>
      <c r="G695" t="s">
        <v>549</v>
      </c>
      <c r="H695" t="s">
        <v>61</v>
      </c>
      <c r="I695" t="s">
        <v>550</v>
      </c>
      <c r="J695" t="s">
        <v>87</v>
      </c>
      <c r="K695" t="s">
        <v>88</v>
      </c>
      <c r="L695" t="s">
        <v>29</v>
      </c>
      <c r="M695" t="s">
        <v>30</v>
      </c>
      <c r="N695" t="s">
        <v>31</v>
      </c>
      <c r="Q695" t="s">
        <v>2061</v>
      </c>
      <c r="R695" t="s">
        <v>2061</v>
      </c>
    </row>
    <row r="696" spans="1:18" x14ac:dyDescent="0.3">
      <c r="A696" s="2" t="str">
        <f>HYPERLINK(B696,"Oppna PDF")</f>
        <v>Oppna PDF</v>
      </c>
      <c r="B696" t="s">
        <v>2062</v>
      </c>
      <c r="C696" t="s">
        <v>2063</v>
      </c>
      <c r="D696" t="s">
        <v>1010</v>
      </c>
      <c r="E696" t="s">
        <v>2064</v>
      </c>
      <c r="F696" t="s">
        <v>1012</v>
      </c>
      <c r="G696" t="s">
        <v>1013</v>
      </c>
      <c r="H696" t="s">
        <v>25</v>
      </c>
      <c r="I696" t="s">
        <v>1014</v>
      </c>
      <c r="J696" t="s">
        <v>87</v>
      </c>
      <c r="K696" t="s">
        <v>88</v>
      </c>
      <c r="L696" t="s">
        <v>300</v>
      </c>
      <c r="M696" t="s">
        <v>30</v>
      </c>
      <c r="N696" t="s">
        <v>31</v>
      </c>
      <c r="Q696" t="s">
        <v>1031</v>
      </c>
      <c r="R696" t="s">
        <v>1031</v>
      </c>
    </row>
    <row r="697" spans="1:18" x14ac:dyDescent="0.3">
      <c r="A697" s="2" t="str">
        <f>HYPERLINK(B697,"Oppna PDF")</f>
        <v>Oppna PDF</v>
      </c>
      <c r="B697" t="s">
        <v>2062</v>
      </c>
      <c r="C697" t="s">
        <v>2065</v>
      </c>
      <c r="D697" t="s">
        <v>1010</v>
      </c>
      <c r="E697" t="s">
        <v>2064</v>
      </c>
      <c r="F697" t="s">
        <v>1012</v>
      </c>
      <c r="G697" t="s">
        <v>1013</v>
      </c>
      <c r="H697" t="s">
        <v>25</v>
      </c>
      <c r="I697" t="s">
        <v>1014</v>
      </c>
      <c r="J697" t="s">
        <v>48</v>
      </c>
      <c r="K697" t="s">
        <v>49</v>
      </c>
      <c r="L697" t="s">
        <v>300</v>
      </c>
      <c r="M697" t="s">
        <v>30</v>
      </c>
      <c r="N697" t="s">
        <v>31</v>
      </c>
      <c r="Q697" t="s">
        <v>1033</v>
      </c>
      <c r="R697" t="s">
        <v>1033</v>
      </c>
    </row>
    <row r="698" spans="1:18" x14ac:dyDescent="0.3">
      <c r="A698" s="2" t="str">
        <f>HYPERLINK(B698,"Oppna PDF")</f>
        <v>Oppna PDF</v>
      </c>
      <c r="B698" t="s">
        <v>2062</v>
      </c>
      <c r="C698" t="s">
        <v>2066</v>
      </c>
      <c r="D698" t="s">
        <v>1010</v>
      </c>
      <c r="E698" t="s">
        <v>2064</v>
      </c>
      <c r="F698" t="s">
        <v>1012</v>
      </c>
      <c r="G698" t="s">
        <v>1013</v>
      </c>
      <c r="H698" t="s">
        <v>25</v>
      </c>
      <c r="I698" t="s">
        <v>1014</v>
      </c>
      <c r="J698" t="s">
        <v>87</v>
      </c>
      <c r="K698" t="s">
        <v>88</v>
      </c>
      <c r="L698" t="s">
        <v>300</v>
      </c>
      <c r="M698" t="s">
        <v>30</v>
      </c>
      <c r="N698" t="s">
        <v>31</v>
      </c>
      <c r="Q698" t="s">
        <v>1035</v>
      </c>
      <c r="R698" t="s">
        <v>1035</v>
      </c>
    </row>
    <row r="699" spans="1:18" x14ac:dyDescent="0.3">
      <c r="A699" s="2" t="str">
        <f>HYPERLINK(B699,"Oppna PDF")</f>
        <v>Oppna PDF</v>
      </c>
      <c r="B699" t="s">
        <v>2067</v>
      </c>
      <c r="C699" t="s">
        <v>2068</v>
      </c>
      <c r="D699" t="s">
        <v>1010</v>
      </c>
      <c r="E699" t="s">
        <v>2069</v>
      </c>
      <c r="F699" t="s">
        <v>1012</v>
      </c>
      <c r="G699" t="s">
        <v>1013</v>
      </c>
      <c r="H699" t="s">
        <v>25</v>
      </c>
      <c r="I699" t="s">
        <v>1014</v>
      </c>
      <c r="J699" t="s">
        <v>34</v>
      </c>
      <c r="K699" t="s">
        <v>35</v>
      </c>
      <c r="L699" t="s">
        <v>29</v>
      </c>
      <c r="M699" t="s">
        <v>30</v>
      </c>
      <c r="N699" t="s">
        <v>31</v>
      </c>
      <c r="Q699" t="s">
        <v>1023</v>
      </c>
      <c r="R699" t="s">
        <v>1023</v>
      </c>
    </row>
    <row r="700" spans="1:18" x14ac:dyDescent="0.3">
      <c r="A700" s="2" t="str">
        <f>HYPERLINK(B700,"Oppna PDF")</f>
        <v>Oppna PDF</v>
      </c>
      <c r="B700" t="s">
        <v>2067</v>
      </c>
      <c r="C700" t="s">
        <v>2070</v>
      </c>
      <c r="D700" t="s">
        <v>1010</v>
      </c>
      <c r="E700" t="s">
        <v>2069</v>
      </c>
      <c r="F700" t="s">
        <v>1012</v>
      </c>
      <c r="G700" t="s">
        <v>1013</v>
      </c>
      <c r="H700" t="s">
        <v>25</v>
      </c>
      <c r="I700" t="s">
        <v>1014</v>
      </c>
      <c r="J700" t="s">
        <v>87</v>
      </c>
      <c r="K700" t="s">
        <v>88</v>
      </c>
      <c r="L700" t="s">
        <v>29</v>
      </c>
      <c r="M700" t="s">
        <v>30</v>
      </c>
      <c r="N700" t="s">
        <v>31</v>
      </c>
      <c r="Q700" t="s">
        <v>1025</v>
      </c>
      <c r="R700" t="s">
        <v>1025</v>
      </c>
    </row>
    <row r="701" spans="1:18" x14ac:dyDescent="0.3">
      <c r="A701" s="2" t="str">
        <f>HYPERLINK(B701,"Oppna PDF")</f>
        <v>Oppna PDF</v>
      </c>
      <c r="B701" t="s">
        <v>2071</v>
      </c>
      <c r="C701" t="s">
        <v>2072</v>
      </c>
      <c r="D701" t="s">
        <v>1028</v>
      </c>
      <c r="E701" t="s">
        <v>2073</v>
      </c>
      <c r="H701" t="s">
        <v>25</v>
      </c>
      <c r="I701" t="s">
        <v>1030</v>
      </c>
      <c r="J701" t="s">
        <v>34</v>
      </c>
      <c r="K701" t="s">
        <v>35</v>
      </c>
      <c r="L701" t="s">
        <v>29</v>
      </c>
      <c r="M701" t="s">
        <v>30</v>
      </c>
      <c r="N701" t="s">
        <v>31</v>
      </c>
      <c r="Q701" t="s">
        <v>1023</v>
      </c>
      <c r="R701" t="s">
        <v>1023</v>
      </c>
    </row>
    <row r="702" spans="1:18" x14ac:dyDescent="0.3">
      <c r="A702" s="2" t="str">
        <f>HYPERLINK(B702,"Oppna PDF")</f>
        <v>Oppna PDF</v>
      </c>
      <c r="B702" t="s">
        <v>2071</v>
      </c>
      <c r="C702" t="s">
        <v>2074</v>
      </c>
      <c r="D702" t="s">
        <v>1028</v>
      </c>
      <c r="E702" t="s">
        <v>2073</v>
      </c>
      <c r="H702" t="s">
        <v>25</v>
      </c>
      <c r="I702" t="s">
        <v>1030</v>
      </c>
      <c r="J702" t="s">
        <v>87</v>
      </c>
      <c r="K702" t="s">
        <v>88</v>
      </c>
      <c r="L702" t="s">
        <v>29</v>
      </c>
      <c r="M702" t="s">
        <v>30</v>
      </c>
      <c r="N702" t="s">
        <v>31</v>
      </c>
      <c r="Q702" t="s">
        <v>1025</v>
      </c>
      <c r="R702" t="s">
        <v>1025</v>
      </c>
    </row>
    <row r="703" spans="1:18" x14ac:dyDescent="0.3">
      <c r="A703" s="2" t="str">
        <f>HYPERLINK(B703,"Oppna PDF")</f>
        <v>Oppna PDF</v>
      </c>
      <c r="B703" t="s">
        <v>2075</v>
      </c>
      <c r="C703" t="s">
        <v>2076</v>
      </c>
      <c r="D703" t="s">
        <v>1028</v>
      </c>
      <c r="E703" t="s">
        <v>2077</v>
      </c>
      <c r="H703" t="s">
        <v>25</v>
      </c>
      <c r="I703" t="s">
        <v>1030</v>
      </c>
      <c r="J703" t="s">
        <v>34</v>
      </c>
      <c r="K703" t="s">
        <v>35</v>
      </c>
      <c r="L703" t="s">
        <v>29</v>
      </c>
      <c r="M703" t="s">
        <v>30</v>
      </c>
      <c r="N703" t="s">
        <v>31</v>
      </c>
      <c r="Q703" t="s">
        <v>1023</v>
      </c>
      <c r="R703" t="s">
        <v>1023</v>
      </c>
    </row>
    <row r="704" spans="1:18" x14ac:dyDescent="0.3">
      <c r="A704" s="2" t="str">
        <f>HYPERLINK(B704,"Oppna PDF")</f>
        <v>Oppna PDF</v>
      </c>
      <c r="B704" t="s">
        <v>2075</v>
      </c>
      <c r="C704" t="s">
        <v>2078</v>
      </c>
      <c r="D704" t="s">
        <v>1028</v>
      </c>
      <c r="E704" t="s">
        <v>2077</v>
      </c>
      <c r="H704" t="s">
        <v>25</v>
      </c>
      <c r="I704" t="s">
        <v>1030</v>
      </c>
      <c r="J704" t="s">
        <v>87</v>
      </c>
      <c r="K704" t="s">
        <v>88</v>
      </c>
      <c r="L704" t="s">
        <v>29</v>
      </c>
      <c r="M704" t="s">
        <v>30</v>
      </c>
      <c r="N704" t="s">
        <v>31</v>
      </c>
      <c r="Q704" t="s">
        <v>1025</v>
      </c>
      <c r="R704" t="s">
        <v>1025</v>
      </c>
    </row>
    <row r="705" spans="1:18" x14ac:dyDescent="0.3">
      <c r="A705" s="2" t="str">
        <f>HYPERLINK(B705,"Oppna PDF")</f>
        <v>Oppna PDF</v>
      </c>
      <c r="B705" t="s">
        <v>2079</v>
      </c>
      <c r="C705" t="s">
        <v>2080</v>
      </c>
      <c r="D705" t="s">
        <v>2081</v>
      </c>
      <c r="E705" t="s">
        <v>2082</v>
      </c>
      <c r="F705" t="s">
        <v>2083</v>
      </c>
      <c r="G705" t="s">
        <v>2084</v>
      </c>
      <c r="H705" t="s">
        <v>25</v>
      </c>
      <c r="I705" t="s">
        <v>2085</v>
      </c>
      <c r="J705" t="s">
        <v>34</v>
      </c>
      <c r="K705" t="s">
        <v>35</v>
      </c>
      <c r="L705" t="s">
        <v>300</v>
      </c>
      <c r="M705" t="s">
        <v>30</v>
      </c>
      <c r="N705" t="s">
        <v>31</v>
      </c>
      <c r="Q705" t="s">
        <v>2086</v>
      </c>
      <c r="R705" t="s">
        <v>2086</v>
      </c>
    </row>
    <row r="706" spans="1:18" x14ac:dyDescent="0.3">
      <c r="A706" s="2" t="str">
        <f>HYPERLINK(B706,"Oppna PDF")</f>
        <v>Oppna PDF</v>
      </c>
      <c r="B706" t="s">
        <v>2087</v>
      </c>
      <c r="C706" t="s">
        <v>2088</v>
      </c>
      <c r="D706" t="s">
        <v>2081</v>
      </c>
      <c r="E706" t="s">
        <v>2089</v>
      </c>
      <c r="F706" t="s">
        <v>2083</v>
      </c>
      <c r="G706" t="s">
        <v>2084</v>
      </c>
      <c r="H706" t="s">
        <v>25</v>
      </c>
      <c r="I706" t="s">
        <v>2085</v>
      </c>
      <c r="J706" t="s">
        <v>34</v>
      </c>
      <c r="K706" t="s">
        <v>35</v>
      </c>
      <c r="L706" t="s">
        <v>29</v>
      </c>
      <c r="M706" t="s">
        <v>30</v>
      </c>
      <c r="N706" t="s">
        <v>31</v>
      </c>
      <c r="Q706" t="s">
        <v>2090</v>
      </c>
      <c r="R706" t="s">
        <v>2090</v>
      </c>
    </row>
    <row r="707" spans="1:18" x14ac:dyDescent="0.3">
      <c r="A707" s="2" t="str">
        <f>HYPERLINK(B707,"Oppna PDF")</f>
        <v>Oppna PDF</v>
      </c>
      <c r="B707" t="s">
        <v>2087</v>
      </c>
      <c r="C707" t="s">
        <v>2091</v>
      </c>
      <c r="D707" t="s">
        <v>2081</v>
      </c>
      <c r="E707" t="s">
        <v>2089</v>
      </c>
      <c r="F707" t="s">
        <v>2083</v>
      </c>
      <c r="G707" t="s">
        <v>2084</v>
      </c>
      <c r="H707" t="s">
        <v>25</v>
      </c>
      <c r="I707" t="s">
        <v>2085</v>
      </c>
      <c r="J707" t="s">
        <v>91</v>
      </c>
      <c r="K707" t="s">
        <v>92</v>
      </c>
      <c r="L707" t="s">
        <v>29</v>
      </c>
      <c r="M707" t="s">
        <v>30</v>
      </c>
      <c r="N707" t="s">
        <v>31</v>
      </c>
      <c r="Q707" t="s">
        <v>2092</v>
      </c>
      <c r="R707" t="s">
        <v>2092</v>
      </c>
    </row>
    <row r="708" spans="1:18" x14ac:dyDescent="0.3">
      <c r="A708" s="2" t="str">
        <f>HYPERLINK(B708,"Oppna PDF")</f>
        <v>Oppna PDF</v>
      </c>
      <c r="B708" t="s">
        <v>2087</v>
      </c>
      <c r="C708" t="s">
        <v>2093</v>
      </c>
      <c r="D708" t="s">
        <v>2081</v>
      </c>
      <c r="E708" t="s">
        <v>2089</v>
      </c>
      <c r="F708" t="s">
        <v>2083</v>
      </c>
      <c r="G708" t="s">
        <v>2084</v>
      </c>
      <c r="H708" t="s">
        <v>25</v>
      </c>
      <c r="I708" t="s">
        <v>2085</v>
      </c>
      <c r="J708" t="s">
        <v>209</v>
      </c>
      <c r="K708" t="s">
        <v>210</v>
      </c>
      <c r="L708" t="s">
        <v>29</v>
      </c>
      <c r="M708" t="s">
        <v>30</v>
      </c>
      <c r="N708" t="s">
        <v>31</v>
      </c>
      <c r="Q708" t="s">
        <v>2094</v>
      </c>
      <c r="R708" t="s">
        <v>2094</v>
      </c>
    </row>
    <row r="709" spans="1:18" x14ac:dyDescent="0.3">
      <c r="A709" s="2" t="str">
        <f>HYPERLINK(B709,"Oppna PDF")</f>
        <v>Oppna PDF</v>
      </c>
      <c r="B709" t="s">
        <v>2095</v>
      </c>
      <c r="C709" t="s">
        <v>2096</v>
      </c>
      <c r="D709" t="s">
        <v>445</v>
      </c>
      <c r="E709" t="s">
        <v>2097</v>
      </c>
      <c r="F709" t="s">
        <v>447</v>
      </c>
      <c r="G709" t="s">
        <v>448</v>
      </c>
      <c r="H709" t="s">
        <v>268</v>
      </c>
      <c r="I709" t="s">
        <v>449</v>
      </c>
      <c r="J709" t="s">
        <v>87</v>
      </c>
      <c r="K709" t="s">
        <v>88</v>
      </c>
      <c r="L709" t="s">
        <v>29</v>
      </c>
      <c r="M709" t="s">
        <v>30</v>
      </c>
      <c r="N709" t="s">
        <v>31</v>
      </c>
      <c r="Q709" t="s">
        <v>2098</v>
      </c>
      <c r="R709" t="s">
        <v>2098</v>
      </c>
    </row>
    <row r="710" spans="1:18" x14ac:dyDescent="0.3">
      <c r="A710" s="2" t="str">
        <f>HYPERLINK(B710,"Oppna PDF")</f>
        <v>Oppna PDF</v>
      </c>
      <c r="B710" t="s">
        <v>2095</v>
      </c>
      <c r="C710" t="s">
        <v>2099</v>
      </c>
      <c r="D710" t="s">
        <v>445</v>
      </c>
      <c r="E710" t="s">
        <v>2097</v>
      </c>
      <c r="F710" t="s">
        <v>447</v>
      </c>
      <c r="G710" t="s">
        <v>448</v>
      </c>
      <c r="H710" t="s">
        <v>268</v>
      </c>
      <c r="I710" t="s">
        <v>449</v>
      </c>
      <c r="J710" t="s">
        <v>38</v>
      </c>
      <c r="K710" t="s">
        <v>39</v>
      </c>
      <c r="L710" t="s">
        <v>29</v>
      </c>
      <c r="M710" t="s">
        <v>30</v>
      </c>
      <c r="N710" t="s">
        <v>31</v>
      </c>
      <c r="Q710" t="s">
        <v>2100</v>
      </c>
      <c r="R710" t="s">
        <v>2100</v>
      </c>
    </row>
    <row r="711" spans="1:18" x14ac:dyDescent="0.3">
      <c r="A711" s="2" t="str">
        <f>HYPERLINK(B711,"Oppna PDF")</f>
        <v>Oppna PDF</v>
      </c>
      <c r="B711" t="s">
        <v>2095</v>
      </c>
      <c r="C711" t="s">
        <v>2101</v>
      </c>
      <c r="D711" t="s">
        <v>445</v>
      </c>
      <c r="E711" t="s">
        <v>2097</v>
      </c>
      <c r="F711" t="s">
        <v>447</v>
      </c>
      <c r="G711" t="s">
        <v>448</v>
      </c>
      <c r="H711" t="s">
        <v>268</v>
      </c>
      <c r="I711" t="s">
        <v>449</v>
      </c>
      <c r="J711" t="s">
        <v>34</v>
      </c>
      <c r="K711" t="s">
        <v>35</v>
      </c>
      <c r="L711" t="s">
        <v>29</v>
      </c>
      <c r="M711" t="s">
        <v>30</v>
      </c>
      <c r="N711" t="s">
        <v>31</v>
      </c>
      <c r="Q711" t="s">
        <v>2102</v>
      </c>
      <c r="R711" t="s">
        <v>2102</v>
      </c>
    </row>
    <row r="712" spans="1:18" x14ac:dyDescent="0.3">
      <c r="A712" s="2" t="str">
        <f>HYPERLINK(B712,"Oppna PDF")</f>
        <v>Oppna PDF</v>
      </c>
      <c r="B712" t="s">
        <v>2103</v>
      </c>
      <c r="C712" t="s">
        <v>2104</v>
      </c>
      <c r="D712" t="s">
        <v>445</v>
      </c>
      <c r="E712" t="s">
        <v>2105</v>
      </c>
      <c r="F712" t="s">
        <v>447</v>
      </c>
      <c r="G712" t="s">
        <v>448</v>
      </c>
      <c r="H712" t="s">
        <v>268</v>
      </c>
      <c r="I712" t="s">
        <v>449</v>
      </c>
      <c r="J712" t="s">
        <v>48</v>
      </c>
      <c r="K712" t="s">
        <v>49</v>
      </c>
      <c r="L712" t="s">
        <v>29</v>
      </c>
      <c r="M712" t="s">
        <v>30</v>
      </c>
      <c r="N712" t="s">
        <v>31</v>
      </c>
      <c r="Q712" t="s">
        <v>2106</v>
      </c>
      <c r="R712" t="s">
        <v>2106</v>
      </c>
    </row>
    <row r="713" spans="1:18" x14ac:dyDescent="0.3">
      <c r="A713" s="2" t="str">
        <f>HYPERLINK(B713,"Oppna PDF")</f>
        <v>Oppna PDF</v>
      </c>
      <c r="B713" t="s">
        <v>2103</v>
      </c>
      <c r="C713" t="s">
        <v>2107</v>
      </c>
      <c r="D713" t="s">
        <v>445</v>
      </c>
      <c r="E713" t="s">
        <v>2105</v>
      </c>
      <c r="F713" t="s">
        <v>447</v>
      </c>
      <c r="G713" t="s">
        <v>448</v>
      </c>
      <c r="H713" t="s">
        <v>268</v>
      </c>
      <c r="I713" t="s">
        <v>449</v>
      </c>
      <c r="J713" t="s">
        <v>48</v>
      </c>
      <c r="K713" t="s">
        <v>49</v>
      </c>
      <c r="L713" t="s">
        <v>29</v>
      </c>
      <c r="M713" t="s">
        <v>30</v>
      </c>
      <c r="N713" t="s">
        <v>31</v>
      </c>
      <c r="Q713" t="s">
        <v>2108</v>
      </c>
      <c r="R713" t="s">
        <v>2108</v>
      </c>
    </row>
    <row r="714" spans="1:18" x14ac:dyDescent="0.3">
      <c r="A714" s="2" t="str">
        <f>HYPERLINK(B714,"Oppna PDF")</f>
        <v>Oppna PDF</v>
      </c>
      <c r="B714" t="s">
        <v>2103</v>
      </c>
      <c r="C714" t="s">
        <v>2109</v>
      </c>
      <c r="D714" t="s">
        <v>445</v>
      </c>
      <c r="E714" t="s">
        <v>2105</v>
      </c>
      <c r="F714" t="s">
        <v>447</v>
      </c>
      <c r="G714" t="s">
        <v>448</v>
      </c>
      <c r="H714" t="s">
        <v>268</v>
      </c>
      <c r="I714" t="s">
        <v>449</v>
      </c>
      <c r="J714" t="s">
        <v>34</v>
      </c>
      <c r="K714" t="s">
        <v>35</v>
      </c>
      <c r="L714" t="s">
        <v>29</v>
      </c>
      <c r="M714" t="s">
        <v>30</v>
      </c>
      <c r="N714" t="s">
        <v>31</v>
      </c>
      <c r="Q714" t="s">
        <v>2110</v>
      </c>
      <c r="R714" t="s">
        <v>2110</v>
      </c>
    </row>
    <row r="715" spans="1:18" x14ac:dyDescent="0.3">
      <c r="A715" s="2" t="str">
        <f>HYPERLINK(B715,"Oppna PDF")</f>
        <v>Oppna PDF</v>
      </c>
      <c r="B715" t="s">
        <v>2111</v>
      </c>
      <c r="C715" t="s">
        <v>2112</v>
      </c>
      <c r="D715" t="s">
        <v>1504</v>
      </c>
      <c r="E715" t="s">
        <v>2113</v>
      </c>
      <c r="H715" t="s">
        <v>61</v>
      </c>
      <c r="I715" t="s">
        <v>1506</v>
      </c>
      <c r="J715" t="s">
        <v>27</v>
      </c>
      <c r="K715" t="s">
        <v>28</v>
      </c>
      <c r="L715" t="s">
        <v>142</v>
      </c>
      <c r="M715" t="s">
        <v>30</v>
      </c>
      <c r="N715" t="s">
        <v>31</v>
      </c>
      <c r="Q715" t="s">
        <v>2114</v>
      </c>
      <c r="R715" t="s">
        <v>2114</v>
      </c>
    </row>
    <row r="716" spans="1:18" x14ac:dyDescent="0.3">
      <c r="A716" s="2" t="str">
        <f>HYPERLINK(B716,"Oppna PDF")</f>
        <v>Oppna PDF</v>
      </c>
      <c r="B716" t="s">
        <v>2111</v>
      </c>
      <c r="C716" t="s">
        <v>2115</v>
      </c>
      <c r="D716" t="s">
        <v>1504</v>
      </c>
      <c r="E716" t="s">
        <v>2113</v>
      </c>
      <c r="H716" t="s">
        <v>61</v>
      </c>
      <c r="I716" t="s">
        <v>1506</v>
      </c>
      <c r="J716" t="s">
        <v>27</v>
      </c>
      <c r="K716" t="s">
        <v>28</v>
      </c>
      <c r="L716" t="s">
        <v>142</v>
      </c>
      <c r="M716" t="s">
        <v>30</v>
      </c>
      <c r="N716" t="s">
        <v>31</v>
      </c>
      <c r="Q716" t="s">
        <v>2116</v>
      </c>
      <c r="R716" t="s">
        <v>2116</v>
      </c>
    </row>
    <row r="717" spans="1:18" x14ac:dyDescent="0.3">
      <c r="A717" s="2" t="str">
        <f>HYPERLINK(B717,"Oppna PDF")</f>
        <v>Oppna PDF</v>
      </c>
      <c r="B717" t="s">
        <v>2111</v>
      </c>
      <c r="C717" t="s">
        <v>2117</v>
      </c>
      <c r="D717" t="s">
        <v>1504</v>
      </c>
      <c r="E717" t="s">
        <v>2113</v>
      </c>
      <c r="H717" t="s">
        <v>61</v>
      </c>
      <c r="I717" t="s">
        <v>1506</v>
      </c>
      <c r="J717" t="s">
        <v>87</v>
      </c>
      <c r="K717" t="s">
        <v>88</v>
      </c>
      <c r="L717" t="s">
        <v>142</v>
      </c>
      <c r="M717" t="s">
        <v>30</v>
      </c>
      <c r="N717" t="s">
        <v>31</v>
      </c>
      <c r="Q717" t="s">
        <v>2118</v>
      </c>
      <c r="R717" t="s">
        <v>2118</v>
      </c>
    </row>
    <row r="718" spans="1:18" x14ac:dyDescent="0.3">
      <c r="A718" s="2" t="str">
        <f>HYPERLINK(B718,"Oppna PDF")</f>
        <v>Oppna PDF</v>
      </c>
      <c r="B718" t="s">
        <v>2119</v>
      </c>
      <c r="C718" t="s">
        <v>2120</v>
      </c>
      <c r="D718" t="s">
        <v>445</v>
      </c>
      <c r="E718" t="s">
        <v>2121</v>
      </c>
      <c r="F718" t="s">
        <v>447</v>
      </c>
      <c r="G718" t="s">
        <v>448</v>
      </c>
      <c r="H718" t="s">
        <v>268</v>
      </c>
      <c r="I718" t="s">
        <v>449</v>
      </c>
      <c r="J718" t="s">
        <v>27</v>
      </c>
      <c r="K718" t="s">
        <v>28</v>
      </c>
      <c r="L718" t="s">
        <v>29</v>
      </c>
      <c r="M718" t="s">
        <v>30</v>
      </c>
      <c r="N718" t="s">
        <v>31</v>
      </c>
      <c r="Q718" t="s">
        <v>2122</v>
      </c>
      <c r="R718" t="s">
        <v>2122</v>
      </c>
    </row>
    <row r="719" spans="1:18" x14ac:dyDescent="0.3">
      <c r="A719" s="2" t="str">
        <f>HYPERLINK(B719,"Oppna PDF")</f>
        <v>Oppna PDF</v>
      </c>
      <c r="B719" t="s">
        <v>2119</v>
      </c>
      <c r="C719" t="s">
        <v>2123</v>
      </c>
      <c r="D719" t="s">
        <v>445</v>
      </c>
      <c r="E719" t="s">
        <v>2121</v>
      </c>
      <c r="F719" t="s">
        <v>447</v>
      </c>
      <c r="G719" t="s">
        <v>448</v>
      </c>
      <c r="H719" t="s">
        <v>268</v>
      </c>
      <c r="I719" t="s">
        <v>449</v>
      </c>
      <c r="J719" t="s">
        <v>209</v>
      </c>
      <c r="K719" t="s">
        <v>210</v>
      </c>
      <c r="L719" t="s">
        <v>300</v>
      </c>
      <c r="M719" t="s">
        <v>30</v>
      </c>
      <c r="N719" t="s">
        <v>31</v>
      </c>
      <c r="Q719" t="s">
        <v>2124</v>
      </c>
      <c r="R719" t="s">
        <v>2124</v>
      </c>
    </row>
    <row r="720" spans="1:18" x14ac:dyDescent="0.3">
      <c r="A720" s="2" t="str">
        <f>HYPERLINK(B720,"Oppna PDF")</f>
        <v>Oppna PDF</v>
      </c>
      <c r="B720" t="s">
        <v>2119</v>
      </c>
      <c r="C720" t="s">
        <v>2125</v>
      </c>
      <c r="D720" t="s">
        <v>445</v>
      </c>
      <c r="E720" t="s">
        <v>2121</v>
      </c>
      <c r="F720" t="s">
        <v>447</v>
      </c>
      <c r="G720" t="s">
        <v>448</v>
      </c>
      <c r="H720" t="s">
        <v>268</v>
      </c>
      <c r="I720" t="s">
        <v>449</v>
      </c>
      <c r="J720" t="s">
        <v>34</v>
      </c>
      <c r="K720" t="s">
        <v>35</v>
      </c>
      <c r="L720" t="s">
        <v>29</v>
      </c>
      <c r="M720" t="s">
        <v>30</v>
      </c>
      <c r="N720" t="s">
        <v>31</v>
      </c>
      <c r="Q720" t="s">
        <v>2126</v>
      </c>
      <c r="R720" t="s">
        <v>2126</v>
      </c>
    </row>
    <row r="721" spans="1:18" x14ac:dyDescent="0.3">
      <c r="A721" s="2" t="str">
        <f>HYPERLINK(B721,"Oppna PDF")</f>
        <v>Oppna PDF</v>
      </c>
      <c r="B721" t="s">
        <v>2127</v>
      </c>
      <c r="C721" t="s">
        <v>2128</v>
      </c>
      <c r="D721" t="s">
        <v>445</v>
      </c>
      <c r="E721" t="s">
        <v>2129</v>
      </c>
      <c r="F721" t="s">
        <v>447</v>
      </c>
      <c r="G721" t="s">
        <v>448</v>
      </c>
      <c r="H721" t="s">
        <v>268</v>
      </c>
      <c r="I721" t="s">
        <v>449</v>
      </c>
      <c r="J721" t="s">
        <v>27</v>
      </c>
      <c r="K721" t="s">
        <v>28</v>
      </c>
      <c r="L721" t="s">
        <v>29</v>
      </c>
      <c r="M721" t="s">
        <v>30</v>
      </c>
      <c r="N721" t="s">
        <v>31</v>
      </c>
      <c r="Q721" t="s">
        <v>2130</v>
      </c>
      <c r="R721" t="s">
        <v>2130</v>
      </c>
    </row>
    <row r="722" spans="1:18" x14ac:dyDescent="0.3">
      <c r="A722" s="2" t="str">
        <f>HYPERLINK(B722,"Oppna PDF")</f>
        <v>Oppna PDF</v>
      </c>
      <c r="B722" t="s">
        <v>2127</v>
      </c>
      <c r="C722" t="s">
        <v>2131</v>
      </c>
      <c r="D722" t="s">
        <v>445</v>
      </c>
      <c r="E722" t="s">
        <v>2129</v>
      </c>
      <c r="F722" t="s">
        <v>447</v>
      </c>
      <c r="G722" t="s">
        <v>448</v>
      </c>
      <c r="H722" t="s">
        <v>268</v>
      </c>
      <c r="I722" t="s">
        <v>449</v>
      </c>
      <c r="J722" t="s">
        <v>34</v>
      </c>
      <c r="K722" t="s">
        <v>35</v>
      </c>
      <c r="L722" t="s">
        <v>29</v>
      </c>
      <c r="M722" t="s">
        <v>30</v>
      </c>
      <c r="N722" t="s">
        <v>31</v>
      </c>
      <c r="Q722" t="s">
        <v>2132</v>
      </c>
      <c r="R722" t="s">
        <v>2132</v>
      </c>
    </row>
    <row r="723" spans="1:18" x14ac:dyDescent="0.3">
      <c r="A723" s="2" t="str">
        <f>HYPERLINK(B723,"Oppna PDF")</f>
        <v>Oppna PDF</v>
      </c>
      <c r="B723" t="s">
        <v>2127</v>
      </c>
      <c r="C723" t="s">
        <v>2133</v>
      </c>
      <c r="D723" t="s">
        <v>445</v>
      </c>
      <c r="E723" t="s">
        <v>2129</v>
      </c>
      <c r="F723" t="s">
        <v>447</v>
      </c>
      <c r="G723" t="s">
        <v>448</v>
      </c>
      <c r="H723" t="s">
        <v>268</v>
      </c>
      <c r="I723" t="s">
        <v>449</v>
      </c>
      <c r="J723" t="s">
        <v>34</v>
      </c>
      <c r="K723" t="s">
        <v>35</v>
      </c>
      <c r="L723" t="s">
        <v>29</v>
      </c>
      <c r="M723" t="s">
        <v>30</v>
      </c>
      <c r="N723" t="s">
        <v>31</v>
      </c>
      <c r="Q723" t="s">
        <v>2134</v>
      </c>
      <c r="R723" t="s">
        <v>2134</v>
      </c>
    </row>
    <row r="724" spans="1:18" x14ac:dyDescent="0.3">
      <c r="A724" s="2" t="str">
        <f>HYPERLINK(B724,"Oppna PDF")</f>
        <v>Oppna PDF</v>
      </c>
      <c r="B724" t="s">
        <v>2135</v>
      </c>
      <c r="C724" t="s">
        <v>2136</v>
      </c>
      <c r="D724" t="s">
        <v>637</v>
      </c>
      <c r="E724" t="s">
        <v>2137</v>
      </c>
      <c r="H724" t="s">
        <v>25</v>
      </c>
      <c r="I724" t="s">
        <v>639</v>
      </c>
      <c r="J724" t="s">
        <v>91</v>
      </c>
      <c r="K724" t="s">
        <v>92</v>
      </c>
      <c r="L724" t="s">
        <v>29</v>
      </c>
      <c r="M724" t="s">
        <v>30</v>
      </c>
      <c r="N724" t="s">
        <v>31</v>
      </c>
      <c r="Q724" t="s">
        <v>2138</v>
      </c>
      <c r="R724" t="s">
        <v>2138</v>
      </c>
    </row>
    <row r="725" spans="1:18" x14ac:dyDescent="0.3">
      <c r="A725" s="2" t="str">
        <f>HYPERLINK(B725,"Oppna PDF")</f>
        <v>Oppna PDF</v>
      </c>
      <c r="B725" t="s">
        <v>2139</v>
      </c>
      <c r="C725" t="s">
        <v>2140</v>
      </c>
      <c r="D725" t="s">
        <v>1047</v>
      </c>
      <c r="E725" t="s">
        <v>2141</v>
      </c>
      <c r="F725" t="s">
        <v>447</v>
      </c>
      <c r="G725" t="s">
        <v>448</v>
      </c>
      <c r="H725" t="s">
        <v>61</v>
      </c>
      <c r="I725" t="s">
        <v>1049</v>
      </c>
      <c r="J725" t="s">
        <v>48</v>
      </c>
      <c r="K725" t="s">
        <v>49</v>
      </c>
      <c r="L725" t="s">
        <v>29</v>
      </c>
      <c r="M725" t="s">
        <v>30</v>
      </c>
      <c r="N725" t="s">
        <v>31</v>
      </c>
      <c r="Q725" t="s">
        <v>2106</v>
      </c>
      <c r="R725" t="s">
        <v>2106</v>
      </c>
    </row>
    <row r="726" spans="1:18" x14ac:dyDescent="0.3">
      <c r="A726" s="2" t="str">
        <f>HYPERLINK(B726,"Oppna PDF")</f>
        <v>Oppna PDF</v>
      </c>
      <c r="B726" t="s">
        <v>2139</v>
      </c>
      <c r="C726" t="s">
        <v>2142</v>
      </c>
      <c r="D726" t="s">
        <v>1047</v>
      </c>
      <c r="E726" t="s">
        <v>2141</v>
      </c>
      <c r="F726" t="s">
        <v>447</v>
      </c>
      <c r="G726" t="s">
        <v>448</v>
      </c>
      <c r="H726" t="s">
        <v>61</v>
      </c>
      <c r="I726" t="s">
        <v>1049</v>
      </c>
      <c r="J726" t="s">
        <v>48</v>
      </c>
      <c r="K726" t="s">
        <v>49</v>
      </c>
      <c r="L726" t="s">
        <v>29</v>
      </c>
      <c r="M726" t="s">
        <v>30</v>
      </c>
      <c r="N726" t="s">
        <v>31</v>
      </c>
      <c r="Q726" t="s">
        <v>2108</v>
      </c>
      <c r="R726" t="s">
        <v>2108</v>
      </c>
    </row>
    <row r="727" spans="1:18" x14ac:dyDescent="0.3">
      <c r="A727" s="2" t="str">
        <f>HYPERLINK(B727,"Oppna PDF")</f>
        <v>Oppna PDF</v>
      </c>
      <c r="B727" t="s">
        <v>2139</v>
      </c>
      <c r="C727" t="s">
        <v>2143</v>
      </c>
      <c r="D727" t="s">
        <v>1047</v>
      </c>
      <c r="E727" t="s">
        <v>2141</v>
      </c>
      <c r="F727" t="s">
        <v>447</v>
      </c>
      <c r="G727" t="s">
        <v>448</v>
      </c>
      <c r="H727" t="s">
        <v>61</v>
      </c>
      <c r="I727" t="s">
        <v>1049</v>
      </c>
      <c r="J727" t="s">
        <v>34</v>
      </c>
      <c r="K727" t="s">
        <v>35</v>
      </c>
      <c r="L727" t="s">
        <v>29</v>
      </c>
      <c r="M727" t="s">
        <v>30</v>
      </c>
      <c r="N727" t="s">
        <v>31</v>
      </c>
      <c r="Q727" t="s">
        <v>2110</v>
      </c>
      <c r="R727" t="s">
        <v>2110</v>
      </c>
    </row>
    <row r="728" spans="1:18" x14ac:dyDescent="0.3">
      <c r="A728" s="2" t="str">
        <f>HYPERLINK(B728,"Oppna PDF")</f>
        <v>Oppna PDF</v>
      </c>
      <c r="B728" t="s">
        <v>2144</v>
      </c>
      <c r="C728" t="s">
        <v>2145</v>
      </c>
      <c r="D728" t="s">
        <v>860</v>
      </c>
      <c r="E728" t="s">
        <v>2146</v>
      </c>
      <c r="F728" t="s">
        <v>862</v>
      </c>
      <c r="G728" t="s">
        <v>863</v>
      </c>
      <c r="H728" t="s">
        <v>61</v>
      </c>
      <c r="I728" t="s">
        <v>864</v>
      </c>
      <c r="J728" t="s">
        <v>38</v>
      </c>
      <c r="K728" t="s">
        <v>39</v>
      </c>
      <c r="L728" t="s">
        <v>29</v>
      </c>
      <c r="M728" t="s">
        <v>30</v>
      </c>
      <c r="N728" t="s">
        <v>31</v>
      </c>
      <c r="Q728" t="s">
        <v>2147</v>
      </c>
      <c r="R728" t="s">
        <v>2147</v>
      </c>
    </row>
    <row r="729" spans="1:18" x14ac:dyDescent="0.3">
      <c r="A729" s="2" t="str">
        <f>HYPERLINK(B729,"Oppna PDF")</f>
        <v>Oppna PDF</v>
      </c>
      <c r="B729" t="s">
        <v>2144</v>
      </c>
      <c r="C729" t="s">
        <v>2148</v>
      </c>
      <c r="D729" t="s">
        <v>860</v>
      </c>
      <c r="E729" t="s">
        <v>2146</v>
      </c>
      <c r="F729" t="s">
        <v>862</v>
      </c>
      <c r="G729" t="s">
        <v>863</v>
      </c>
      <c r="H729" t="s">
        <v>61</v>
      </c>
      <c r="I729" t="s">
        <v>864</v>
      </c>
      <c r="J729" t="s">
        <v>38</v>
      </c>
      <c r="K729" t="s">
        <v>39</v>
      </c>
      <c r="L729" t="s">
        <v>29</v>
      </c>
      <c r="M729" t="s">
        <v>30</v>
      </c>
      <c r="N729" t="s">
        <v>31</v>
      </c>
      <c r="Q729" t="s">
        <v>2149</v>
      </c>
      <c r="R729" t="s">
        <v>2149</v>
      </c>
    </row>
    <row r="730" spans="1:18" x14ac:dyDescent="0.3">
      <c r="A730" s="2" t="str">
        <f>HYPERLINK(B730,"Oppna PDF")</f>
        <v>Oppna PDF</v>
      </c>
      <c r="B730" t="s">
        <v>2150</v>
      </c>
      <c r="C730" t="s">
        <v>2151</v>
      </c>
      <c r="D730" t="s">
        <v>2152</v>
      </c>
      <c r="E730" t="s">
        <v>2153</v>
      </c>
      <c r="H730" t="s">
        <v>61</v>
      </c>
      <c r="I730" t="s">
        <v>2154</v>
      </c>
      <c r="J730" t="s">
        <v>34</v>
      </c>
      <c r="K730" t="s">
        <v>35</v>
      </c>
      <c r="L730" t="s">
        <v>29</v>
      </c>
      <c r="M730" t="s">
        <v>30</v>
      </c>
      <c r="N730" t="s">
        <v>31</v>
      </c>
      <c r="Q730" t="s">
        <v>2155</v>
      </c>
      <c r="R730" t="s">
        <v>2155</v>
      </c>
    </row>
    <row r="731" spans="1:18" x14ac:dyDescent="0.3">
      <c r="A731" s="2" t="str">
        <f>HYPERLINK(B731,"Oppna PDF")</f>
        <v>Oppna PDF</v>
      </c>
      <c r="B731" t="s">
        <v>2150</v>
      </c>
      <c r="C731" t="s">
        <v>2156</v>
      </c>
      <c r="D731" t="s">
        <v>2152</v>
      </c>
      <c r="E731" t="s">
        <v>2153</v>
      </c>
      <c r="H731" t="s">
        <v>61</v>
      </c>
      <c r="I731" t="s">
        <v>2154</v>
      </c>
      <c r="J731" t="s">
        <v>27</v>
      </c>
      <c r="K731" t="s">
        <v>28</v>
      </c>
      <c r="L731" t="s">
        <v>29</v>
      </c>
      <c r="M731" t="s">
        <v>30</v>
      </c>
      <c r="N731" t="s">
        <v>31</v>
      </c>
      <c r="Q731" t="s">
        <v>2157</v>
      </c>
      <c r="R731" t="s">
        <v>2158</v>
      </c>
    </row>
    <row r="732" spans="1:18" x14ac:dyDescent="0.3">
      <c r="A732" s="2" t="str">
        <f>HYPERLINK(B732,"Oppna PDF")</f>
        <v>Oppna PDF</v>
      </c>
      <c r="B732" t="s">
        <v>2159</v>
      </c>
      <c r="C732" t="s">
        <v>2160</v>
      </c>
      <c r="D732" t="s">
        <v>2152</v>
      </c>
      <c r="E732" t="s">
        <v>2161</v>
      </c>
      <c r="H732" t="s">
        <v>61</v>
      </c>
      <c r="I732" t="s">
        <v>2154</v>
      </c>
      <c r="J732" t="s">
        <v>38</v>
      </c>
      <c r="K732" t="s">
        <v>39</v>
      </c>
      <c r="L732" t="s">
        <v>142</v>
      </c>
      <c r="M732" t="s">
        <v>30</v>
      </c>
      <c r="N732" t="s">
        <v>31</v>
      </c>
      <c r="Q732" t="s">
        <v>2162</v>
      </c>
      <c r="R732" t="s">
        <v>2162</v>
      </c>
    </row>
    <row r="733" spans="1:18" x14ac:dyDescent="0.3">
      <c r="A733" s="2" t="str">
        <f>HYPERLINK(B733,"Oppna PDF")</f>
        <v>Oppna PDF</v>
      </c>
      <c r="B733" t="s">
        <v>2159</v>
      </c>
      <c r="C733" t="s">
        <v>2163</v>
      </c>
      <c r="D733" t="s">
        <v>2152</v>
      </c>
      <c r="E733" t="s">
        <v>2161</v>
      </c>
      <c r="H733" t="s">
        <v>61</v>
      </c>
      <c r="I733" t="s">
        <v>2154</v>
      </c>
      <c r="J733" t="s">
        <v>34</v>
      </c>
      <c r="K733" t="s">
        <v>35</v>
      </c>
      <c r="L733" t="s">
        <v>142</v>
      </c>
      <c r="M733" t="s">
        <v>30</v>
      </c>
      <c r="N733" t="s">
        <v>31</v>
      </c>
      <c r="Q733" t="s">
        <v>2164</v>
      </c>
      <c r="R733" t="s">
        <v>2164</v>
      </c>
    </row>
    <row r="734" spans="1:18" x14ac:dyDescent="0.3">
      <c r="A734" s="2" t="str">
        <f>HYPERLINK(B734,"Oppna PDF")</f>
        <v>Oppna PDF</v>
      </c>
      <c r="B734" t="s">
        <v>2165</v>
      </c>
      <c r="C734" t="s">
        <v>2166</v>
      </c>
      <c r="D734" t="s">
        <v>2152</v>
      </c>
      <c r="E734" t="s">
        <v>2167</v>
      </c>
      <c r="H734" t="s">
        <v>61</v>
      </c>
      <c r="I734" t="s">
        <v>2154</v>
      </c>
      <c r="J734" t="s">
        <v>38</v>
      </c>
      <c r="K734" t="s">
        <v>39</v>
      </c>
      <c r="L734" t="s">
        <v>29</v>
      </c>
      <c r="M734" t="s">
        <v>30</v>
      </c>
      <c r="N734" t="s">
        <v>31</v>
      </c>
      <c r="Q734" t="s">
        <v>2168</v>
      </c>
      <c r="R734" t="s">
        <v>2168</v>
      </c>
    </row>
    <row r="735" spans="1:18" x14ac:dyDescent="0.3">
      <c r="A735" s="2" t="str">
        <f>HYPERLINK(B735,"Oppna PDF")</f>
        <v>Oppna PDF</v>
      </c>
      <c r="B735" t="s">
        <v>2169</v>
      </c>
      <c r="C735" t="s">
        <v>2170</v>
      </c>
      <c r="D735" t="s">
        <v>2152</v>
      </c>
      <c r="E735" t="s">
        <v>2171</v>
      </c>
      <c r="H735" t="s">
        <v>61</v>
      </c>
      <c r="I735" t="s">
        <v>2154</v>
      </c>
      <c r="J735" t="s">
        <v>87</v>
      </c>
      <c r="K735" t="s">
        <v>88</v>
      </c>
      <c r="L735" t="s">
        <v>29</v>
      </c>
      <c r="M735" t="s">
        <v>30</v>
      </c>
      <c r="N735" t="s">
        <v>31</v>
      </c>
      <c r="Q735" t="s">
        <v>2172</v>
      </c>
      <c r="R735" t="s">
        <v>2172</v>
      </c>
    </row>
    <row r="736" spans="1:18" x14ac:dyDescent="0.3">
      <c r="A736" s="2" t="str">
        <f>HYPERLINK(B736,"Oppna PDF")</f>
        <v>Oppna PDF</v>
      </c>
      <c r="B736" t="s">
        <v>2169</v>
      </c>
      <c r="C736" t="s">
        <v>2173</v>
      </c>
      <c r="D736" t="s">
        <v>2152</v>
      </c>
      <c r="E736" t="s">
        <v>2171</v>
      </c>
      <c r="H736" t="s">
        <v>61</v>
      </c>
      <c r="I736" t="s">
        <v>2154</v>
      </c>
      <c r="J736" t="s">
        <v>34</v>
      </c>
      <c r="K736" t="s">
        <v>35</v>
      </c>
      <c r="L736" t="s">
        <v>142</v>
      </c>
      <c r="M736" t="s">
        <v>30</v>
      </c>
      <c r="N736" t="s">
        <v>31</v>
      </c>
      <c r="Q736" t="s">
        <v>2174</v>
      </c>
      <c r="R736" t="s">
        <v>2175</v>
      </c>
    </row>
    <row r="737" spans="1:18" x14ac:dyDescent="0.3">
      <c r="A737" s="2" t="str">
        <f>HYPERLINK(B737,"Oppna PDF")</f>
        <v>Oppna PDF</v>
      </c>
      <c r="B737" t="s">
        <v>2169</v>
      </c>
      <c r="C737" t="s">
        <v>2176</v>
      </c>
      <c r="D737" t="s">
        <v>2152</v>
      </c>
      <c r="E737" t="s">
        <v>2171</v>
      </c>
      <c r="H737" t="s">
        <v>61</v>
      </c>
      <c r="I737" t="s">
        <v>2154</v>
      </c>
      <c r="J737" t="s">
        <v>27</v>
      </c>
      <c r="K737" t="s">
        <v>28</v>
      </c>
      <c r="L737" t="s">
        <v>29</v>
      </c>
      <c r="M737" t="s">
        <v>30</v>
      </c>
      <c r="N737" t="s">
        <v>31</v>
      </c>
      <c r="Q737" t="s">
        <v>2177</v>
      </c>
      <c r="R737" t="s">
        <v>2177</v>
      </c>
    </row>
    <row r="738" spans="1:18" x14ac:dyDescent="0.3">
      <c r="A738" s="2" t="str">
        <f>HYPERLINK(B738,"Oppna PDF")</f>
        <v>Oppna PDF</v>
      </c>
      <c r="B738" t="s">
        <v>2178</v>
      </c>
      <c r="C738" t="s">
        <v>2179</v>
      </c>
      <c r="D738" t="s">
        <v>860</v>
      </c>
      <c r="E738" t="s">
        <v>2180</v>
      </c>
      <c r="F738" t="s">
        <v>862</v>
      </c>
      <c r="G738" t="s">
        <v>863</v>
      </c>
      <c r="H738" t="s">
        <v>61</v>
      </c>
      <c r="I738" t="s">
        <v>864</v>
      </c>
      <c r="J738" t="s">
        <v>48</v>
      </c>
      <c r="K738" t="s">
        <v>49</v>
      </c>
      <c r="L738" t="s">
        <v>29</v>
      </c>
      <c r="M738" t="s">
        <v>30</v>
      </c>
      <c r="N738" t="s">
        <v>31</v>
      </c>
      <c r="Q738" t="s">
        <v>867</v>
      </c>
      <c r="R738" t="s">
        <v>867</v>
      </c>
    </row>
    <row r="739" spans="1:18" x14ac:dyDescent="0.3">
      <c r="A739" s="2" t="str">
        <f>HYPERLINK(B739,"Oppna PDF")</f>
        <v>Oppna PDF</v>
      </c>
      <c r="B739" t="s">
        <v>2178</v>
      </c>
      <c r="C739" t="s">
        <v>2181</v>
      </c>
      <c r="D739" t="s">
        <v>860</v>
      </c>
      <c r="E739" t="s">
        <v>2180</v>
      </c>
      <c r="F739" t="s">
        <v>862</v>
      </c>
      <c r="G739" t="s">
        <v>863</v>
      </c>
      <c r="H739" t="s">
        <v>61</v>
      </c>
      <c r="I739" t="s">
        <v>864</v>
      </c>
      <c r="J739" t="s">
        <v>27</v>
      </c>
      <c r="K739" t="s">
        <v>28</v>
      </c>
      <c r="L739" t="s">
        <v>29</v>
      </c>
      <c r="M739" t="s">
        <v>30</v>
      </c>
      <c r="N739" t="s">
        <v>31</v>
      </c>
      <c r="Q739" t="s">
        <v>2182</v>
      </c>
      <c r="R739" t="s">
        <v>2182</v>
      </c>
    </row>
    <row r="740" spans="1:18" x14ac:dyDescent="0.3">
      <c r="A740" s="2" t="str">
        <f>HYPERLINK(B740,"Oppna PDF")</f>
        <v>Oppna PDF</v>
      </c>
      <c r="B740" t="s">
        <v>2178</v>
      </c>
      <c r="C740" t="s">
        <v>2183</v>
      </c>
      <c r="D740" t="s">
        <v>860</v>
      </c>
      <c r="E740" t="s">
        <v>2180</v>
      </c>
      <c r="F740" t="s">
        <v>862</v>
      </c>
      <c r="G740" t="s">
        <v>863</v>
      </c>
      <c r="H740" t="s">
        <v>61</v>
      </c>
      <c r="I740" t="s">
        <v>864</v>
      </c>
      <c r="J740" t="s">
        <v>48</v>
      </c>
      <c r="K740" t="s">
        <v>49</v>
      </c>
      <c r="L740" t="s">
        <v>29</v>
      </c>
      <c r="M740" t="s">
        <v>30</v>
      </c>
      <c r="N740" t="s">
        <v>31</v>
      </c>
      <c r="Q740" t="s">
        <v>869</v>
      </c>
      <c r="R740" t="s">
        <v>869</v>
      </c>
    </row>
    <row r="741" spans="1:18" x14ac:dyDescent="0.3">
      <c r="A741" s="2" t="str">
        <f>HYPERLINK(B741,"Oppna PDF")</f>
        <v>Oppna PDF</v>
      </c>
      <c r="B741" t="s">
        <v>2184</v>
      </c>
      <c r="C741" t="s">
        <v>2185</v>
      </c>
      <c r="D741" t="s">
        <v>2186</v>
      </c>
      <c r="E741" t="s">
        <v>2187</v>
      </c>
      <c r="F741" t="e">
        <f>-- Arvidsjaurs</f>
        <v>#NAME?</v>
      </c>
      <c r="G741" t="e">
        <f>-- Arvidsjaurs kommun</f>
        <v>#NAME?</v>
      </c>
      <c r="H741" t="s">
        <v>25</v>
      </c>
      <c r="I741" t="s">
        <v>2188</v>
      </c>
      <c r="J741" t="s">
        <v>38</v>
      </c>
      <c r="K741" t="s">
        <v>39</v>
      </c>
      <c r="L741" t="s">
        <v>29</v>
      </c>
      <c r="M741" t="s">
        <v>30</v>
      </c>
      <c r="N741" t="s">
        <v>31</v>
      </c>
      <c r="Q741" t="s">
        <v>1867</v>
      </c>
      <c r="R741" t="s">
        <v>1867</v>
      </c>
    </row>
    <row r="742" spans="1:18" x14ac:dyDescent="0.3">
      <c r="A742" s="2" t="str">
        <f>HYPERLINK(B742,"Oppna PDF")</f>
        <v>Oppna PDF</v>
      </c>
      <c r="B742" t="s">
        <v>2184</v>
      </c>
      <c r="C742" t="s">
        <v>2189</v>
      </c>
      <c r="D742" t="s">
        <v>2186</v>
      </c>
      <c r="E742" t="s">
        <v>2187</v>
      </c>
      <c r="F742" t="e">
        <f>-- Arvidsjaurs</f>
        <v>#NAME?</v>
      </c>
      <c r="G742" t="e">
        <f>-- Arvidsjaurs kommun</f>
        <v>#NAME?</v>
      </c>
      <c r="H742" t="s">
        <v>25</v>
      </c>
      <c r="I742" t="s">
        <v>2188</v>
      </c>
      <c r="J742" t="s">
        <v>38</v>
      </c>
      <c r="K742" t="s">
        <v>39</v>
      </c>
      <c r="L742" t="s">
        <v>29</v>
      </c>
      <c r="M742" t="s">
        <v>30</v>
      </c>
      <c r="N742" t="s">
        <v>31</v>
      </c>
      <c r="Q742" t="s">
        <v>2190</v>
      </c>
      <c r="R742" t="s">
        <v>2190</v>
      </c>
    </row>
    <row r="743" spans="1:18" x14ac:dyDescent="0.3">
      <c r="A743" s="2" t="str">
        <f>HYPERLINK(B743,"Oppna PDF")</f>
        <v>Oppna PDF</v>
      </c>
      <c r="B743" t="s">
        <v>2184</v>
      </c>
      <c r="C743" t="s">
        <v>2191</v>
      </c>
      <c r="D743" t="s">
        <v>2186</v>
      </c>
      <c r="E743" t="s">
        <v>2187</v>
      </c>
      <c r="F743" t="e">
        <f>-- Arvidsjaurs</f>
        <v>#NAME?</v>
      </c>
      <c r="G743" t="e">
        <f>-- Arvidsjaurs kommun</f>
        <v>#NAME?</v>
      </c>
      <c r="H743" t="s">
        <v>25</v>
      </c>
      <c r="I743" t="s">
        <v>2188</v>
      </c>
      <c r="J743" t="s">
        <v>38</v>
      </c>
      <c r="K743" t="s">
        <v>39</v>
      </c>
      <c r="L743" t="s">
        <v>29</v>
      </c>
      <c r="M743" t="s">
        <v>30</v>
      </c>
      <c r="N743" t="s">
        <v>31</v>
      </c>
      <c r="Q743" t="s">
        <v>2192</v>
      </c>
      <c r="R743" t="s">
        <v>2192</v>
      </c>
    </row>
    <row r="744" spans="1:18" x14ac:dyDescent="0.3">
      <c r="A744" s="2" t="str">
        <f>HYPERLINK(B744,"Oppna PDF")</f>
        <v>Oppna PDF</v>
      </c>
      <c r="B744" t="s">
        <v>2193</v>
      </c>
      <c r="C744" t="s">
        <v>2194</v>
      </c>
      <c r="D744" t="s">
        <v>2186</v>
      </c>
      <c r="E744" t="s">
        <v>2195</v>
      </c>
      <c r="F744" t="e">
        <f>-- Arvidsjaurs</f>
        <v>#NAME?</v>
      </c>
      <c r="G744" t="e">
        <f>-- Arvidsjaurs kommun</f>
        <v>#NAME?</v>
      </c>
      <c r="H744" t="s">
        <v>25</v>
      </c>
      <c r="I744" t="s">
        <v>2188</v>
      </c>
      <c r="J744" t="s">
        <v>38</v>
      </c>
      <c r="K744" t="s">
        <v>39</v>
      </c>
      <c r="L744" t="s">
        <v>29</v>
      </c>
      <c r="M744" t="s">
        <v>30</v>
      </c>
      <c r="N744" t="s">
        <v>31</v>
      </c>
      <c r="Q744" t="s">
        <v>2168</v>
      </c>
      <c r="R744" t="s">
        <v>2168</v>
      </c>
    </row>
    <row r="745" spans="1:18" x14ac:dyDescent="0.3">
      <c r="A745" s="2" t="str">
        <f>HYPERLINK(B745,"Oppna PDF")</f>
        <v>Oppna PDF</v>
      </c>
      <c r="B745" t="s">
        <v>2196</v>
      </c>
      <c r="C745" t="s">
        <v>2197</v>
      </c>
      <c r="D745" t="s">
        <v>2198</v>
      </c>
      <c r="E745" t="s">
        <v>2199</v>
      </c>
      <c r="H745" t="s">
        <v>25</v>
      </c>
      <c r="I745" t="s">
        <v>2200</v>
      </c>
      <c r="J745" t="s">
        <v>34</v>
      </c>
      <c r="K745" t="s">
        <v>35</v>
      </c>
      <c r="L745" t="s">
        <v>29</v>
      </c>
      <c r="M745" t="s">
        <v>30</v>
      </c>
      <c r="N745" t="s">
        <v>31</v>
      </c>
      <c r="Q745" t="s">
        <v>2201</v>
      </c>
      <c r="R745" t="s">
        <v>2202</v>
      </c>
    </row>
    <row r="746" spans="1:18" x14ac:dyDescent="0.3">
      <c r="A746" s="2" t="str">
        <f>HYPERLINK(B746,"Oppna PDF")</f>
        <v>Oppna PDF</v>
      </c>
      <c r="B746" t="s">
        <v>2196</v>
      </c>
      <c r="C746" t="s">
        <v>2203</v>
      </c>
      <c r="D746" t="s">
        <v>2198</v>
      </c>
      <c r="E746" t="s">
        <v>2199</v>
      </c>
      <c r="H746" t="s">
        <v>25</v>
      </c>
      <c r="I746" t="s">
        <v>2200</v>
      </c>
      <c r="J746" t="s">
        <v>34</v>
      </c>
      <c r="K746" t="s">
        <v>35</v>
      </c>
      <c r="L746" t="s">
        <v>29</v>
      </c>
      <c r="M746" t="s">
        <v>30</v>
      </c>
      <c r="N746" t="s">
        <v>31</v>
      </c>
      <c r="Q746" t="s">
        <v>2204</v>
      </c>
      <c r="R746" t="s">
        <v>2205</v>
      </c>
    </row>
    <row r="747" spans="1:18" x14ac:dyDescent="0.3">
      <c r="A747" s="2" t="str">
        <f>HYPERLINK(B747,"Oppna PDF")</f>
        <v>Oppna PDF</v>
      </c>
      <c r="B747" t="s">
        <v>2206</v>
      </c>
      <c r="C747" t="s">
        <v>2207</v>
      </c>
      <c r="D747" t="s">
        <v>2208</v>
      </c>
      <c r="E747" t="s">
        <v>2209</v>
      </c>
      <c r="F747" t="s">
        <v>1060</v>
      </c>
      <c r="G747" t="s">
        <v>1061</v>
      </c>
      <c r="H747" t="s">
        <v>25</v>
      </c>
      <c r="I747" t="s">
        <v>1062</v>
      </c>
      <c r="J747" t="s">
        <v>34</v>
      </c>
      <c r="K747" t="s">
        <v>35</v>
      </c>
      <c r="L747" t="s">
        <v>142</v>
      </c>
      <c r="M747" t="s">
        <v>30</v>
      </c>
      <c r="N747" t="s">
        <v>31</v>
      </c>
      <c r="Q747" t="s">
        <v>1063</v>
      </c>
      <c r="R747" t="s">
        <v>1063</v>
      </c>
    </row>
    <row r="748" spans="1:18" x14ac:dyDescent="0.3">
      <c r="A748" s="2" t="str">
        <f>HYPERLINK(B748,"Oppna PDF")</f>
        <v>Oppna PDF</v>
      </c>
      <c r="B748" t="s">
        <v>2206</v>
      </c>
      <c r="C748" t="s">
        <v>2210</v>
      </c>
      <c r="D748" t="s">
        <v>2208</v>
      </c>
      <c r="E748" t="s">
        <v>2209</v>
      </c>
      <c r="F748" t="s">
        <v>1060</v>
      </c>
      <c r="G748" t="s">
        <v>1061</v>
      </c>
      <c r="H748" t="s">
        <v>25</v>
      </c>
      <c r="I748" t="s">
        <v>1062</v>
      </c>
      <c r="J748" t="s">
        <v>34</v>
      </c>
      <c r="K748" t="s">
        <v>35</v>
      </c>
      <c r="L748" t="s">
        <v>142</v>
      </c>
      <c r="M748" t="s">
        <v>30</v>
      </c>
      <c r="N748" t="s">
        <v>31</v>
      </c>
      <c r="Q748" t="s">
        <v>1065</v>
      </c>
      <c r="R748" t="s">
        <v>1065</v>
      </c>
    </row>
    <row r="749" spans="1:18" x14ac:dyDescent="0.3">
      <c r="A749" s="2" t="str">
        <f>HYPERLINK(B749,"Oppna PDF")</f>
        <v>Oppna PDF</v>
      </c>
      <c r="B749" t="s">
        <v>2206</v>
      </c>
      <c r="C749" t="s">
        <v>2211</v>
      </c>
      <c r="D749" t="s">
        <v>2208</v>
      </c>
      <c r="E749" t="s">
        <v>2209</v>
      </c>
      <c r="F749" t="s">
        <v>1060</v>
      </c>
      <c r="G749" t="s">
        <v>1061</v>
      </c>
      <c r="H749" t="s">
        <v>25</v>
      </c>
      <c r="I749" t="s">
        <v>1062</v>
      </c>
      <c r="J749" t="s">
        <v>87</v>
      </c>
      <c r="K749" t="s">
        <v>88</v>
      </c>
      <c r="L749" t="s">
        <v>142</v>
      </c>
      <c r="M749" t="s">
        <v>30</v>
      </c>
      <c r="N749" t="s">
        <v>31</v>
      </c>
      <c r="Q749" t="s">
        <v>1067</v>
      </c>
      <c r="R749" t="s">
        <v>1068</v>
      </c>
    </row>
    <row r="750" spans="1:18" x14ac:dyDescent="0.3">
      <c r="A750" s="2" t="str">
        <f>HYPERLINK(B750,"Oppna PDF")</f>
        <v>Oppna PDF</v>
      </c>
      <c r="B750" t="s">
        <v>2212</v>
      </c>
      <c r="C750" t="s">
        <v>2213</v>
      </c>
      <c r="D750" t="s">
        <v>1897</v>
      </c>
      <c r="E750" t="s">
        <v>2214</v>
      </c>
      <c r="H750" t="s">
        <v>61</v>
      </c>
      <c r="I750" t="s">
        <v>1899</v>
      </c>
      <c r="J750" t="s">
        <v>48</v>
      </c>
      <c r="K750" t="s">
        <v>49</v>
      </c>
      <c r="L750" t="s">
        <v>29</v>
      </c>
      <c r="M750" t="s">
        <v>30</v>
      </c>
      <c r="N750" t="s">
        <v>31</v>
      </c>
      <c r="Q750" t="s">
        <v>492</v>
      </c>
      <c r="R750" t="s">
        <v>492</v>
      </c>
    </row>
    <row r="751" spans="1:18" x14ac:dyDescent="0.3">
      <c r="A751" s="2" t="str">
        <f>HYPERLINK(B751,"Oppna PDF")</f>
        <v>Oppna PDF</v>
      </c>
      <c r="B751" t="s">
        <v>2212</v>
      </c>
      <c r="C751" t="s">
        <v>2215</v>
      </c>
      <c r="D751" t="s">
        <v>1897</v>
      </c>
      <c r="E751" t="s">
        <v>2214</v>
      </c>
      <c r="H751" t="s">
        <v>61</v>
      </c>
      <c r="I751" t="s">
        <v>1899</v>
      </c>
      <c r="J751" t="s">
        <v>48</v>
      </c>
      <c r="K751" t="s">
        <v>49</v>
      </c>
      <c r="L751" t="s">
        <v>29</v>
      </c>
      <c r="M751" t="s">
        <v>30</v>
      </c>
      <c r="N751" t="s">
        <v>31</v>
      </c>
      <c r="Q751" t="s">
        <v>494</v>
      </c>
      <c r="R751" t="s">
        <v>494</v>
      </c>
    </row>
    <row r="752" spans="1:18" x14ac:dyDescent="0.3">
      <c r="A752" s="2" t="str">
        <f>HYPERLINK(B752,"Oppna PDF")</f>
        <v>Oppna PDF</v>
      </c>
      <c r="B752" t="s">
        <v>2212</v>
      </c>
      <c r="C752" t="s">
        <v>2216</v>
      </c>
      <c r="D752" t="s">
        <v>1897</v>
      </c>
      <c r="E752" t="s">
        <v>2214</v>
      </c>
      <c r="H752" t="s">
        <v>61</v>
      </c>
      <c r="I752" t="s">
        <v>1899</v>
      </c>
      <c r="J752" t="s">
        <v>38</v>
      </c>
      <c r="K752" t="s">
        <v>39</v>
      </c>
      <c r="L752" t="s">
        <v>29</v>
      </c>
      <c r="M752" t="s">
        <v>30</v>
      </c>
      <c r="N752" t="s">
        <v>31</v>
      </c>
      <c r="Q752" t="s">
        <v>496</v>
      </c>
      <c r="R752" t="s">
        <v>496</v>
      </c>
    </row>
    <row r="753" spans="1:18" x14ac:dyDescent="0.3">
      <c r="A753" s="2" t="str">
        <f>HYPERLINK(B753,"Oppna PDF")</f>
        <v>Oppna PDF</v>
      </c>
      <c r="B753" t="s">
        <v>2217</v>
      </c>
      <c r="C753" t="s">
        <v>2218</v>
      </c>
      <c r="D753" t="s">
        <v>2219</v>
      </c>
      <c r="E753" t="s">
        <v>2220</v>
      </c>
      <c r="H753" t="s">
        <v>25</v>
      </c>
      <c r="I753" t="s">
        <v>2221</v>
      </c>
      <c r="J753" t="s">
        <v>27</v>
      </c>
      <c r="K753" t="s">
        <v>28</v>
      </c>
      <c r="L753" t="s">
        <v>29</v>
      </c>
      <c r="M753" t="s">
        <v>30</v>
      </c>
      <c r="N753" t="s">
        <v>31</v>
      </c>
      <c r="Q753" t="s">
        <v>2222</v>
      </c>
      <c r="R753" t="s">
        <v>2222</v>
      </c>
    </row>
    <row r="754" spans="1:18" x14ac:dyDescent="0.3">
      <c r="A754" s="2" t="str">
        <f>HYPERLINK(B754,"Oppna PDF")</f>
        <v>Oppna PDF</v>
      </c>
      <c r="B754" t="s">
        <v>2217</v>
      </c>
      <c r="C754" t="s">
        <v>2223</v>
      </c>
      <c r="D754" t="s">
        <v>2219</v>
      </c>
      <c r="E754" t="s">
        <v>2220</v>
      </c>
      <c r="H754" t="s">
        <v>25</v>
      </c>
      <c r="I754" t="s">
        <v>2221</v>
      </c>
      <c r="J754" t="s">
        <v>27</v>
      </c>
      <c r="K754" t="s">
        <v>28</v>
      </c>
      <c r="L754" t="s">
        <v>29</v>
      </c>
      <c r="M754" t="s">
        <v>30</v>
      </c>
      <c r="N754" t="s">
        <v>31</v>
      </c>
      <c r="Q754" t="s">
        <v>2224</v>
      </c>
      <c r="R754" t="s">
        <v>2224</v>
      </c>
    </row>
    <row r="755" spans="1:18" x14ac:dyDescent="0.3">
      <c r="A755" s="2" t="str">
        <f>HYPERLINK(B755,"Oppna PDF")</f>
        <v>Oppna PDF</v>
      </c>
      <c r="B755" t="s">
        <v>2217</v>
      </c>
      <c r="C755" t="s">
        <v>2225</v>
      </c>
      <c r="D755" t="s">
        <v>2219</v>
      </c>
      <c r="E755" t="s">
        <v>2220</v>
      </c>
      <c r="H755" t="s">
        <v>25</v>
      </c>
      <c r="I755" t="s">
        <v>2221</v>
      </c>
      <c r="J755" t="s">
        <v>91</v>
      </c>
      <c r="K755" t="s">
        <v>92</v>
      </c>
      <c r="L755" t="s">
        <v>29</v>
      </c>
      <c r="M755" t="s">
        <v>30</v>
      </c>
      <c r="N755" t="s">
        <v>31</v>
      </c>
      <c r="Q755" t="s">
        <v>2226</v>
      </c>
      <c r="R755" t="s">
        <v>2227</v>
      </c>
    </row>
    <row r="756" spans="1:18" x14ac:dyDescent="0.3">
      <c r="A756" s="2" t="str">
        <f>HYPERLINK(B756,"Oppna PDF")</f>
        <v>Oppna PDF</v>
      </c>
      <c r="B756" t="s">
        <v>2228</v>
      </c>
      <c r="C756" t="s">
        <v>2229</v>
      </c>
      <c r="D756" t="s">
        <v>2230</v>
      </c>
      <c r="E756" t="s">
        <v>2231</v>
      </c>
      <c r="F756" t="s">
        <v>2232</v>
      </c>
      <c r="G756" t="s">
        <v>2233</v>
      </c>
      <c r="H756" t="s">
        <v>61</v>
      </c>
      <c r="I756" t="s">
        <v>2234</v>
      </c>
      <c r="J756" t="s">
        <v>38</v>
      </c>
      <c r="K756" t="s">
        <v>39</v>
      </c>
      <c r="L756" t="s">
        <v>29</v>
      </c>
      <c r="M756" t="s">
        <v>30</v>
      </c>
      <c r="N756" t="s">
        <v>31</v>
      </c>
      <c r="Q756" t="s">
        <v>2235</v>
      </c>
      <c r="R756" t="s">
        <v>2235</v>
      </c>
    </row>
    <row r="757" spans="1:18" x14ac:dyDescent="0.3">
      <c r="A757" s="2" t="str">
        <f>HYPERLINK(B757,"Oppna PDF")</f>
        <v>Oppna PDF</v>
      </c>
      <c r="B757" t="s">
        <v>2228</v>
      </c>
      <c r="C757" t="s">
        <v>2236</v>
      </c>
      <c r="D757" t="s">
        <v>2230</v>
      </c>
      <c r="E757" t="s">
        <v>2231</v>
      </c>
      <c r="F757" t="s">
        <v>2232</v>
      </c>
      <c r="G757" t="s">
        <v>2233</v>
      </c>
      <c r="H757" t="s">
        <v>61</v>
      </c>
      <c r="I757" t="s">
        <v>2234</v>
      </c>
      <c r="J757" t="s">
        <v>48</v>
      </c>
      <c r="K757" t="s">
        <v>49</v>
      </c>
      <c r="L757" t="s">
        <v>29</v>
      </c>
      <c r="M757" t="s">
        <v>30</v>
      </c>
      <c r="N757" t="s">
        <v>31</v>
      </c>
      <c r="Q757" t="s">
        <v>2237</v>
      </c>
      <c r="R757" t="s">
        <v>2237</v>
      </c>
    </row>
    <row r="758" spans="1:18" x14ac:dyDescent="0.3">
      <c r="A758" s="2" t="str">
        <f>HYPERLINK(B758,"Oppna PDF")</f>
        <v>Oppna PDF</v>
      </c>
      <c r="B758" t="s">
        <v>2228</v>
      </c>
      <c r="C758" t="s">
        <v>2238</v>
      </c>
      <c r="D758" t="s">
        <v>2230</v>
      </c>
      <c r="E758" t="s">
        <v>2231</v>
      </c>
      <c r="F758" t="s">
        <v>2232</v>
      </c>
      <c r="G758" t="s">
        <v>2233</v>
      </c>
      <c r="H758" t="s">
        <v>61</v>
      </c>
      <c r="I758" t="s">
        <v>2234</v>
      </c>
      <c r="J758" t="s">
        <v>48</v>
      </c>
      <c r="K758" t="s">
        <v>49</v>
      </c>
      <c r="L758" t="s">
        <v>29</v>
      </c>
      <c r="M758" t="s">
        <v>30</v>
      </c>
      <c r="N758" t="s">
        <v>31</v>
      </c>
      <c r="Q758" t="s">
        <v>2239</v>
      </c>
      <c r="R758" t="s">
        <v>2239</v>
      </c>
    </row>
    <row r="759" spans="1:18" x14ac:dyDescent="0.3">
      <c r="A759" s="2" t="str">
        <f>HYPERLINK(B759,"Oppna PDF")</f>
        <v>Oppna PDF</v>
      </c>
      <c r="B759" t="s">
        <v>2240</v>
      </c>
      <c r="C759" t="s">
        <v>2241</v>
      </c>
      <c r="D759" t="s">
        <v>2242</v>
      </c>
      <c r="E759" t="s">
        <v>2243</v>
      </c>
      <c r="F759" t="e">
        <f>-- Borgholms</f>
        <v>#NAME?</v>
      </c>
      <c r="G759" t="e">
        <f>-- Borgholms kommun</f>
        <v>#NAME?</v>
      </c>
      <c r="H759" t="s">
        <v>61</v>
      </c>
      <c r="I759" t="s">
        <v>1073</v>
      </c>
      <c r="J759" t="s">
        <v>91</v>
      </c>
      <c r="K759" t="s">
        <v>92</v>
      </c>
      <c r="L759" t="s">
        <v>29</v>
      </c>
      <c r="M759" t="s">
        <v>30</v>
      </c>
      <c r="N759" t="s">
        <v>31</v>
      </c>
      <c r="Q759" t="s">
        <v>2244</v>
      </c>
      <c r="R759" t="s">
        <v>2245</v>
      </c>
    </row>
    <row r="760" spans="1:18" x14ac:dyDescent="0.3">
      <c r="A760" s="2" t="str">
        <f>HYPERLINK(B760,"Oppna PDF")</f>
        <v>Oppna PDF</v>
      </c>
      <c r="B760" t="s">
        <v>2240</v>
      </c>
      <c r="C760" t="s">
        <v>2246</v>
      </c>
      <c r="D760" t="s">
        <v>2242</v>
      </c>
      <c r="E760" t="s">
        <v>2243</v>
      </c>
      <c r="F760" t="e">
        <f>-- Borgholms</f>
        <v>#NAME?</v>
      </c>
      <c r="G760" t="e">
        <f>-- Borgholms kommun</f>
        <v>#NAME?</v>
      </c>
      <c r="H760" t="s">
        <v>61</v>
      </c>
      <c r="I760" t="s">
        <v>1073</v>
      </c>
      <c r="J760" t="s">
        <v>34</v>
      </c>
      <c r="K760" t="s">
        <v>35</v>
      </c>
      <c r="L760" t="s">
        <v>29</v>
      </c>
      <c r="M760" t="s">
        <v>30</v>
      </c>
      <c r="N760" t="s">
        <v>31</v>
      </c>
      <c r="Q760" t="s">
        <v>1077</v>
      </c>
      <c r="R760" t="s">
        <v>1077</v>
      </c>
    </row>
    <row r="761" spans="1:18" x14ac:dyDescent="0.3">
      <c r="A761" s="2" t="str">
        <f>HYPERLINK(B761,"Oppna PDF")</f>
        <v>Oppna PDF</v>
      </c>
      <c r="B761" t="s">
        <v>2247</v>
      </c>
      <c r="C761" t="s">
        <v>2248</v>
      </c>
      <c r="D761" t="s">
        <v>2242</v>
      </c>
      <c r="E761" t="s">
        <v>2249</v>
      </c>
      <c r="F761" t="e">
        <f>-- Borgholms</f>
        <v>#NAME?</v>
      </c>
      <c r="G761" t="e">
        <f>-- Borgholms kommun</f>
        <v>#NAME?</v>
      </c>
      <c r="H761" t="s">
        <v>61</v>
      </c>
      <c r="I761" t="s">
        <v>1073</v>
      </c>
      <c r="J761" t="s">
        <v>27</v>
      </c>
      <c r="K761" t="s">
        <v>28</v>
      </c>
      <c r="L761" t="s">
        <v>29</v>
      </c>
      <c r="M761" t="s">
        <v>30</v>
      </c>
      <c r="N761" t="s">
        <v>31</v>
      </c>
      <c r="Q761" t="s">
        <v>2250</v>
      </c>
      <c r="R761" t="s">
        <v>2251</v>
      </c>
    </row>
    <row r="762" spans="1:18" x14ac:dyDescent="0.3">
      <c r="A762" s="2" t="str">
        <f>HYPERLINK(B762,"Oppna PDF")</f>
        <v>Oppna PDF</v>
      </c>
      <c r="B762" t="s">
        <v>2247</v>
      </c>
      <c r="C762" t="s">
        <v>2252</v>
      </c>
      <c r="D762" t="s">
        <v>2242</v>
      </c>
      <c r="E762" t="s">
        <v>2249</v>
      </c>
      <c r="F762" t="e">
        <f>-- Borgholms</f>
        <v>#NAME?</v>
      </c>
      <c r="G762" t="e">
        <f>-- Borgholms kommun</f>
        <v>#NAME?</v>
      </c>
      <c r="H762" t="s">
        <v>61</v>
      </c>
      <c r="I762" t="s">
        <v>1073</v>
      </c>
      <c r="J762" t="s">
        <v>34</v>
      </c>
      <c r="K762" t="s">
        <v>35</v>
      </c>
      <c r="L762" t="s">
        <v>29</v>
      </c>
      <c r="M762" t="s">
        <v>30</v>
      </c>
      <c r="N762" t="s">
        <v>31</v>
      </c>
      <c r="Q762" t="s">
        <v>1077</v>
      </c>
      <c r="R762" t="s">
        <v>1077</v>
      </c>
    </row>
    <row r="763" spans="1:18" x14ac:dyDescent="0.3">
      <c r="A763" s="2" t="str">
        <f>HYPERLINK(B763,"Oppna PDF")</f>
        <v>Oppna PDF</v>
      </c>
      <c r="B763" t="s">
        <v>2247</v>
      </c>
      <c r="C763" t="s">
        <v>2253</v>
      </c>
      <c r="D763" t="s">
        <v>2242</v>
      </c>
      <c r="E763" t="s">
        <v>2249</v>
      </c>
      <c r="F763" t="e">
        <f>-- Borgholms</f>
        <v>#NAME?</v>
      </c>
      <c r="G763" t="e">
        <f>-- Borgholms kommun</f>
        <v>#NAME?</v>
      </c>
      <c r="H763" t="s">
        <v>61</v>
      </c>
      <c r="I763" t="s">
        <v>1073</v>
      </c>
      <c r="J763" t="s">
        <v>34</v>
      </c>
      <c r="K763" t="s">
        <v>35</v>
      </c>
      <c r="L763" t="s">
        <v>29</v>
      </c>
      <c r="M763" t="s">
        <v>30</v>
      </c>
      <c r="N763" t="s">
        <v>31</v>
      </c>
      <c r="Q763" t="s">
        <v>2254</v>
      </c>
      <c r="R763" t="s">
        <v>2255</v>
      </c>
    </row>
    <row r="764" spans="1:18" x14ac:dyDescent="0.3">
      <c r="A764" s="2" t="str">
        <f>HYPERLINK(B764,"Oppna PDF")</f>
        <v>Oppna PDF</v>
      </c>
      <c r="B764" t="s">
        <v>2256</v>
      </c>
      <c r="C764" t="s">
        <v>2257</v>
      </c>
      <c r="D764" t="s">
        <v>1767</v>
      </c>
      <c r="E764" t="s">
        <v>2258</v>
      </c>
      <c r="H764" t="s">
        <v>25</v>
      </c>
      <c r="I764" t="s">
        <v>1593</v>
      </c>
      <c r="J764" t="s">
        <v>38</v>
      </c>
      <c r="K764" t="s">
        <v>39</v>
      </c>
      <c r="L764" t="s">
        <v>29</v>
      </c>
      <c r="M764" t="s">
        <v>30</v>
      </c>
      <c r="N764" t="s">
        <v>31</v>
      </c>
      <c r="Q764" t="s">
        <v>1821</v>
      </c>
      <c r="R764" t="s">
        <v>1821</v>
      </c>
    </row>
    <row r="765" spans="1:18" x14ac:dyDescent="0.3">
      <c r="A765" s="2" t="str">
        <f>HYPERLINK(B765,"Oppna PDF")</f>
        <v>Oppna PDF</v>
      </c>
      <c r="B765" t="s">
        <v>2256</v>
      </c>
      <c r="C765" t="s">
        <v>2259</v>
      </c>
      <c r="D765" t="s">
        <v>1767</v>
      </c>
      <c r="E765" t="s">
        <v>2258</v>
      </c>
      <c r="H765" t="s">
        <v>25</v>
      </c>
      <c r="I765" t="s">
        <v>1593</v>
      </c>
      <c r="J765" t="s">
        <v>48</v>
      </c>
      <c r="K765" t="s">
        <v>49</v>
      </c>
      <c r="L765" t="s">
        <v>29</v>
      </c>
      <c r="M765" t="s">
        <v>30</v>
      </c>
      <c r="N765" t="s">
        <v>31</v>
      </c>
      <c r="Q765" t="s">
        <v>1823</v>
      </c>
      <c r="R765" t="s">
        <v>1823</v>
      </c>
    </row>
    <row r="766" spans="1:18" x14ac:dyDescent="0.3">
      <c r="A766" s="2" t="str">
        <f>HYPERLINK(B766,"Oppna PDF")</f>
        <v>Oppna PDF</v>
      </c>
      <c r="B766" t="s">
        <v>2256</v>
      </c>
      <c r="C766" t="s">
        <v>2260</v>
      </c>
      <c r="D766" t="s">
        <v>1767</v>
      </c>
      <c r="E766" t="s">
        <v>2258</v>
      </c>
      <c r="H766" t="s">
        <v>25</v>
      </c>
      <c r="I766" t="s">
        <v>1593</v>
      </c>
      <c r="J766" t="s">
        <v>87</v>
      </c>
      <c r="K766" t="s">
        <v>88</v>
      </c>
      <c r="L766" t="s">
        <v>29</v>
      </c>
      <c r="M766" t="s">
        <v>30</v>
      </c>
      <c r="N766" t="s">
        <v>31</v>
      </c>
      <c r="Q766" t="s">
        <v>1825</v>
      </c>
      <c r="R766" t="s">
        <v>1825</v>
      </c>
    </row>
    <row r="767" spans="1:18" x14ac:dyDescent="0.3">
      <c r="A767" s="2" t="str">
        <f>HYPERLINK(B767,"Oppna PDF")</f>
        <v>Oppna PDF</v>
      </c>
      <c r="B767" t="s">
        <v>2261</v>
      </c>
      <c r="C767" t="s">
        <v>2262</v>
      </c>
      <c r="D767" t="s">
        <v>2263</v>
      </c>
      <c r="E767" t="s">
        <v>2264</v>
      </c>
      <c r="F767" t="s">
        <v>266</v>
      </c>
      <c r="G767" t="s">
        <v>267</v>
      </c>
      <c r="H767" t="s">
        <v>268</v>
      </c>
      <c r="I767" t="s">
        <v>2265</v>
      </c>
      <c r="J767" t="s">
        <v>27</v>
      </c>
      <c r="K767" t="s">
        <v>28</v>
      </c>
      <c r="L767" t="s">
        <v>29</v>
      </c>
      <c r="M767" t="s">
        <v>30</v>
      </c>
      <c r="N767" t="s">
        <v>31</v>
      </c>
      <c r="Q767" t="s">
        <v>2266</v>
      </c>
      <c r="R767" t="s">
        <v>2266</v>
      </c>
    </row>
    <row r="768" spans="1:18" x14ac:dyDescent="0.3">
      <c r="A768" s="2" t="str">
        <f>HYPERLINK(B768,"Oppna PDF")</f>
        <v>Oppna PDF</v>
      </c>
      <c r="B768" t="s">
        <v>2267</v>
      </c>
      <c r="C768" t="s">
        <v>2268</v>
      </c>
      <c r="D768" t="s">
        <v>2263</v>
      </c>
      <c r="E768" t="s">
        <v>2269</v>
      </c>
      <c r="F768" t="s">
        <v>266</v>
      </c>
      <c r="G768" t="s">
        <v>267</v>
      </c>
      <c r="H768" t="s">
        <v>268</v>
      </c>
      <c r="I768" t="s">
        <v>2265</v>
      </c>
      <c r="J768" t="s">
        <v>91</v>
      </c>
      <c r="K768" t="s">
        <v>92</v>
      </c>
      <c r="L768" t="s">
        <v>29</v>
      </c>
      <c r="M768" t="s">
        <v>30</v>
      </c>
      <c r="N768" t="s">
        <v>31</v>
      </c>
      <c r="Q768" t="s">
        <v>2270</v>
      </c>
      <c r="R768" t="s">
        <v>2270</v>
      </c>
    </row>
    <row r="769" spans="1:18" x14ac:dyDescent="0.3">
      <c r="A769" s="2" t="str">
        <f>HYPERLINK(B769,"Oppna PDF")</f>
        <v>Oppna PDF</v>
      </c>
      <c r="B769" t="s">
        <v>2267</v>
      </c>
      <c r="C769" t="s">
        <v>2271</v>
      </c>
      <c r="D769" t="s">
        <v>2263</v>
      </c>
      <c r="E769" t="s">
        <v>2269</v>
      </c>
      <c r="F769" t="s">
        <v>266</v>
      </c>
      <c r="G769" t="s">
        <v>267</v>
      </c>
      <c r="H769" t="s">
        <v>268</v>
      </c>
      <c r="I769" t="s">
        <v>2265</v>
      </c>
      <c r="J769" t="s">
        <v>48</v>
      </c>
      <c r="K769" t="s">
        <v>49</v>
      </c>
      <c r="L769" t="s">
        <v>29</v>
      </c>
      <c r="M769" t="s">
        <v>30</v>
      </c>
      <c r="N769" t="s">
        <v>31</v>
      </c>
      <c r="Q769" t="s">
        <v>2272</v>
      </c>
      <c r="R769" t="s">
        <v>2272</v>
      </c>
    </row>
    <row r="770" spans="1:18" x14ac:dyDescent="0.3">
      <c r="A770" s="2" t="str">
        <f>HYPERLINK(B770,"Oppna PDF")</f>
        <v>Oppna PDF</v>
      </c>
      <c r="B770" t="s">
        <v>2267</v>
      </c>
      <c r="C770" t="s">
        <v>2273</v>
      </c>
      <c r="D770" t="s">
        <v>2263</v>
      </c>
      <c r="E770" t="s">
        <v>2269</v>
      </c>
      <c r="F770" t="s">
        <v>266</v>
      </c>
      <c r="G770" t="s">
        <v>267</v>
      </c>
      <c r="H770" t="s">
        <v>268</v>
      </c>
      <c r="I770" t="s">
        <v>2265</v>
      </c>
      <c r="J770" t="s">
        <v>87</v>
      </c>
      <c r="K770" t="s">
        <v>88</v>
      </c>
      <c r="L770" t="s">
        <v>29</v>
      </c>
      <c r="M770" t="s">
        <v>30</v>
      </c>
      <c r="N770" t="s">
        <v>31</v>
      </c>
      <c r="Q770" t="s">
        <v>1025</v>
      </c>
      <c r="R770" t="s">
        <v>1025</v>
      </c>
    </row>
    <row r="771" spans="1:18" x14ac:dyDescent="0.3">
      <c r="A771" s="2" t="str">
        <f>HYPERLINK(B771,"Oppna PDF")</f>
        <v>Oppna PDF</v>
      </c>
      <c r="B771" t="s">
        <v>2274</v>
      </c>
      <c r="C771" t="s">
        <v>2275</v>
      </c>
      <c r="D771" t="s">
        <v>2276</v>
      </c>
      <c r="E771" t="s">
        <v>2277</v>
      </c>
      <c r="F771" t="s">
        <v>2278</v>
      </c>
      <c r="G771" t="s">
        <v>2279</v>
      </c>
      <c r="H771" t="s">
        <v>25</v>
      </c>
      <c r="I771" t="s">
        <v>2280</v>
      </c>
      <c r="J771" t="s">
        <v>87</v>
      </c>
      <c r="K771" t="s">
        <v>88</v>
      </c>
      <c r="L771" t="s">
        <v>29</v>
      </c>
      <c r="M771" t="s">
        <v>30</v>
      </c>
      <c r="N771" t="s">
        <v>31</v>
      </c>
      <c r="Q771" t="s">
        <v>2281</v>
      </c>
      <c r="R771" t="s">
        <v>2281</v>
      </c>
    </row>
    <row r="772" spans="1:18" x14ac:dyDescent="0.3">
      <c r="A772" s="2" t="str">
        <f>HYPERLINK(B772,"Oppna PDF")</f>
        <v>Oppna PDF</v>
      </c>
      <c r="B772" t="s">
        <v>2274</v>
      </c>
      <c r="C772" t="s">
        <v>2282</v>
      </c>
      <c r="D772" t="s">
        <v>2276</v>
      </c>
      <c r="E772" t="s">
        <v>2277</v>
      </c>
      <c r="F772" t="s">
        <v>2278</v>
      </c>
      <c r="G772" t="s">
        <v>2279</v>
      </c>
      <c r="H772" t="s">
        <v>25</v>
      </c>
      <c r="I772" t="s">
        <v>2280</v>
      </c>
      <c r="J772" t="s">
        <v>34</v>
      </c>
      <c r="K772" t="s">
        <v>35</v>
      </c>
      <c r="L772" t="s">
        <v>29</v>
      </c>
      <c r="M772" t="s">
        <v>30</v>
      </c>
      <c r="N772" t="s">
        <v>31</v>
      </c>
      <c r="Q772" t="s">
        <v>2283</v>
      </c>
      <c r="R772" t="s">
        <v>2283</v>
      </c>
    </row>
    <row r="773" spans="1:18" x14ac:dyDescent="0.3">
      <c r="A773" s="2" t="str">
        <f>HYPERLINK(B773,"Oppna PDF")</f>
        <v>Oppna PDF</v>
      </c>
      <c r="B773" t="s">
        <v>2274</v>
      </c>
      <c r="C773" t="s">
        <v>2284</v>
      </c>
      <c r="D773" t="s">
        <v>2276</v>
      </c>
      <c r="E773" t="s">
        <v>2277</v>
      </c>
      <c r="F773" t="s">
        <v>2278</v>
      </c>
      <c r="G773" t="s">
        <v>2279</v>
      </c>
      <c r="H773" t="s">
        <v>25</v>
      </c>
      <c r="I773" t="s">
        <v>2280</v>
      </c>
      <c r="J773" t="s">
        <v>27</v>
      </c>
      <c r="K773" t="s">
        <v>28</v>
      </c>
      <c r="L773" t="s">
        <v>29</v>
      </c>
      <c r="M773" t="s">
        <v>30</v>
      </c>
      <c r="N773" t="s">
        <v>31</v>
      </c>
      <c r="Q773" t="s">
        <v>696</v>
      </c>
      <c r="R773" t="s">
        <v>696</v>
      </c>
    </row>
    <row r="774" spans="1:18" x14ac:dyDescent="0.3">
      <c r="A774" s="2" t="str">
        <f>HYPERLINK(B774,"Oppna PDF")</f>
        <v>Oppna PDF</v>
      </c>
      <c r="B774" t="s">
        <v>2285</v>
      </c>
      <c r="C774" t="s">
        <v>2286</v>
      </c>
      <c r="D774" t="s">
        <v>2276</v>
      </c>
      <c r="E774" t="s">
        <v>2287</v>
      </c>
      <c r="F774" t="s">
        <v>2278</v>
      </c>
      <c r="G774" t="s">
        <v>2279</v>
      </c>
      <c r="H774" t="s">
        <v>25</v>
      </c>
      <c r="I774" t="s">
        <v>2280</v>
      </c>
      <c r="J774" t="s">
        <v>27</v>
      </c>
      <c r="K774" t="s">
        <v>28</v>
      </c>
      <c r="L774" t="s">
        <v>29</v>
      </c>
      <c r="M774" t="s">
        <v>30</v>
      </c>
      <c r="N774" t="s">
        <v>31</v>
      </c>
      <c r="Q774" t="s">
        <v>2288</v>
      </c>
      <c r="R774" t="s">
        <v>2288</v>
      </c>
    </row>
    <row r="775" spans="1:18" x14ac:dyDescent="0.3">
      <c r="A775" s="2" t="str">
        <f>HYPERLINK(B775,"Oppna PDF")</f>
        <v>Oppna PDF</v>
      </c>
      <c r="B775" t="s">
        <v>2289</v>
      </c>
      <c r="C775" t="s">
        <v>2290</v>
      </c>
      <c r="D775" t="s">
        <v>523</v>
      </c>
      <c r="E775" t="s">
        <v>2291</v>
      </c>
      <c r="H775" t="s">
        <v>61</v>
      </c>
      <c r="I775" t="s">
        <v>525</v>
      </c>
      <c r="J775" t="s">
        <v>91</v>
      </c>
      <c r="K775" t="s">
        <v>92</v>
      </c>
      <c r="L775" t="s">
        <v>29</v>
      </c>
      <c r="M775" t="s">
        <v>30</v>
      </c>
      <c r="N775" t="s">
        <v>31</v>
      </c>
      <c r="Q775" t="s">
        <v>526</v>
      </c>
      <c r="R775" t="s">
        <v>527</v>
      </c>
    </row>
    <row r="776" spans="1:18" x14ac:dyDescent="0.3">
      <c r="A776" s="2" t="str">
        <f>HYPERLINK(B776,"Oppna PDF")</f>
        <v>Oppna PDF</v>
      </c>
      <c r="B776" t="s">
        <v>2289</v>
      </c>
      <c r="C776" t="s">
        <v>2292</v>
      </c>
      <c r="D776" t="s">
        <v>523</v>
      </c>
      <c r="E776" t="s">
        <v>2291</v>
      </c>
      <c r="H776" t="s">
        <v>61</v>
      </c>
      <c r="I776" t="s">
        <v>525</v>
      </c>
      <c r="J776" t="s">
        <v>91</v>
      </c>
      <c r="K776" t="s">
        <v>92</v>
      </c>
      <c r="L776" t="s">
        <v>29</v>
      </c>
      <c r="M776" t="s">
        <v>30</v>
      </c>
      <c r="N776" t="s">
        <v>31</v>
      </c>
      <c r="Q776" t="s">
        <v>529</v>
      </c>
      <c r="R776" t="s">
        <v>530</v>
      </c>
    </row>
    <row r="777" spans="1:18" x14ac:dyDescent="0.3">
      <c r="A777" s="2" t="str">
        <f>HYPERLINK(B777,"Oppna PDF")</f>
        <v>Oppna PDF</v>
      </c>
      <c r="B777" t="s">
        <v>2289</v>
      </c>
      <c r="C777" t="s">
        <v>2293</v>
      </c>
      <c r="D777" t="s">
        <v>523</v>
      </c>
      <c r="E777" t="s">
        <v>2291</v>
      </c>
      <c r="H777" t="s">
        <v>61</v>
      </c>
      <c r="I777" t="s">
        <v>525</v>
      </c>
      <c r="J777" t="s">
        <v>91</v>
      </c>
      <c r="K777" t="s">
        <v>92</v>
      </c>
      <c r="L777" t="s">
        <v>29</v>
      </c>
      <c r="M777" t="s">
        <v>30</v>
      </c>
      <c r="N777" t="s">
        <v>31</v>
      </c>
      <c r="Q777" t="s">
        <v>532</v>
      </c>
      <c r="R777" t="s">
        <v>533</v>
      </c>
    </row>
    <row r="778" spans="1:18" x14ac:dyDescent="0.3">
      <c r="A778" s="2" t="str">
        <f>HYPERLINK(B778,"Oppna PDF")</f>
        <v>Oppna PDF</v>
      </c>
      <c r="B778" t="s">
        <v>2294</v>
      </c>
      <c r="C778" t="s">
        <v>2295</v>
      </c>
      <c r="D778" t="s">
        <v>2296</v>
      </c>
      <c r="E778" t="s">
        <v>2297</v>
      </c>
      <c r="H778" t="s">
        <v>25</v>
      </c>
      <c r="I778" t="s">
        <v>584</v>
      </c>
      <c r="J778" t="s">
        <v>34</v>
      </c>
      <c r="K778" t="s">
        <v>35</v>
      </c>
      <c r="L778" t="s">
        <v>29</v>
      </c>
      <c r="M778" t="s">
        <v>30</v>
      </c>
      <c r="N778" t="s">
        <v>31</v>
      </c>
      <c r="Q778" t="s">
        <v>2298</v>
      </c>
      <c r="R778" t="s">
        <v>2298</v>
      </c>
    </row>
    <row r="779" spans="1:18" x14ac:dyDescent="0.3">
      <c r="A779" s="2" t="str">
        <f>HYPERLINK(B779,"Oppna PDF")</f>
        <v>Oppna PDF</v>
      </c>
      <c r="B779" t="s">
        <v>2294</v>
      </c>
      <c r="C779" t="s">
        <v>2299</v>
      </c>
      <c r="D779" t="s">
        <v>2296</v>
      </c>
      <c r="E779" t="s">
        <v>2297</v>
      </c>
      <c r="H779" t="s">
        <v>25</v>
      </c>
      <c r="I779" t="s">
        <v>584</v>
      </c>
      <c r="J779" t="s">
        <v>87</v>
      </c>
      <c r="K779" t="s">
        <v>88</v>
      </c>
      <c r="L779" t="s">
        <v>29</v>
      </c>
      <c r="M779" t="s">
        <v>30</v>
      </c>
      <c r="N779" t="s">
        <v>31</v>
      </c>
      <c r="Q779" t="s">
        <v>2300</v>
      </c>
      <c r="R779" t="s">
        <v>2300</v>
      </c>
    </row>
    <row r="780" spans="1:18" x14ac:dyDescent="0.3">
      <c r="A780" s="2" t="str">
        <f>HYPERLINK(B780,"Oppna PDF")</f>
        <v>Oppna PDF</v>
      </c>
      <c r="B780" t="s">
        <v>2294</v>
      </c>
      <c r="C780" t="s">
        <v>2301</v>
      </c>
      <c r="D780" t="s">
        <v>2296</v>
      </c>
      <c r="E780" t="s">
        <v>2297</v>
      </c>
      <c r="H780" t="s">
        <v>25</v>
      </c>
      <c r="I780" t="s">
        <v>584</v>
      </c>
      <c r="J780" t="s">
        <v>27</v>
      </c>
      <c r="K780" t="s">
        <v>28</v>
      </c>
      <c r="L780" t="s">
        <v>29</v>
      </c>
      <c r="M780" t="s">
        <v>30</v>
      </c>
      <c r="N780" t="s">
        <v>31</v>
      </c>
      <c r="Q780" t="s">
        <v>2302</v>
      </c>
      <c r="R780" t="s">
        <v>2302</v>
      </c>
    </row>
    <row r="781" spans="1:18" x14ac:dyDescent="0.3">
      <c r="A781" s="2" t="str">
        <f>HYPERLINK(B781,"Oppna PDF")</f>
        <v>Oppna PDF</v>
      </c>
      <c r="B781" t="s">
        <v>2303</v>
      </c>
      <c r="C781" t="s">
        <v>2304</v>
      </c>
      <c r="D781" t="s">
        <v>2276</v>
      </c>
      <c r="E781" t="s">
        <v>2305</v>
      </c>
      <c r="F781" t="s">
        <v>2278</v>
      </c>
      <c r="G781" t="s">
        <v>2279</v>
      </c>
      <c r="H781" t="s">
        <v>25</v>
      </c>
      <c r="I781" t="s">
        <v>2280</v>
      </c>
      <c r="J781" t="s">
        <v>91</v>
      </c>
      <c r="K781" t="s">
        <v>92</v>
      </c>
      <c r="L781" t="s">
        <v>29</v>
      </c>
      <c r="M781" t="s">
        <v>30</v>
      </c>
      <c r="N781" t="s">
        <v>31</v>
      </c>
      <c r="Q781" t="s">
        <v>526</v>
      </c>
      <c r="R781" t="s">
        <v>527</v>
      </c>
    </row>
    <row r="782" spans="1:18" x14ac:dyDescent="0.3">
      <c r="A782" s="2" t="str">
        <f>HYPERLINK(B782,"Oppna PDF")</f>
        <v>Oppna PDF</v>
      </c>
      <c r="B782" t="s">
        <v>2303</v>
      </c>
      <c r="C782" t="s">
        <v>2306</v>
      </c>
      <c r="D782" t="s">
        <v>2276</v>
      </c>
      <c r="E782" t="s">
        <v>2305</v>
      </c>
      <c r="F782" t="s">
        <v>2278</v>
      </c>
      <c r="G782" t="s">
        <v>2279</v>
      </c>
      <c r="H782" t="s">
        <v>25</v>
      </c>
      <c r="I782" t="s">
        <v>2280</v>
      </c>
      <c r="J782" t="s">
        <v>91</v>
      </c>
      <c r="K782" t="s">
        <v>92</v>
      </c>
      <c r="L782" t="s">
        <v>29</v>
      </c>
      <c r="M782" t="s">
        <v>30</v>
      </c>
      <c r="N782" t="s">
        <v>31</v>
      </c>
      <c r="Q782" t="s">
        <v>529</v>
      </c>
      <c r="R782" t="s">
        <v>530</v>
      </c>
    </row>
    <row r="783" spans="1:18" x14ac:dyDescent="0.3">
      <c r="A783" s="2" t="str">
        <f>HYPERLINK(B783,"Oppna PDF")</f>
        <v>Oppna PDF</v>
      </c>
      <c r="B783" t="s">
        <v>2303</v>
      </c>
      <c r="C783" t="s">
        <v>2307</v>
      </c>
      <c r="D783" t="s">
        <v>2276</v>
      </c>
      <c r="E783" t="s">
        <v>2305</v>
      </c>
      <c r="F783" t="s">
        <v>2278</v>
      </c>
      <c r="G783" t="s">
        <v>2279</v>
      </c>
      <c r="H783" t="s">
        <v>25</v>
      </c>
      <c r="I783" t="s">
        <v>2280</v>
      </c>
      <c r="J783" t="s">
        <v>91</v>
      </c>
      <c r="K783" t="s">
        <v>92</v>
      </c>
      <c r="L783" t="s">
        <v>29</v>
      </c>
      <c r="M783" t="s">
        <v>30</v>
      </c>
      <c r="N783" t="s">
        <v>31</v>
      </c>
      <c r="Q783" t="s">
        <v>532</v>
      </c>
      <c r="R783" t="s">
        <v>533</v>
      </c>
    </row>
    <row r="784" spans="1:18" x14ac:dyDescent="0.3">
      <c r="A784" s="2" t="str">
        <f>HYPERLINK(B784,"Oppna PDF")</f>
        <v>Oppna PDF</v>
      </c>
      <c r="B784" t="s">
        <v>2308</v>
      </c>
      <c r="C784" t="s">
        <v>2309</v>
      </c>
      <c r="D784" t="s">
        <v>710</v>
      </c>
      <c r="E784" t="s">
        <v>2310</v>
      </c>
      <c r="H784" t="s">
        <v>25</v>
      </c>
      <c r="I784" t="s">
        <v>712</v>
      </c>
      <c r="J784" t="s">
        <v>91</v>
      </c>
      <c r="K784" t="s">
        <v>92</v>
      </c>
      <c r="L784" t="s">
        <v>29</v>
      </c>
      <c r="M784" t="s">
        <v>30</v>
      </c>
      <c r="N784" t="s">
        <v>31</v>
      </c>
      <c r="Q784" t="s">
        <v>1634</v>
      </c>
      <c r="R784" t="s">
        <v>1634</v>
      </c>
    </row>
    <row r="785" spans="1:18" x14ac:dyDescent="0.3">
      <c r="A785" s="2" t="str">
        <f>HYPERLINK(B785,"Oppna PDF")</f>
        <v>Oppna PDF</v>
      </c>
      <c r="B785" t="s">
        <v>2311</v>
      </c>
      <c r="C785" t="s">
        <v>2312</v>
      </c>
      <c r="D785" t="s">
        <v>710</v>
      </c>
      <c r="E785" t="s">
        <v>2313</v>
      </c>
      <c r="H785" t="s">
        <v>25</v>
      </c>
      <c r="I785" t="s">
        <v>712</v>
      </c>
      <c r="J785" t="s">
        <v>91</v>
      </c>
      <c r="K785" t="s">
        <v>92</v>
      </c>
      <c r="L785" t="s">
        <v>29</v>
      </c>
      <c r="M785" t="s">
        <v>30</v>
      </c>
      <c r="N785" t="s">
        <v>31</v>
      </c>
      <c r="Q785" t="s">
        <v>1638</v>
      </c>
      <c r="R785" t="s">
        <v>1639</v>
      </c>
    </row>
    <row r="786" spans="1:18" x14ac:dyDescent="0.3">
      <c r="A786" s="2" t="str">
        <f>HYPERLINK(B786,"Oppna PDF")</f>
        <v>Oppna PDF</v>
      </c>
      <c r="B786" t="s">
        <v>2314</v>
      </c>
      <c r="C786" t="s">
        <v>2315</v>
      </c>
      <c r="D786" t="s">
        <v>872</v>
      </c>
      <c r="E786" t="s">
        <v>2316</v>
      </c>
      <c r="H786" t="s">
        <v>25</v>
      </c>
      <c r="I786" t="s">
        <v>874</v>
      </c>
      <c r="J786" t="s">
        <v>209</v>
      </c>
      <c r="K786" t="s">
        <v>210</v>
      </c>
      <c r="L786" t="s">
        <v>29</v>
      </c>
      <c r="M786" t="s">
        <v>30</v>
      </c>
      <c r="N786" t="s">
        <v>31</v>
      </c>
      <c r="Q786" t="s">
        <v>713</v>
      </c>
      <c r="R786" t="s">
        <v>713</v>
      </c>
    </row>
    <row r="787" spans="1:18" x14ac:dyDescent="0.3">
      <c r="A787" s="2" t="str">
        <f>HYPERLINK(B787,"Oppna PDF")</f>
        <v>Oppna PDF</v>
      </c>
      <c r="B787" t="s">
        <v>2314</v>
      </c>
      <c r="C787" t="s">
        <v>2317</v>
      </c>
      <c r="D787" t="s">
        <v>872</v>
      </c>
      <c r="E787" t="s">
        <v>2316</v>
      </c>
      <c r="H787" t="s">
        <v>25</v>
      </c>
      <c r="I787" t="s">
        <v>874</v>
      </c>
      <c r="J787" t="s">
        <v>34</v>
      </c>
      <c r="K787" t="s">
        <v>35</v>
      </c>
      <c r="L787" t="s">
        <v>29</v>
      </c>
      <c r="M787" t="s">
        <v>30</v>
      </c>
      <c r="N787" t="s">
        <v>31</v>
      </c>
      <c r="Q787" t="s">
        <v>715</v>
      </c>
      <c r="R787" t="s">
        <v>715</v>
      </c>
    </row>
    <row r="788" spans="1:18" x14ac:dyDescent="0.3">
      <c r="A788" s="2" t="str">
        <f>HYPERLINK(B788,"Oppna PDF")</f>
        <v>Oppna PDF</v>
      </c>
      <c r="B788" t="s">
        <v>2314</v>
      </c>
      <c r="C788" t="s">
        <v>2318</v>
      </c>
      <c r="D788" t="s">
        <v>872</v>
      </c>
      <c r="E788" t="s">
        <v>2316</v>
      </c>
      <c r="H788" t="s">
        <v>25</v>
      </c>
      <c r="I788" t="s">
        <v>874</v>
      </c>
      <c r="J788" t="s">
        <v>87</v>
      </c>
      <c r="K788" t="s">
        <v>88</v>
      </c>
      <c r="L788" t="s">
        <v>29</v>
      </c>
      <c r="M788" t="s">
        <v>30</v>
      </c>
      <c r="N788" t="s">
        <v>31</v>
      </c>
      <c r="Q788" t="s">
        <v>717</v>
      </c>
      <c r="R788" t="s">
        <v>717</v>
      </c>
    </row>
    <row r="789" spans="1:18" x14ac:dyDescent="0.3">
      <c r="A789" s="2" t="str">
        <f>HYPERLINK(B789,"Oppna PDF")</f>
        <v>Oppna PDF</v>
      </c>
      <c r="B789" t="s">
        <v>2319</v>
      </c>
      <c r="C789" t="s">
        <v>2320</v>
      </c>
      <c r="D789" t="s">
        <v>433</v>
      </c>
      <c r="E789" t="s">
        <v>2321</v>
      </c>
      <c r="F789" t="s">
        <v>435</v>
      </c>
      <c r="G789" t="s">
        <v>436</v>
      </c>
      <c r="H789" t="s">
        <v>61</v>
      </c>
      <c r="I789" t="s">
        <v>437</v>
      </c>
      <c r="J789" t="s">
        <v>91</v>
      </c>
      <c r="K789" t="s">
        <v>92</v>
      </c>
      <c r="L789" t="s">
        <v>29</v>
      </c>
      <c r="M789" t="s">
        <v>30</v>
      </c>
      <c r="N789" t="s">
        <v>31</v>
      </c>
      <c r="Q789" t="s">
        <v>438</v>
      </c>
      <c r="R789" t="s">
        <v>438</v>
      </c>
    </row>
    <row r="790" spans="1:18" x14ac:dyDescent="0.3">
      <c r="A790" s="2" t="str">
        <f>HYPERLINK(B790,"Oppna PDF")</f>
        <v>Oppna PDF</v>
      </c>
      <c r="B790" t="s">
        <v>2319</v>
      </c>
      <c r="C790" t="s">
        <v>2322</v>
      </c>
      <c r="D790" t="s">
        <v>433</v>
      </c>
      <c r="E790" t="s">
        <v>2321</v>
      </c>
      <c r="F790" t="s">
        <v>435</v>
      </c>
      <c r="G790" t="s">
        <v>436</v>
      </c>
      <c r="H790" t="s">
        <v>61</v>
      </c>
      <c r="I790" t="s">
        <v>437</v>
      </c>
      <c r="J790" t="s">
        <v>87</v>
      </c>
      <c r="K790" t="s">
        <v>88</v>
      </c>
      <c r="L790" t="s">
        <v>29</v>
      </c>
      <c r="M790" t="s">
        <v>30</v>
      </c>
      <c r="N790" t="s">
        <v>31</v>
      </c>
      <c r="Q790" t="s">
        <v>440</v>
      </c>
      <c r="R790" t="s">
        <v>440</v>
      </c>
    </row>
    <row r="791" spans="1:18" x14ac:dyDescent="0.3">
      <c r="A791" s="2" t="str">
        <f>HYPERLINK(B791,"Oppna PDF")</f>
        <v>Oppna PDF</v>
      </c>
      <c r="B791" t="s">
        <v>2319</v>
      </c>
      <c r="C791" t="s">
        <v>2323</v>
      </c>
      <c r="D791" t="s">
        <v>433</v>
      </c>
      <c r="E791" t="s">
        <v>2321</v>
      </c>
      <c r="F791" t="s">
        <v>435</v>
      </c>
      <c r="G791" t="s">
        <v>436</v>
      </c>
      <c r="H791" t="s">
        <v>61</v>
      </c>
      <c r="I791" t="s">
        <v>437</v>
      </c>
      <c r="J791" t="s">
        <v>87</v>
      </c>
      <c r="K791" t="s">
        <v>88</v>
      </c>
      <c r="L791" t="s">
        <v>29</v>
      </c>
      <c r="M791" t="s">
        <v>30</v>
      </c>
      <c r="N791" t="s">
        <v>31</v>
      </c>
      <c r="Q791" t="s">
        <v>442</v>
      </c>
      <c r="R791" t="s">
        <v>442</v>
      </c>
    </row>
    <row r="792" spans="1:18" x14ac:dyDescent="0.3">
      <c r="A792" s="2" t="str">
        <f>HYPERLINK(B792,"Oppna PDF")</f>
        <v>Oppna PDF</v>
      </c>
      <c r="B792" t="s">
        <v>2324</v>
      </c>
      <c r="C792" t="s">
        <v>2325</v>
      </c>
      <c r="D792" t="s">
        <v>2326</v>
      </c>
      <c r="E792" t="s">
        <v>2327</v>
      </c>
      <c r="H792" t="s">
        <v>61</v>
      </c>
      <c r="I792" t="s">
        <v>722</v>
      </c>
      <c r="J792" t="s">
        <v>87</v>
      </c>
      <c r="K792" t="s">
        <v>88</v>
      </c>
      <c r="L792" t="s">
        <v>29</v>
      </c>
      <c r="M792" t="s">
        <v>30</v>
      </c>
      <c r="N792" t="s">
        <v>31</v>
      </c>
      <c r="Q792" t="s">
        <v>723</v>
      </c>
      <c r="R792" t="s">
        <v>723</v>
      </c>
    </row>
    <row r="793" spans="1:18" x14ac:dyDescent="0.3">
      <c r="A793" s="2" t="str">
        <f>HYPERLINK(B793,"Oppna PDF")</f>
        <v>Oppna PDF</v>
      </c>
      <c r="B793" t="s">
        <v>2324</v>
      </c>
      <c r="C793" t="s">
        <v>2328</v>
      </c>
      <c r="D793" t="s">
        <v>2326</v>
      </c>
      <c r="E793" t="s">
        <v>2327</v>
      </c>
      <c r="H793" t="s">
        <v>61</v>
      </c>
      <c r="I793" t="s">
        <v>722</v>
      </c>
      <c r="J793" t="s">
        <v>38</v>
      </c>
      <c r="K793" t="s">
        <v>39</v>
      </c>
      <c r="L793" t="s">
        <v>29</v>
      </c>
      <c r="M793" t="s">
        <v>30</v>
      </c>
      <c r="N793" t="s">
        <v>31</v>
      </c>
      <c r="Q793" t="s">
        <v>725</v>
      </c>
      <c r="R793" t="s">
        <v>725</v>
      </c>
    </row>
    <row r="794" spans="1:18" x14ac:dyDescent="0.3">
      <c r="A794" s="2" t="str">
        <f>HYPERLINK(B794,"Oppna PDF")</f>
        <v>Oppna PDF</v>
      </c>
      <c r="B794" t="s">
        <v>2324</v>
      </c>
      <c r="C794" t="s">
        <v>2329</v>
      </c>
      <c r="D794" t="s">
        <v>2326</v>
      </c>
      <c r="E794" t="s">
        <v>2327</v>
      </c>
      <c r="H794" t="s">
        <v>61</v>
      </c>
      <c r="I794" t="s">
        <v>722</v>
      </c>
      <c r="J794" t="s">
        <v>48</v>
      </c>
      <c r="K794" t="s">
        <v>49</v>
      </c>
      <c r="L794" t="s">
        <v>29</v>
      </c>
      <c r="M794" t="s">
        <v>30</v>
      </c>
      <c r="N794" t="s">
        <v>31</v>
      </c>
      <c r="Q794" t="s">
        <v>727</v>
      </c>
      <c r="R794" t="s">
        <v>727</v>
      </c>
    </row>
    <row r="795" spans="1:18" x14ac:dyDescent="0.3">
      <c r="A795" s="2" t="str">
        <f>HYPERLINK(B795,"Oppna PDF")</f>
        <v>Oppna PDF</v>
      </c>
      <c r="B795" t="s">
        <v>2330</v>
      </c>
      <c r="C795" t="s">
        <v>2331</v>
      </c>
      <c r="D795" t="s">
        <v>433</v>
      </c>
      <c r="E795" t="s">
        <v>2332</v>
      </c>
      <c r="F795" t="s">
        <v>435</v>
      </c>
      <c r="G795" t="s">
        <v>436</v>
      </c>
      <c r="H795" t="s">
        <v>61</v>
      </c>
      <c r="I795" t="s">
        <v>437</v>
      </c>
      <c r="J795" t="s">
        <v>34</v>
      </c>
      <c r="K795" t="s">
        <v>35</v>
      </c>
      <c r="L795" t="s">
        <v>29</v>
      </c>
      <c r="M795" t="s">
        <v>30</v>
      </c>
      <c r="N795" t="s">
        <v>31</v>
      </c>
      <c r="Q795" t="s">
        <v>500</v>
      </c>
      <c r="R795" t="s">
        <v>500</v>
      </c>
    </row>
    <row r="796" spans="1:18" x14ac:dyDescent="0.3">
      <c r="A796" s="2" t="str">
        <f>HYPERLINK(B796,"Oppna PDF")</f>
        <v>Oppna PDF</v>
      </c>
      <c r="B796" t="s">
        <v>2333</v>
      </c>
      <c r="C796" t="s">
        <v>2334</v>
      </c>
      <c r="D796" t="s">
        <v>433</v>
      </c>
      <c r="E796" t="s">
        <v>2335</v>
      </c>
      <c r="F796" t="s">
        <v>435</v>
      </c>
      <c r="G796" t="s">
        <v>436</v>
      </c>
      <c r="H796" t="s">
        <v>61</v>
      </c>
      <c r="I796" t="s">
        <v>437</v>
      </c>
      <c r="J796" t="s">
        <v>34</v>
      </c>
      <c r="K796" t="s">
        <v>35</v>
      </c>
      <c r="L796" t="s">
        <v>29</v>
      </c>
      <c r="M796" t="s">
        <v>30</v>
      </c>
      <c r="N796" t="s">
        <v>31</v>
      </c>
      <c r="Q796" t="s">
        <v>504</v>
      </c>
      <c r="R796" t="s">
        <v>504</v>
      </c>
    </row>
    <row r="797" spans="1:18" x14ac:dyDescent="0.3">
      <c r="A797" s="2" t="str">
        <f>HYPERLINK(B797,"Oppna PDF")</f>
        <v>Oppna PDF</v>
      </c>
      <c r="B797" t="s">
        <v>2333</v>
      </c>
      <c r="C797" t="s">
        <v>2336</v>
      </c>
      <c r="D797" t="s">
        <v>433</v>
      </c>
      <c r="E797" t="s">
        <v>2335</v>
      </c>
      <c r="F797" t="s">
        <v>435</v>
      </c>
      <c r="G797" t="s">
        <v>436</v>
      </c>
      <c r="H797" t="s">
        <v>61</v>
      </c>
      <c r="I797" t="s">
        <v>437</v>
      </c>
      <c r="J797" t="s">
        <v>91</v>
      </c>
      <c r="K797" t="s">
        <v>92</v>
      </c>
      <c r="L797" t="s">
        <v>29</v>
      </c>
      <c r="M797" t="s">
        <v>30</v>
      </c>
      <c r="N797" t="s">
        <v>31</v>
      </c>
      <c r="Q797" t="s">
        <v>506</v>
      </c>
      <c r="R797" t="s">
        <v>507</v>
      </c>
    </row>
    <row r="798" spans="1:18" x14ac:dyDescent="0.3">
      <c r="A798" s="2" t="str">
        <f>HYPERLINK(B798,"Oppna PDF")</f>
        <v>Oppna PDF</v>
      </c>
      <c r="B798" t="s">
        <v>2337</v>
      </c>
      <c r="C798" t="s">
        <v>2338</v>
      </c>
      <c r="D798" t="s">
        <v>800</v>
      </c>
      <c r="E798" t="s">
        <v>2339</v>
      </c>
      <c r="F798" t="s">
        <v>802</v>
      </c>
      <c r="G798" t="s">
        <v>803</v>
      </c>
      <c r="H798" t="s">
        <v>61</v>
      </c>
      <c r="I798" t="s">
        <v>804</v>
      </c>
      <c r="J798" t="s">
        <v>38</v>
      </c>
      <c r="K798" t="s">
        <v>39</v>
      </c>
      <c r="L798" t="s">
        <v>29</v>
      </c>
      <c r="M798" t="s">
        <v>30</v>
      </c>
      <c r="N798" t="s">
        <v>31</v>
      </c>
      <c r="Q798" t="s">
        <v>2340</v>
      </c>
      <c r="R798" t="s">
        <v>2340</v>
      </c>
    </row>
    <row r="799" spans="1:18" x14ac:dyDescent="0.3">
      <c r="A799" s="2" t="str">
        <f>HYPERLINK(B799,"Oppna PDF")</f>
        <v>Oppna PDF</v>
      </c>
      <c r="B799" t="s">
        <v>2337</v>
      </c>
      <c r="C799" t="s">
        <v>2341</v>
      </c>
      <c r="D799" t="s">
        <v>800</v>
      </c>
      <c r="E799" t="s">
        <v>2339</v>
      </c>
      <c r="F799" t="s">
        <v>802</v>
      </c>
      <c r="G799" t="s">
        <v>803</v>
      </c>
      <c r="H799" t="s">
        <v>61</v>
      </c>
      <c r="I799" t="s">
        <v>804</v>
      </c>
      <c r="J799" t="s">
        <v>27</v>
      </c>
      <c r="K799" t="s">
        <v>28</v>
      </c>
      <c r="L799" t="s">
        <v>29</v>
      </c>
      <c r="M799" t="s">
        <v>30</v>
      </c>
      <c r="N799" t="s">
        <v>31</v>
      </c>
      <c r="Q799" t="s">
        <v>2342</v>
      </c>
      <c r="R799" t="s">
        <v>2342</v>
      </c>
    </row>
    <row r="800" spans="1:18" x14ac:dyDescent="0.3">
      <c r="A800" s="2" t="str">
        <f>HYPERLINK(B800,"Oppna PDF")</f>
        <v>Oppna PDF</v>
      </c>
      <c r="B800" t="s">
        <v>2343</v>
      </c>
      <c r="C800" t="s">
        <v>2344</v>
      </c>
      <c r="D800" t="s">
        <v>800</v>
      </c>
      <c r="E800" t="s">
        <v>2345</v>
      </c>
      <c r="F800" t="s">
        <v>802</v>
      </c>
      <c r="G800" t="s">
        <v>803</v>
      </c>
      <c r="H800" t="s">
        <v>61</v>
      </c>
      <c r="I800" t="s">
        <v>804</v>
      </c>
      <c r="J800" t="s">
        <v>38</v>
      </c>
      <c r="K800" t="s">
        <v>39</v>
      </c>
      <c r="L800" t="s">
        <v>29</v>
      </c>
      <c r="M800" t="s">
        <v>30</v>
      </c>
      <c r="N800" t="s">
        <v>31</v>
      </c>
      <c r="Q800" t="s">
        <v>2346</v>
      </c>
      <c r="R800" t="s">
        <v>2347</v>
      </c>
    </row>
    <row r="801" spans="1:18" x14ac:dyDescent="0.3">
      <c r="A801" s="2" t="str">
        <f>HYPERLINK(B801,"Oppna PDF")</f>
        <v>Oppna PDF</v>
      </c>
      <c r="B801" t="s">
        <v>2343</v>
      </c>
      <c r="C801" t="s">
        <v>2348</v>
      </c>
      <c r="D801" t="s">
        <v>800</v>
      </c>
      <c r="E801" t="s">
        <v>2345</v>
      </c>
      <c r="F801" t="s">
        <v>802</v>
      </c>
      <c r="G801" t="s">
        <v>803</v>
      </c>
      <c r="H801" t="s">
        <v>61</v>
      </c>
      <c r="I801" t="s">
        <v>804</v>
      </c>
      <c r="J801" t="s">
        <v>38</v>
      </c>
      <c r="K801" t="s">
        <v>39</v>
      </c>
      <c r="L801" t="s">
        <v>29</v>
      </c>
      <c r="M801" t="s">
        <v>30</v>
      </c>
      <c r="N801" t="s">
        <v>31</v>
      </c>
      <c r="Q801" t="s">
        <v>2349</v>
      </c>
      <c r="R801" t="s">
        <v>2349</v>
      </c>
    </row>
    <row r="802" spans="1:18" x14ac:dyDescent="0.3">
      <c r="A802" s="2" t="str">
        <f>HYPERLINK(B802,"Oppna PDF")</f>
        <v>Oppna PDF</v>
      </c>
      <c r="B802" t="s">
        <v>2343</v>
      </c>
      <c r="C802" t="s">
        <v>2350</v>
      </c>
      <c r="D802" t="s">
        <v>800</v>
      </c>
      <c r="E802" t="s">
        <v>2345</v>
      </c>
      <c r="F802" t="s">
        <v>802</v>
      </c>
      <c r="G802" t="s">
        <v>803</v>
      </c>
      <c r="H802" t="s">
        <v>61</v>
      </c>
      <c r="I802" t="s">
        <v>804</v>
      </c>
      <c r="J802" t="s">
        <v>38</v>
      </c>
      <c r="K802" t="s">
        <v>39</v>
      </c>
      <c r="L802" t="s">
        <v>29</v>
      </c>
      <c r="M802" t="s">
        <v>30</v>
      </c>
      <c r="N802" t="s">
        <v>31</v>
      </c>
      <c r="Q802" t="s">
        <v>2340</v>
      </c>
      <c r="R802" t="s">
        <v>2340</v>
      </c>
    </row>
    <row r="803" spans="1:18" x14ac:dyDescent="0.3">
      <c r="A803" s="2" t="str">
        <f>HYPERLINK(B803,"Oppna PDF")</f>
        <v>Oppna PDF</v>
      </c>
      <c r="B803" t="s">
        <v>2351</v>
      </c>
      <c r="C803" t="s">
        <v>2352</v>
      </c>
      <c r="D803" t="s">
        <v>433</v>
      </c>
      <c r="E803" t="s">
        <v>2353</v>
      </c>
      <c r="F803" t="s">
        <v>435</v>
      </c>
      <c r="G803" t="s">
        <v>436</v>
      </c>
      <c r="H803" t="s">
        <v>61</v>
      </c>
      <c r="I803" t="s">
        <v>437</v>
      </c>
      <c r="J803" t="s">
        <v>38</v>
      </c>
      <c r="K803" t="s">
        <v>39</v>
      </c>
      <c r="L803" t="s">
        <v>29</v>
      </c>
      <c r="M803" t="s">
        <v>30</v>
      </c>
      <c r="N803" t="s">
        <v>31</v>
      </c>
      <c r="Q803" t="s">
        <v>559</v>
      </c>
      <c r="R803" t="s">
        <v>559</v>
      </c>
    </row>
    <row r="804" spans="1:18" x14ac:dyDescent="0.3">
      <c r="A804" s="2" t="str">
        <f>HYPERLINK(B804,"Oppna PDF")</f>
        <v>Oppna PDF</v>
      </c>
      <c r="B804" t="s">
        <v>2354</v>
      </c>
      <c r="C804" t="s">
        <v>2355</v>
      </c>
      <c r="D804" t="s">
        <v>800</v>
      </c>
      <c r="E804" t="s">
        <v>2356</v>
      </c>
      <c r="F804" t="s">
        <v>802</v>
      </c>
      <c r="G804" t="s">
        <v>803</v>
      </c>
      <c r="H804" t="s">
        <v>61</v>
      </c>
      <c r="I804" t="s">
        <v>804</v>
      </c>
      <c r="J804" t="s">
        <v>91</v>
      </c>
      <c r="K804" t="s">
        <v>92</v>
      </c>
      <c r="L804" t="s">
        <v>29</v>
      </c>
      <c r="M804" t="s">
        <v>30</v>
      </c>
      <c r="N804" t="s">
        <v>31</v>
      </c>
      <c r="Q804" t="s">
        <v>2357</v>
      </c>
      <c r="R804" t="s">
        <v>2357</v>
      </c>
    </row>
    <row r="805" spans="1:18" x14ac:dyDescent="0.3">
      <c r="A805" s="2" t="str">
        <f>HYPERLINK(B805,"Oppna PDF")</f>
        <v>Oppna PDF</v>
      </c>
      <c r="B805" t="s">
        <v>2354</v>
      </c>
      <c r="C805" t="s">
        <v>2358</v>
      </c>
      <c r="D805" t="s">
        <v>800</v>
      </c>
      <c r="E805" t="s">
        <v>2356</v>
      </c>
      <c r="F805" t="s">
        <v>802</v>
      </c>
      <c r="G805" t="s">
        <v>803</v>
      </c>
      <c r="H805" t="s">
        <v>61</v>
      </c>
      <c r="I805" t="s">
        <v>804</v>
      </c>
      <c r="J805" t="s">
        <v>87</v>
      </c>
      <c r="K805" t="s">
        <v>88</v>
      </c>
      <c r="L805" t="s">
        <v>29</v>
      </c>
      <c r="M805" t="s">
        <v>30</v>
      </c>
      <c r="N805" t="s">
        <v>31</v>
      </c>
      <c r="Q805" t="s">
        <v>2359</v>
      </c>
      <c r="R805" t="s">
        <v>2359</v>
      </c>
    </row>
    <row r="806" spans="1:18" x14ac:dyDescent="0.3">
      <c r="A806" s="2" t="str">
        <f>HYPERLINK(B806,"Oppna PDF")</f>
        <v>Oppna PDF</v>
      </c>
      <c r="B806" t="s">
        <v>2354</v>
      </c>
      <c r="C806" t="s">
        <v>2360</v>
      </c>
      <c r="D806" t="s">
        <v>800</v>
      </c>
      <c r="E806" t="s">
        <v>2356</v>
      </c>
      <c r="F806" t="s">
        <v>802</v>
      </c>
      <c r="G806" t="s">
        <v>803</v>
      </c>
      <c r="H806" t="s">
        <v>61</v>
      </c>
      <c r="I806" t="s">
        <v>804</v>
      </c>
      <c r="J806" t="s">
        <v>91</v>
      </c>
      <c r="K806" t="s">
        <v>92</v>
      </c>
      <c r="L806" t="s">
        <v>29</v>
      </c>
      <c r="M806" t="s">
        <v>30</v>
      </c>
      <c r="N806" t="s">
        <v>31</v>
      </c>
      <c r="Q806" t="s">
        <v>2361</v>
      </c>
      <c r="R806" t="s">
        <v>2361</v>
      </c>
    </row>
    <row r="807" spans="1:18" x14ac:dyDescent="0.3">
      <c r="A807" s="2" t="str">
        <f>HYPERLINK(B807,"Oppna PDF")</f>
        <v>Oppna PDF</v>
      </c>
      <c r="B807" t="s">
        <v>2362</v>
      </c>
      <c r="C807" t="s">
        <v>2363</v>
      </c>
      <c r="D807" t="s">
        <v>1664</v>
      </c>
      <c r="E807" t="s">
        <v>2364</v>
      </c>
      <c r="H807" t="s">
        <v>61</v>
      </c>
      <c r="I807" t="s">
        <v>1666</v>
      </c>
      <c r="J807" t="s">
        <v>87</v>
      </c>
      <c r="K807" t="s">
        <v>88</v>
      </c>
      <c r="L807" t="s">
        <v>29</v>
      </c>
      <c r="M807" t="s">
        <v>30</v>
      </c>
      <c r="N807" t="s">
        <v>31</v>
      </c>
      <c r="Q807" t="s">
        <v>1647</v>
      </c>
      <c r="R807" t="s">
        <v>1647</v>
      </c>
    </row>
    <row r="808" spans="1:18" x14ac:dyDescent="0.3">
      <c r="A808" s="2" t="str">
        <f>HYPERLINK(B808,"Oppna PDF")</f>
        <v>Oppna PDF</v>
      </c>
      <c r="B808" t="s">
        <v>2362</v>
      </c>
      <c r="C808" t="s">
        <v>2365</v>
      </c>
      <c r="D808" t="s">
        <v>1664</v>
      </c>
      <c r="E808" t="s">
        <v>2364</v>
      </c>
      <c r="H808" t="s">
        <v>61</v>
      </c>
      <c r="I808" t="s">
        <v>1666</v>
      </c>
      <c r="J808" t="s">
        <v>87</v>
      </c>
      <c r="K808" t="s">
        <v>88</v>
      </c>
      <c r="L808" t="s">
        <v>29</v>
      </c>
      <c r="M808" t="s">
        <v>30</v>
      </c>
      <c r="N808" t="s">
        <v>31</v>
      </c>
      <c r="Q808" t="s">
        <v>1649</v>
      </c>
      <c r="R808" t="s">
        <v>1649</v>
      </c>
    </row>
    <row r="809" spans="1:18" x14ac:dyDescent="0.3">
      <c r="A809" s="2" t="str">
        <f>HYPERLINK(B809,"Oppna PDF")</f>
        <v>Oppna PDF</v>
      </c>
      <c r="B809" t="s">
        <v>2362</v>
      </c>
      <c r="C809" t="s">
        <v>2366</v>
      </c>
      <c r="D809" t="s">
        <v>1664</v>
      </c>
      <c r="E809" t="s">
        <v>2364</v>
      </c>
      <c r="H809" t="s">
        <v>61</v>
      </c>
      <c r="I809" t="s">
        <v>1666</v>
      </c>
      <c r="J809" t="s">
        <v>34</v>
      </c>
      <c r="K809" t="s">
        <v>35</v>
      </c>
      <c r="L809" t="s">
        <v>29</v>
      </c>
      <c r="M809" t="s">
        <v>30</v>
      </c>
      <c r="N809" t="s">
        <v>31</v>
      </c>
      <c r="Q809" t="s">
        <v>1651</v>
      </c>
      <c r="R809" t="s">
        <v>1651</v>
      </c>
    </row>
    <row r="810" spans="1:18" x14ac:dyDescent="0.3">
      <c r="A810" s="2" t="str">
        <f>HYPERLINK(B810,"Oppna PDF")</f>
        <v>Oppna PDF</v>
      </c>
      <c r="B810" t="s">
        <v>2367</v>
      </c>
      <c r="C810" t="s">
        <v>2368</v>
      </c>
      <c r="D810" t="s">
        <v>433</v>
      </c>
      <c r="E810" t="s">
        <v>2369</v>
      </c>
      <c r="F810" t="s">
        <v>435</v>
      </c>
      <c r="G810" t="s">
        <v>436</v>
      </c>
      <c r="H810" t="s">
        <v>61</v>
      </c>
      <c r="I810" t="s">
        <v>437</v>
      </c>
      <c r="J810" t="s">
        <v>27</v>
      </c>
      <c r="K810" t="s">
        <v>28</v>
      </c>
      <c r="L810" t="s">
        <v>29</v>
      </c>
      <c r="M810" t="s">
        <v>30</v>
      </c>
      <c r="N810" t="s">
        <v>31</v>
      </c>
      <c r="Q810" t="s">
        <v>563</v>
      </c>
      <c r="R810" t="s">
        <v>563</v>
      </c>
    </row>
    <row r="811" spans="1:18" x14ac:dyDescent="0.3">
      <c r="A811" s="2" t="str">
        <f>HYPERLINK(B811,"Oppna PDF")</f>
        <v>Oppna PDF</v>
      </c>
      <c r="B811" t="s">
        <v>2367</v>
      </c>
      <c r="C811" t="s">
        <v>2370</v>
      </c>
      <c r="D811" t="s">
        <v>433</v>
      </c>
      <c r="E811" t="s">
        <v>2369</v>
      </c>
      <c r="F811" t="s">
        <v>435</v>
      </c>
      <c r="G811" t="s">
        <v>436</v>
      </c>
      <c r="H811" t="s">
        <v>61</v>
      </c>
      <c r="I811" t="s">
        <v>437</v>
      </c>
      <c r="J811" t="s">
        <v>34</v>
      </c>
      <c r="K811" t="s">
        <v>35</v>
      </c>
      <c r="L811" t="s">
        <v>29</v>
      </c>
      <c r="M811" t="s">
        <v>30</v>
      </c>
      <c r="N811" t="s">
        <v>31</v>
      </c>
      <c r="Q811" t="s">
        <v>565</v>
      </c>
      <c r="R811" t="s">
        <v>565</v>
      </c>
    </row>
    <row r="812" spans="1:18" x14ac:dyDescent="0.3">
      <c r="A812" s="2" t="str">
        <f>HYPERLINK(B812,"Oppna PDF")</f>
        <v>Oppna PDF</v>
      </c>
      <c r="B812" t="s">
        <v>2367</v>
      </c>
      <c r="C812" t="s">
        <v>2371</v>
      </c>
      <c r="D812" t="s">
        <v>433</v>
      </c>
      <c r="E812" t="s">
        <v>2369</v>
      </c>
      <c r="F812" t="s">
        <v>435</v>
      </c>
      <c r="G812" t="s">
        <v>436</v>
      </c>
      <c r="H812" t="s">
        <v>61</v>
      </c>
      <c r="I812" t="s">
        <v>437</v>
      </c>
      <c r="J812" t="s">
        <v>87</v>
      </c>
      <c r="K812" t="s">
        <v>88</v>
      </c>
      <c r="L812" t="s">
        <v>29</v>
      </c>
      <c r="M812" t="s">
        <v>30</v>
      </c>
      <c r="N812" t="s">
        <v>31</v>
      </c>
      <c r="Q812" t="s">
        <v>567</v>
      </c>
      <c r="R812" t="s">
        <v>567</v>
      </c>
    </row>
    <row r="813" spans="1:18" x14ac:dyDescent="0.3">
      <c r="A813" s="2" t="str">
        <f>HYPERLINK(B813,"Oppna PDF")</f>
        <v>Oppna PDF</v>
      </c>
      <c r="B813" t="s">
        <v>2372</v>
      </c>
      <c r="C813" t="s">
        <v>2373</v>
      </c>
      <c r="D813" t="s">
        <v>730</v>
      </c>
      <c r="E813" t="s">
        <v>2374</v>
      </c>
      <c r="F813" t="s">
        <v>459</v>
      </c>
      <c r="G813" t="s">
        <v>460</v>
      </c>
      <c r="H813" t="s">
        <v>25</v>
      </c>
      <c r="I813" t="s">
        <v>732</v>
      </c>
      <c r="J813" t="s">
        <v>34</v>
      </c>
      <c r="K813" t="s">
        <v>35</v>
      </c>
      <c r="L813" t="s">
        <v>29</v>
      </c>
      <c r="M813" t="s">
        <v>30</v>
      </c>
      <c r="N813" t="s">
        <v>31</v>
      </c>
      <c r="Q813" t="s">
        <v>2375</v>
      </c>
      <c r="R813" t="s">
        <v>2375</v>
      </c>
    </row>
    <row r="814" spans="1:18" x14ac:dyDescent="0.3">
      <c r="A814" s="2" t="str">
        <f>HYPERLINK(B814,"Oppna PDF")</f>
        <v>Oppna PDF</v>
      </c>
      <c r="B814" t="s">
        <v>2376</v>
      </c>
      <c r="C814" t="s">
        <v>2377</v>
      </c>
      <c r="D814" t="s">
        <v>480</v>
      </c>
      <c r="E814" t="s">
        <v>2378</v>
      </c>
      <c r="F814" t="s">
        <v>435</v>
      </c>
      <c r="G814" t="s">
        <v>436</v>
      </c>
      <c r="H814" t="s">
        <v>61</v>
      </c>
      <c r="I814" t="s">
        <v>482</v>
      </c>
      <c r="J814" t="s">
        <v>91</v>
      </c>
      <c r="K814" t="s">
        <v>92</v>
      </c>
      <c r="L814" t="s">
        <v>29</v>
      </c>
      <c r="M814" t="s">
        <v>30</v>
      </c>
      <c r="N814" t="s">
        <v>31</v>
      </c>
      <c r="Q814" t="s">
        <v>438</v>
      </c>
      <c r="R814" t="s">
        <v>438</v>
      </c>
    </row>
    <row r="815" spans="1:18" x14ac:dyDescent="0.3">
      <c r="A815" s="2" t="str">
        <f>HYPERLINK(B815,"Oppna PDF")</f>
        <v>Oppna PDF</v>
      </c>
      <c r="B815" t="s">
        <v>2376</v>
      </c>
      <c r="C815" t="s">
        <v>2379</v>
      </c>
      <c r="D815" t="s">
        <v>480</v>
      </c>
      <c r="E815" t="s">
        <v>2378</v>
      </c>
      <c r="F815" t="s">
        <v>435</v>
      </c>
      <c r="G815" t="s">
        <v>436</v>
      </c>
      <c r="H815" t="s">
        <v>61</v>
      </c>
      <c r="I815" t="s">
        <v>482</v>
      </c>
      <c r="J815" t="s">
        <v>87</v>
      </c>
      <c r="K815" t="s">
        <v>88</v>
      </c>
      <c r="L815" t="s">
        <v>29</v>
      </c>
      <c r="M815" t="s">
        <v>30</v>
      </c>
      <c r="N815" t="s">
        <v>31</v>
      </c>
      <c r="Q815" t="s">
        <v>440</v>
      </c>
      <c r="R815" t="s">
        <v>440</v>
      </c>
    </row>
    <row r="816" spans="1:18" x14ac:dyDescent="0.3">
      <c r="A816" s="2" t="str">
        <f>HYPERLINK(B816,"Oppna PDF")</f>
        <v>Oppna PDF</v>
      </c>
      <c r="B816" t="s">
        <v>2376</v>
      </c>
      <c r="C816" t="s">
        <v>2380</v>
      </c>
      <c r="D816" t="s">
        <v>480</v>
      </c>
      <c r="E816" t="s">
        <v>2378</v>
      </c>
      <c r="F816" t="s">
        <v>435</v>
      </c>
      <c r="G816" t="s">
        <v>436</v>
      </c>
      <c r="H816" t="s">
        <v>61</v>
      </c>
      <c r="I816" t="s">
        <v>482</v>
      </c>
      <c r="J816" t="s">
        <v>87</v>
      </c>
      <c r="K816" t="s">
        <v>88</v>
      </c>
      <c r="L816" t="s">
        <v>29</v>
      </c>
      <c r="M816" t="s">
        <v>30</v>
      </c>
      <c r="N816" t="s">
        <v>31</v>
      </c>
      <c r="Q816" t="s">
        <v>442</v>
      </c>
      <c r="R816" t="s">
        <v>442</v>
      </c>
    </row>
    <row r="817" spans="1:18" x14ac:dyDescent="0.3">
      <c r="A817" s="2" t="str">
        <f>HYPERLINK(B817,"Oppna PDF")</f>
        <v>Oppna PDF</v>
      </c>
      <c r="B817" t="s">
        <v>2381</v>
      </c>
      <c r="C817" t="s">
        <v>2382</v>
      </c>
      <c r="D817" t="s">
        <v>830</v>
      </c>
      <c r="E817" t="s">
        <v>2383</v>
      </c>
      <c r="H817" t="s">
        <v>61</v>
      </c>
      <c r="I817" t="s">
        <v>832</v>
      </c>
      <c r="J817" t="s">
        <v>38</v>
      </c>
      <c r="K817" t="s">
        <v>39</v>
      </c>
      <c r="L817" t="s">
        <v>29</v>
      </c>
      <c r="M817" t="s">
        <v>30</v>
      </c>
      <c r="N817" t="s">
        <v>31</v>
      </c>
      <c r="Q817" t="s">
        <v>1224</v>
      </c>
      <c r="R817" t="s">
        <v>1224</v>
      </c>
    </row>
    <row r="818" spans="1:18" x14ac:dyDescent="0.3">
      <c r="A818" s="2" t="str">
        <f>HYPERLINK(B818,"Oppna PDF")</f>
        <v>Oppna PDF</v>
      </c>
      <c r="B818" t="s">
        <v>2381</v>
      </c>
      <c r="C818" t="s">
        <v>2384</v>
      </c>
      <c r="D818" t="s">
        <v>830</v>
      </c>
      <c r="E818" t="s">
        <v>2383</v>
      </c>
      <c r="H818" t="s">
        <v>61</v>
      </c>
      <c r="I818" t="s">
        <v>832</v>
      </c>
      <c r="J818" t="s">
        <v>87</v>
      </c>
      <c r="K818" t="s">
        <v>88</v>
      </c>
      <c r="L818" t="s">
        <v>29</v>
      </c>
      <c r="M818" t="s">
        <v>30</v>
      </c>
      <c r="N818" t="s">
        <v>31</v>
      </c>
      <c r="Q818" t="s">
        <v>1226</v>
      </c>
      <c r="R818" t="s">
        <v>1226</v>
      </c>
    </row>
    <row r="819" spans="1:18" x14ac:dyDescent="0.3">
      <c r="A819" s="2" t="str">
        <f>HYPERLINK(B819,"Oppna PDF")</f>
        <v>Oppna PDF</v>
      </c>
      <c r="B819" t="s">
        <v>2381</v>
      </c>
      <c r="C819" t="s">
        <v>2385</v>
      </c>
      <c r="D819" t="s">
        <v>830</v>
      </c>
      <c r="E819" t="s">
        <v>2383</v>
      </c>
      <c r="H819" t="s">
        <v>61</v>
      </c>
      <c r="I819" t="s">
        <v>832</v>
      </c>
      <c r="J819" t="s">
        <v>34</v>
      </c>
      <c r="K819" t="s">
        <v>35</v>
      </c>
      <c r="L819" t="s">
        <v>29</v>
      </c>
      <c r="M819" t="s">
        <v>30</v>
      </c>
      <c r="N819" t="s">
        <v>31</v>
      </c>
      <c r="Q819" t="s">
        <v>2386</v>
      </c>
      <c r="R819" t="s">
        <v>2386</v>
      </c>
    </row>
    <row r="820" spans="1:18" x14ac:dyDescent="0.3">
      <c r="A820" s="2" t="str">
        <f>HYPERLINK(B820,"Oppna PDF")</f>
        <v>Oppna PDF</v>
      </c>
      <c r="B820" t="s">
        <v>2387</v>
      </c>
      <c r="C820" t="s">
        <v>2388</v>
      </c>
      <c r="D820" t="s">
        <v>730</v>
      </c>
      <c r="E820" t="s">
        <v>2389</v>
      </c>
      <c r="F820" t="s">
        <v>459</v>
      </c>
      <c r="G820" t="s">
        <v>460</v>
      </c>
      <c r="H820" t="s">
        <v>25</v>
      </c>
      <c r="I820" t="s">
        <v>732</v>
      </c>
      <c r="J820" t="s">
        <v>38</v>
      </c>
      <c r="K820" t="s">
        <v>39</v>
      </c>
      <c r="L820" t="s">
        <v>29</v>
      </c>
      <c r="M820" t="s">
        <v>30</v>
      </c>
      <c r="N820" t="s">
        <v>31</v>
      </c>
      <c r="Q820" t="s">
        <v>882</v>
      </c>
      <c r="R820" t="s">
        <v>882</v>
      </c>
    </row>
    <row r="821" spans="1:18" x14ac:dyDescent="0.3">
      <c r="A821" s="2" t="str">
        <f>HYPERLINK(B821,"Oppna PDF")</f>
        <v>Oppna PDF</v>
      </c>
      <c r="B821" t="s">
        <v>2387</v>
      </c>
      <c r="C821" t="s">
        <v>2390</v>
      </c>
      <c r="D821" t="s">
        <v>730</v>
      </c>
      <c r="E821" t="s">
        <v>2389</v>
      </c>
      <c r="F821" t="s">
        <v>459</v>
      </c>
      <c r="G821" t="s">
        <v>460</v>
      </c>
      <c r="H821" t="s">
        <v>25</v>
      </c>
      <c r="I821" t="s">
        <v>732</v>
      </c>
      <c r="J821" t="s">
        <v>27</v>
      </c>
      <c r="K821" t="s">
        <v>28</v>
      </c>
      <c r="L821" t="s">
        <v>29</v>
      </c>
      <c r="M821" t="s">
        <v>30</v>
      </c>
      <c r="N821" t="s">
        <v>31</v>
      </c>
      <c r="Q821" t="s">
        <v>884</v>
      </c>
      <c r="R821" t="s">
        <v>884</v>
      </c>
    </row>
    <row r="822" spans="1:18" x14ac:dyDescent="0.3">
      <c r="A822" s="2" t="str">
        <f>HYPERLINK(B822,"Oppna PDF")</f>
        <v>Oppna PDF</v>
      </c>
      <c r="B822" t="s">
        <v>2387</v>
      </c>
      <c r="C822" t="s">
        <v>2391</v>
      </c>
      <c r="D822" t="s">
        <v>730</v>
      </c>
      <c r="E822" t="s">
        <v>2389</v>
      </c>
      <c r="F822" t="s">
        <v>459</v>
      </c>
      <c r="G822" t="s">
        <v>460</v>
      </c>
      <c r="H822" t="s">
        <v>25</v>
      </c>
      <c r="I822" t="s">
        <v>732</v>
      </c>
      <c r="J822" t="s">
        <v>48</v>
      </c>
      <c r="K822" t="s">
        <v>49</v>
      </c>
      <c r="L822" t="s">
        <v>29</v>
      </c>
      <c r="M822" t="s">
        <v>30</v>
      </c>
      <c r="N822" t="s">
        <v>31</v>
      </c>
      <c r="Q822" t="s">
        <v>886</v>
      </c>
      <c r="R822" t="s">
        <v>886</v>
      </c>
    </row>
    <row r="823" spans="1:18" x14ac:dyDescent="0.3">
      <c r="A823" s="2" t="str">
        <f>HYPERLINK(B823,"Oppna PDF")</f>
        <v>Oppna PDF</v>
      </c>
      <c r="B823" t="s">
        <v>2392</v>
      </c>
      <c r="C823" t="s">
        <v>2393</v>
      </c>
      <c r="D823" t="s">
        <v>740</v>
      </c>
      <c r="E823" t="s">
        <v>2394</v>
      </c>
      <c r="F823" t="s">
        <v>459</v>
      </c>
      <c r="G823" t="s">
        <v>460</v>
      </c>
      <c r="H823" t="s">
        <v>25</v>
      </c>
      <c r="I823" t="s">
        <v>732</v>
      </c>
      <c r="J823" t="s">
        <v>34</v>
      </c>
      <c r="K823" t="s">
        <v>35</v>
      </c>
      <c r="L823" t="s">
        <v>29</v>
      </c>
      <c r="M823" t="s">
        <v>30</v>
      </c>
      <c r="N823" t="s">
        <v>31</v>
      </c>
      <c r="Q823" t="s">
        <v>2375</v>
      </c>
      <c r="R823" t="s">
        <v>2375</v>
      </c>
    </row>
    <row r="824" spans="1:18" x14ac:dyDescent="0.3">
      <c r="A824" s="2" t="str">
        <f>HYPERLINK(B824,"Oppna PDF")</f>
        <v>Oppna PDF</v>
      </c>
      <c r="B824" t="s">
        <v>2395</v>
      </c>
      <c r="C824" t="s">
        <v>2396</v>
      </c>
      <c r="D824" t="s">
        <v>830</v>
      </c>
      <c r="E824" t="s">
        <v>2397</v>
      </c>
      <c r="H824" t="s">
        <v>61</v>
      </c>
      <c r="I824" t="s">
        <v>832</v>
      </c>
      <c r="J824" t="s">
        <v>38</v>
      </c>
      <c r="K824" t="s">
        <v>39</v>
      </c>
      <c r="L824" t="s">
        <v>29</v>
      </c>
      <c r="M824" t="s">
        <v>30</v>
      </c>
      <c r="N824" t="s">
        <v>31</v>
      </c>
      <c r="Q824" t="s">
        <v>2398</v>
      </c>
      <c r="R824" t="s">
        <v>2398</v>
      </c>
    </row>
    <row r="825" spans="1:18" x14ac:dyDescent="0.3">
      <c r="A825" s="2" t="str">
        <f>HYPERLINK(B825,"Oppna PDF")</f>
        <v>Oppna PDF</v>
      </c>
      <c r="B825" t="s">
        <v>2395</v>
      </c>
      <c r="C825" t="s">
        <v>2399</v>
      </c>
      <c r="D825" t="s">
        <v>830</v>
      </c>
      <c r="E825" t="s">
        <v>2397</v>
      </c>
      <c r="H825" t="s">
        <v>61</v>
      </c>
      <c r="I825" t="s">
        <v>832</v>
      </c>
      <c r="J825" t="s">
        <v>87</v>
      </c>
      <c r="K825" t="s">
        <v>88</v>
      </c>
      <c r="L825" t="s">
        <v>29</v>
      </c>
      <c r="M825" t="s">
        <v>30</v>
      </c>
      <c r="N825" t="s">
        <v>31</v>
      </c>
      <c r="Q825" t="s">
        <v>1226</v>
      </c>
      <c r="R825" t="s">
        <v>1226</v>
      </c>
    </row>
    <row r="826" spans="1:18" x14ac:dyDescent="0.3">
      <c r="A826" s="2" t="str">
        <f>HYPERLINK(B826,"Oppna PDF")</f>
        <v>Oppna PDF</v>
      </c>
      <c r="B826" t="s">
        <v>2395</v>
      </c>
      <c r="C826" t="s">
        <v>2400</v>
      </c>
      <c r="D826" t="s">
        <v>830</v>
      </c>
      <c r="E826" t="s">
        <v>2397</v>
      </c>
      <c r="H826" t="s">
        <v>61</v>
      </c>
      <c r="I826" t="s">
        <v>832</v>
      </c>
      <c r="J826" t="s">
        <v>27</v>
      </c>
      <c r="K826" t="s">
        <v>28</v>
      </c>
      <c r="L826" t="s">
        <v>29</v>
      </c>
      <c r="M826" t="s">
        <v>30</v>
      </c>
      <c r="N826" t="s">
        <v>31</v>
      </c>
      <c r="Q826" t="s">
        <v>44</v>
      </c>
      <c r="R826" t="s">
        <v>44</v>
      </c>
    </row>
    <row r="827" spans="1:18" x14ac:dyDescent="0.3">
      <c r="A827" s="2" t="str">
        <f>HYPERLINK(B827,"Oppna PDF")</f>
        <v>Oppna PDF</v>
      </c>
      <c r="B827" t="s">
        <v>2401</v>
      </c>
      <c r="C827" t="s">
        <v>2402</v>
      </c>
      <c r="D827" t="s">
        <v>2403</v>
      </c>
      <c r="E827" t="s">
        <v>2404</v>
      </c>
      <c r="F827" t="e">
        <f>-- Skinnskattebergs</f>
        <v>#NAME?</v>
      </c>
      <c r="G827" t="e">
        <f>-- Skinnskattebergs kommun</f>
        <v>#NAME?</v>
      </c>
      <c r="H827" t="s">
        <v>25</v>
      </c>
      <c r="I827" t="s">
        <v>1853</v>
      </c>
      <c r="J827" t="s">
        <v>38</v>
      </c>
      <c r="K827" t="s">
        <v>39</v>
      </c>
      <c r="L827" t="s">
        <v>29</v>
      </c>
      <c r="M827" t="s">
        <v>30</v>
      </c>
      <c r="N827" t="s">
        <v>31</v>
      </c>
      <c r="Q827" t="s">
        <v>2405</v>
      </c>
      <c r="R827" t="s">
        <v>2405</v>
      </c>
    </row>
    <row r="828" spans="1:18" x14ac:dyDescent="0.3">
      <c r="A828" s="2" t="str">
        <f>HYPERLINK(B828,"Oppna PDF")</f>
        <v>Oppna PDF</v>
      </c>
      <c r="B828" t="s">
        <v>2401</v>
      </c>
      <c r="C828" t="s">
        <v>2406</v>
      </c>
      <c r="D828" t="s">
        <v>2403</v>
      </c>
      <c r="E828" t="s">
        <v>2404</v>
      </c>
      <c r="F828" t="e">
        <f>-- Skinnskattebergs</f>
        <v>#NAME?</v>
      </c>
      <c r="G828" t="e">
        <f>-- Skinnskattebergs kommun</f>
        <v>#NAME?</v>
      </c>
      <c r="H828" t="s">
        <v>25</v>
      </c>
      <c r="I828" t="s">
        <v>1853</v>
      </c>
      <c r="J828" t="s">
        <v>27</v>
      </c>
      <c r="K828" t="s">
        <v>28</v>
      </c>
      <c r="L828" t="s">
        <v>29</v>
      </c>
      <c r="M828" t="s">
        <v>30</v>
      </c>
      <c r="N828" t="s">
        <v>31</v>
      </c>
      <c r="Q828" t="s">
        <v>2407</v>
      </c>
      <c r="R828" t="s">
        <v>2407</v>
      </c>
    </row>
    <row r="829" spans="1:18" x14ac:dyDescent="0.3">
      <c r="A829" s="2" t="str">
        <f>HYPERLINK(B829,"Oppna PDF")</f>
        <v>Oppna PDF</v>
      </c>
      <c r="B829" t="s">
        <v>2401</v>
      </c>
      <c r="C829" t="s">
        <v>2408</v>
      </c>
      <c r="D829" t="s">
        <v>2403</v>
      </c>
      <c r="E829" t="s">
        <v>2404</v>
      </c>
      <c r="F829" t="e">
        <f>-- Skinnskattebergs</f>
        <v>#NAME?</v>
      </c>
      <c r="G829" t="e">
        <f>-- Skinnskattebergs kommun</f>
        <v>#NAME?</v>
      </c>
      <c r="H829" t="s">
        <v>25</v>
      </c>
      <c r="I829" t="s">
        <v>1853</v>
      </c>
      <c r="J829" t="s">
        <v>38</v>
      </c>
      <c r="K829" t="s">
        <v>39</v>
      </c>
      <c r="L829" t="s">
        <v>29</v>
      </c>
      <c r="M829" t="s">
        <v>30</v>
      </c>
      <c r="N829" t="s">
        <v>31</v>
      </c>
      <c r="Q829" t="s">
        <v>1858</v>
      </c>
      <c r="R829" t="s">
        <v>1858</v>
      </c>
    </row>
    <row r="830" spans="1:18" x14ac:dyDescent="0.3">
      <c r="A830" s="2" t="str">
        <f>HYPERLINK(B830,"Oppna PDF")</f>
        <v>Oppna PDF</v>
      </c>
      <c r="B830" t="s">
        <v>2409</v>
      </c>
      <c r="C830" t="s">
        <v>2410</v>
      </c>
      <c r="D830" t="s">
        <v>480</v>
      </c>
      <c r="E830" t="s">
        <v>2411</v>
      </c>
      <c r="F830" t="s">
        <v>435</v>
      </c>
      <c r="G830" t="s">
        <v>436</v>
      </c>
      <c r="H830" t="s">
        <v>61</v>
      </c>
      <c r="I830" t="s">
        <v>482</v>
      </c>
      <c r="J830" t="s">
        <v>87</v>
      </c>
      <c r="K830" t="s">
        <v>88</v>
      </c>
      <c r="L830" t="s">
        <v>29</v>
      </c>
      <c r="M830" t="s">
        <v>30</v>
      </c>
      <c r="N830" t="s">
        <v>31</v>
      </c>
      <c r="Q830" t="s">
        <v>477</v>
      </c>
      <c r="R830" t="s">
        <v>477</v>
      </c>
    </row>
    <row r="831" spans="1:18" x14ac:dyDescent="0.3">
      <c r="A831" s="2" t="str">
        <f>HYPERLINK(B831,"Oppna PDF")</f>
        <v>Oppna PDF</v>
      </c>
      <c r="B831" t="s">
        <v>2412</v>
      </c>
      <c r="C831" t="s">
        <v>2413</v>
      </c>
      <c r="D831" t="s">
        <v>830</v>
      </c>
      <c r="E831" t="s">
        <v>2414</v>
      </c>
      <c r="H831" t="s">
        <v>61</v>
      </c>
      <c r="I831" t="s">
        <v>832</v>
      </c>
      <c r="J831" t="s">
        <v>38</v>
      </c>
      <c r="K831" t="s">
        <v>39</v>
      </c>
      <c r="L831" t="s">
        <v>29</v>
      </c>
      <c r="M831" t="s">
        <v>30</v>
      </c>
      <c r="N831" t="s">
        <v>31</v>
      </c>
      <c r="Q831" t="s">
        <v>1224</v>
      </c>
      <c r="R831" t="s">
        <v>1224</v>
      </c>
    </row>
    <row r="832" spans="1:18" x14ac:dyDescent="0.3">
      <c r="A832" s="2" t="str">
        <f>HYPERLINK(B832,"Oppna PDF")</f>
        <v>Oppna PDF</v>
      </c>
      <c r="B832" t="s">
        <v>2412</v>
      </c>
      <c r="C832" t="s">
        <v>2415</v>
      </c>
      <c r="D832" t="s">
        <v>830</v>
      </c>
      <c r="E832" t="s">
        <v>2414</v>
      </c>
      <c r="H832" t="s">
        <v>61</v>
      </c>
      <c r="I832" t="s">
        <v>832</v>
      </c>
      <c r="J832" t="s">
        <v>27</v>
      </c>
      <c r="K832" t="s">
        <v>28</v>
      </c>
      <c r="L832" t="s">
        <v>29</v>
      </c>
      <c r="M832" t="s">
        <v>30</v>
      </c>
      <c r="N832" t="s">
        <v>31</v>
      </c>
      <c r="Q832" t="s">
        <v>2416</v>
      </c>
      <c r="R832" t="s">
        <v>2417</v>
      </c>
    </row>
    <row r="833" spans="1:18" x14ac:dyDescent="0.3">
      <c r="A833" s="2" t="str">
        <f>HYPERLINK(B833,"Oppna PDF")</f>
        <v>Oppna PDF</v>
      </c>
      <c r="B833" t="s">
        <v>2412</v>
      </c>
      <c r="C833" t="s">
        <v>2418</v>
      </c>
      <c r="D833" t="s">
        <v>830</v>
      </c>
      <c r="E833" t="s">
        <v>2414</v>
      </c>
      <c r="H833" t="s">
        <v>61</v>
      </c>
      <c r="I833" t="s">
        <v>832</v>
      </c>
      <c r="J833" t="s">
        <v>87</v>
      </c>
      <c r="K833" t="s">
        <v>88</v>
      </c>
      <c r="L833" t="s">
        <v>29</v>
      </c>
      <c r="M833" t="s">
        <v>30</v>
      </c>
      <c r="N833" t="s">
        <v>31</v>
      </c>
      <c r="Q833" t="s">
        <v>1226</v>
      </c>
      <c r="R833" t="s">
        <v>1226</v>
      </c>
    </row>
    <row r="834" spans="1:18" x14ac:dyDescent="0.3">
      <c r="A834" s="2" t="str">
        <f>HYPERLINK(B834,"Oppna PDF")</f>
        <v>Oppna PDF</v>
      </c>
      <c r="B834" t="s">
        <v>2419</v>
      </c>
      <c r="C834" t="s">
        <v>2420</v>
      </c>
      <c r="D834" t="s">
        <v>1188</v>
      </c>
      <c r="E834" t="s">
        <v>2421</v>
      </c>
      <c r="F834" t="s">
        <v>1190</v>
      </c>
      <c r="G834" t="s">
        <v>1191</v>
      </c>
      <c r="H834" t="s">
        <v>61</v>
      </c>
      <c r="I834" t="s">
        <v>1192</v>
      </c>
      <c r="J834" t="s">
        <v>48</v>
      </c>
      <c r="K834" t="s">
        <v>49</v>
      </c>
      <c r="L834" t="s">
        <v>29</v>
      </c>
      <c r="M834" t="s">
        <v>30</v>
      </c>
      <c r="N834" t="s">
        <v>31</v>
      </c>
      <c r="Q834" t="s">
        <v>1865</v>
      </c>
      <c r="R834" t="s">
        <v>1865</v>
      </c>
    </row>
    <row r="835" spans="1:18" x14ac:dyDescent="0.3">
      <c r="A835" s="2" t="str">
        <f>HYPERLINK(B835,"Oppna PDF")</f>
        <v>Oppna PDF</v>
      </c>
      <c r="B835" t="s">
        <v>2419</v>
      </c>
      <c r="C835" t="s">
        <v>2422</v>
      </c>
      <c r="D835" t="s">
        <v>1188</v>
      </c>
      <c r="E835" t="s">
        <v>2421</v>
      </c>
      <c r="F835" t="s">
        <v>1190</v>
      </c>
      <c r="G835" t="s">
        <v>1191</v>
      </c>
      <c r="H835" t="s">
        <v>61</v>
      </c>
      <c r="I835" t="s">
        <v>1192</v>
      </c>
      <c r="J835" t="s">
        <v>38</v>
      </c>
      <c r="K835" t="s">
        <v>39</v>
      </c>
      <c r="L835" t="s">
        <v>29</v>
      </c>
      <c r="M835" t="s">
        <v>30</v>
      </c>
      <c r="N835" t="s">
        <v>31</v>
      </c>
      <c r="Q835" t="s">
        <v>1867</v>
      </c>
      <c r="R835" t="s">
        <v>1867</v>
      </c>
    </row>
    <row r="836" spans="1:18" x14ac:dyDescent="0.3">
      <c r="A836" s="2" t="str">
        <f>HYPERLINK(B836,"Oppna PDF")</f>
        <v>Oppna PDF</v>
      </c>
      <c r="B836" t="s">
        <v>2419</v>
      </c>
      <c r="C836" t="s">
        <v>2423</v>
      </c>
      <c r="D836" t="s">
        <v>1188</v>
      </c>
      <c r="E836" t="s">
        <v>2421</v>
      </c>
      <c r="F836" t="s">
        <v>1190</v>
      </c>
      <c r="G836" t="s">
        <v>1191</v>
      </c>
      <c r="H836" t="s">
        <v>61</v>
      </c>
      <c r="I836" t="s">
        <v>1192</v>
      </c>
      <c r="J836" t="s">
        <v>38</v>
      </c>
      <c r="K836" t="s">
        <v>39</v>
      </c>
      <c r="L836" t="s">
        <v>29</v>
      </c>
      <c r="M836" t="s">
        <v>30</v>
      </c>
      <c r="N836" t="s">
        <v>31</v>
      </c>
      <c r="Q836" t="s">
        <v>1869</v>
      </c>
      <c r="R836" t="s">
        <v>1869</v>
      </c>
    </row>
    <row r="837" spans="1:18" x14ac:dyDescent="0.3">
      <c r="A837" s="2" t="str">
        <f>HYPERLINK(B837,"Oppna PDF")</f>
        <v>Oppna PDF</v>
      </c>
      <c r="B837" t="s">
        <v>2424</v>
      </c>
      <c r="C837" t="s">
        <v>2425</v>
      </c>
      <c r="D837" t="s">
        <v>570</v>
      </c>
      <c r="E837" t="s">
        <v>2426</v>
      </c>
      <c r="H837" t="s">
        <v>25</v>
      </c>
      <c r="I837" t="s">
        <v>572</v>
      </c>
      <c r="J837" t="s">
        <v>91</v>
      </c>
      <c r="K837" t="s">
        <v>92</v>
      </c>
      <c r="L837" t="s">
        <v>29</v>
      </c>
      <c r="M837" t="s">
        <v>30</v>
      </c>
      <c r="N837" t="s">
        <v>31</v>
      </c>
      <c r="Q837" t="s">
        <v>2427</v>
      </c>
      <c r="R837" t="s">
        <v>2427</v>
      </c>
    </row>
    <row r="838" spans="1:18" x14ac:dyDescent="0.3">
      <c r="A838" s="2" t="str">
        <f>HYPERLINK(B838,"Oppna PDF")</f>
        <v>Oppna PDF</v>
      </c>
      <c r="B838" t="s">
        <v>2424</v>
      </c>
      <c r="C838" t="s">
        <v>2428</v>
      </c>
      <c r="D838" t="s">
        <v>570</v>
      </c>
      <c r="E838" t="s">
        <v>2426</v>
      </c>
      <c r="H838" t="s">
        <v>25</v>
      </c>
      <c r="I838" t="s">
        <v>572</v>
      </c>
      <c r="J838" t="s">
        <v>38</v>
      </c>
      <c r="K838" t="s">
        <v>39</v>
      </c>
      <c r="L838" t="s">
        <v>29</v>
      </c>
      <c r="M838" t="s">
        <v>30</v>
      </c>
      <c r="N838" t="s">
        <v>31</v>
      </c>
      <c r="Q838" t="s">
        <v>2429</v>
      </c>
      <c r="R838" t="s">
        <v>2429</v>
      </c>
    </row>
    <row r="839" spans="1:18" x14ac:dyDescent="0.3">
      <c r="A839" s="2" t="str">
        <f>HYPERLINK(B839,"Oppna PDF")</f>
        <v>Oppna PDF</v>
      </c>
      <c r="B839" t="s">
        <v>2424</v>
      </c>
      <c r="C839" t="s">
        <v>2430</v>
      </c>
      <c r="D839" t="s">
        <v>570</v>
      </c>
      <c r="E839" t="s">
        <v>2426</v>
      </c>
      <c r="H839" t="s">
        <v>25</v>
      </c>
      <c r="I839" t="s">
        <v>572</v>
      </c>
      <c r="J839" t="s">
        <v>34</v>
      </c>
      <c r="K839" t="s">
        <v>35</v>
      </c>
      <c r="L839" t="s">
        <v>29</v>
      </c>
      <c r="M839" t="s">
        <v>30</v>
      </c>
      <c r="N839" t="s">
        <v>31</v>
      </c>
      <c r="Q839" t="s">
        <v>2431</v>
      </c>
      <c r="R839" t="s">
        <v>2431</v>
      </c>
    </row>
    <row r="840" spans="1:18" x14ac:dyDescent="0.3">
      <c r="A840" s="2" t="str">
        <f>HYPERLINK(B840,"Oppna PDF")</f>
        <v>Oppna PDF</v>
      </c>
      <c r="B840" t="s">
        <v>2432</v>
      </c>
      <c r="C840" t="s">
        <v>2433</v>
      </c>
      <c r="D840" t="s">
        <v>570</v>
      </c>
      <c r="E840" t="s">
        <v>2434</v>
      </c>
      <c r="H840" t="s">
        <v>25</v>
      </c>
      <c r="I840" t="s">
        <v>572</v>
      </c>
      <c r="J840" t="s">
        <v>48</v>
      </c>
      <c r="K840" t="s">
        <v>49</v>
      </c>
      <c r="L840" t="s">
        <v>29</v>
      </c>
      <c r="M840" t="s">
        <v>30</v>
      </c>
      <c r="N840" t="s">
        <v>31</v>
      </c>
      <c r="Q840" t="s">
        <v>2435</v>
      </c>
      <c r="R840" t="s">
        <v>2436</v>
      </c>
    </row>
    <row r="841" spans="1:18" x14ac:dyDescent="0.3">
      <c r="A841" s="2" t="str">
        <f>HYPERLINK(B841,"Oppna PDF")</f>
        <v>Oppna PDF</v>
      </c>
      <c r="B841" t="s">
        <v>2437</v>
      </c>
      <c r="C841" t="s">
        <v>2438</v>
      </c>
      <c r="D841" t="s">
        <v>570</v>
      </c>
      <c r="E841" t="s">
        <v>2439</v>
      </c>
      <c r="H841" t="s">
        <v>25</v>
      </c>
      <c r="I841" t="s">
        <v>572</v>
      </c>
      <c r="J841" t="s">
        <v>38</v>
      </c>
      <c r="K841" t="s">
        <v>39</v>
      </c>
      <c r="L841" t="s">
        <v>29</v>
      </c>
      <c r="M841" t="s">
        <v>30</v>
      </c>
      <c r="N841" t="s">
        <v>31</v>
      </c>
      <c r="Q841" t="s">
        <v>2440</v>
      </c>
      <c r="R841" t="s">
        <v>2440</v>
      </c>
    </row>
    <row r="842" spans="1:18" x14ac:dyDescent="0.3">
      <c r="A842" s="2" t="str">
        <f>HYPERLINK(B842,"Oppna PDF")</f>
        <v>Oppna PDF</v>
      </c>
      <c r="B842" t="s">
        <v>2441</v>
      </c>
      <c r="C842" t="s">
        <v>2442</v>
      </c>
      <c r="D842" t="s">
        <v>830</v>
      </c>
      <c r="E842" t="s">
        <v>2443</v>
      </c>
      <c r="H842" t="s">
        <v>61</v>
      </c>
      <c r="I842" t="s">
        <v>832</v>
      </c>
      <c r="J842" t="s">
        <v>48</v>
      </c>
      <c r="K842" t="s">
        <v>49</v>
      </c>
      <c r="L842" t="s">
        <v>29</v>
      </c>
      <c r="M842" t="s">
        <v>30</v>
      </c>
      <c r="N842" t="s">
        <v>31</v>
      </c>
      <c r="Q842" t="s">
        <v>2444</v>
      </c>
      <c r="R842" t="s">
        <v>2445</v>
      </c>
    </row>
    <row r="843" spans="1:18" x14ac:dyDescent="0.3">
      <c r="A843" s="2" t="str">
        <f>HYPERLINK(B843,"Oppna PDF")</f>
        <v>Oppna PDF</v>
      </c>
      <c r="B843" t="s">
        <v>2441</v>
      </c>
      <c r="C843" t="s">
        <v>2446</v>
      </c>
      <c r="D843" t="s">
        <v>830</v>
      </c>
      <c r="E843" t="s">
        <v>2443</v>
      </c>
      <c r="H843" t="s">
        <v>61</v>
      </c>
      <c r="I843" t="s">
        <v>832</v>
      </c>
      <c r="J843" t="s">
        <v>27</v>
      </c>
      <c r="K843" t="s">
        <v>28</v>
      </c>
      <c r="L843" t="s">
        <v>29</v>
      </c>
      <c r="M843" t="s">
        <v>30</v>
      </c>
      <c r="N843" t="s">
        <v>31</v>
      </c>
      <c r="Q843" t="s">
        <v>2447</v>
      </c>
      <c r="R843" t="s">
        <v>2447</v>
      </c>
    </row>
    <row r="844" spans="1:18" x14ac:dyDescent="0.3">
      <c r="A844" s="2" t="str">
        <f>HYPERLINK(B844,"Oppna PDF")</f>
        <v>Oppna PDF</v>
      </c>
      <c r="B844" t="s">
        <v>2441</v>
      </c>
      <c r="C844" t="s">
        <v>2448</v>
      </c>
      <c r="D844" t="s">
        <v>830</v>
      </c>
      <c r="E844" t="s">
        <v>2443</v>
      </c>
      <c r="H844" t="s">
        <v>61</v>
      </c>
      <c r="I844" t="s">
        <v>832</v>
      </c>
      <c r="J844" t="s">
        <v>38</v>
      </c>
      <c r="K844" t="s">
        <v>39</v>
      </c>
      <c r="L844" t="s">
        <v>29</v>
      </c>
      <c r="M844" t="s">
        <v>30</v>
      </c>
      <c r="N844" t="s">
        <v>31</v>
      </c>
      <c r="Q844" t="s">
        <v>2449</v>
      </c>
      <c r="R844" t="s">
        <v>2449</v>
      </c>
    </row>
    <row r="845" spans="1:18" x14ac:dyDescent="0.3">
      <c r="A845" s="2" t="str">
        <f>HYPERLINK(B845,"Oppna PDF")</f>
        <v>Oppna PDF</v>
      </c>
      <c r="B845" t="s">
        <v>2450</v>
      </c>
      <c r="C845" t="s">
        <v>2451</v>
      </c>
      <c r="D845" t="s">
        <v>582</v>
      </c>
      <c r="E845" t="s">
        <v>2452</v>
      </c>
      <c r="H845" t="s">
        <v>25</v>
      </c>
      <c r="I845" t="s">
        <v>584</v>
      </c>
      <c r="J845" t="s">
        <v>91</v>
      </c>
      <c r="K845" t="s">
        <v>92</v>
      </c>
      <c r="L845" t="s">
        <v>29</v>
      </c>
      <c r="M845" t="s">
        <v>30</v>
      </c>
      <c r="N845" t="s">
        <v>31</v>
      </c>
      <c r="Q845" t="s">
        <v>2427</v>
      </c>
      <c r="R845" t="s">
        <v>2427</v>
      </c>
    </row>
    <row r="846" spans="1:18" x14ac:dyDescent="0.3">
      <c r="A846" s="2" t="str">
        <f>HYPERLINK(B846,"Oppna PDF")</f>
        <v>Oppna PDF</v>
      </c>
      <c r="B846" t="s">
        <v>2450</v>
      </c>
      <c r="C846" t="s">
        <v>2453</v>
      </c>
      <c r="D846" t="s">
        <v>582</v>
      </c>
      <c r="E846" t="s">
        <v>2452</v>
      </c>
      <c r="H846" t="s">
        <v>25</v>
      </c>
      <c r="I846" t="s">
        <v>584</v>
      </c>
      <c r="J846" t="s">
        <v>38</v>
      </c>
      <c r="K846" t="s">
        <v>39</v>
      </c>
      <c r="L846" t="s">
        <v>29</v>
      </c>
      <c r="M846" t="s">
        <v>30</v>
      </c>
      <c r="N846" t="s">
        <v>31</v>
      </c>
      <c r="Q846" t="s">
        <v>2429</v>
      </c>
      <c r="R846" t="s">
        <v>2429</v>
      </c>
    </row>
    <row r="847" spans="1:18" x14ac:dyDescent="0.3">
      <c r="A847" s="2" t="str">
        <f>HYPERLINK(B847,"Oppna PDF")</f>
        <v>Oppna PDF</v>
      </c>
      <c r="B847" t="s">
        <v>2450</v>
      </c>
      <c r="C847" t="s">
        <v>2454</v>
      </c>
      <c r="D847" t="s">
        <v>582</v>
      </c>
      <c r="E847" t="s">
        <v>2452</v>
      </c>
      <c r="H847" t="s">
        <v>25</v>
      </c>
      <c r="I847" t="s">
        <v>584</v>
      </c>
      <c r="J847" t="s">
        <v>34</v>
      </c>
      <c r="K847" t="s">
        <v>35</v>
      </c>
      <c r="L847" t="s">
        <v>29</v>
      </c>
      <c r="M847" t="s">
        <v>30</v>
      </c>
      <c r="N847" t="s">
        <v>31</v>
      </c>
      <c r="Q847" t="s">
        <v>2431</v>
      </c>
      <c r="R847" t="s">
        <v>2431</v>
      </c>
    </row>
    <row r="848" spans="1:18" x14ac:dyDescent="0.3">
      <c r="A848" s="2" t="str">
        <f>HYPERLINK(B848,"Oppna PDF")</f>
        <v>Oppna PDF</v>
      </c>
      <c r="B848" t="s">
        <v>2455</v>
      </c>
      <c r="C848" t="s">
        <v>2456</v>
      </c>
      <c r="D848" t="s">
        <v>582</v>
      </c>
      <c r="E848" t="s">
        <v>2457</v>
      </c>
      <c r="H848" t="s">
        <v>25</v>
      </c>
      <c r="I848" t="s">
        <v>584</v>
      </c>
      <c r="J848" t="s">
        <v>48</v>
      </c>
      <c r="K848" t="s">
        <v>49</v>
      </c>
      <c r="L848" t="s">
        <v>29</v>
      </c>
      <c r="M848" t="s">
        <v>30</v>
      </c>
      <c r="N848" t="s">
        <v>31</v>
      </c>
      <c r="Q848" t="s">
        <v>2435</v>
      </c>
      <c r="R848" t="s">
        <v>2436</v>
      </c>
    </row>
    <row r="849" spans="1:18" x14ac:dyDescent="0.3">
      <c r="A849" s="2" t="str">
        <f>HYPERLINK(B849,"Oppna PDF")</f>
        <v>Oppna PDF</v>
      </c>
      <c r="B849" t="s">
        <v>2458</v>
      </c>
      <c r="C849" t="s">
        <v>2459</v>
      </c>
      <c r="D849" t="s">
        <v>582</v>
      </c>
      <c r="E849" t="s">
        <v>2460</v>
      </c>
      <c r="H849" t="s">
        <v>25</v>
      </c>
      <c r="I849" t="s">
        <v>584</v>
      </c>
      <c r="J849" t="s">
        <v>38</v>
      </c>
      <c r="K849" t="s">
        <v>39</v>
      </c>
      <c r="L849" t="s">
        <v>29</v>
      </c>
      <c r="M849" t="s">
        <v>30</v>
      </c>
      <c r="N849" t="s">
        <v>31</v>
      </c>
      <c r="Q849" t="s">
        <v>2440</v>
      </c>
      <c r="R849" t="s">
        <v>2440</v>
      </c>
    </row>
    <row r="850" spans="1:18" x14ac:dyDescent="0.3">
      <c r="A850" s="2" t="str">
        <f>HYPERLINK(B850,"Oppna PDF")</f>
        <v>Oppna PDF</v>
      </c>
      <c r="B850" t="s">
        <v>2461</v>
      </c>
      <c r="C850" t="s">
        <v>2462</v>
      </c>
      <c r="D850" t="s">
        <v>830</v>
      </c>
      <c r="E850" t="s">
        <v>2463</v>
      </c>
      <c r="H850" t="s">
        <v>61</v>
      </c>
      <c r="I850" t="s">
        <v>832</v>
      </c>
      <c r="J850" t="s">
        <v>38</v>
      </c>
      <c r="K850" t="s">
        <v>39</v>
      </c>
      <c r="L850" t="s">
        <v>29</v>
      </c>
      <c r="M850" t="s">
        <v>30</v>
      </c>
      <c r="N850" t="s">
        <v>31</v>
      </c>
      <c r="Q850" t="s">
        <v>1224</v>
      </c>
      <c r="R850" t="s">
        <v>1224</v>
      </c>
    </row>
    <row r="851" spans="1:18" x14ac:dyDescent="0.3">
      <c r="A851" s="2" t="str">
        <f>HYPERLINK(B851,"Oppna PDF")</f>
        <v>Oppna PDF</v>
      </c>
      <c r="B851" t="s">
        <v>2461</v>
      </c>
      <c r="C851" t="s">
        <v>2464</v>
      </c>
      <c r="D851" t="s">
        <v>830</v>
      </c>
      <c r="E851" t="s">
        <v>2463</v>
      </c>
      <c r="H851" t="s">
        <v>61</v>
      </c>
      <c r="I851" t="s">
        <v>832</v>
      </c>
      <c r="J851" t="s">
        <v>87</v>
      </c>
      <c r="K851" t="s">
        <v>88</v>
      </c>
      <c r="L851" t="s">
        <v>29</v>
      </c>
      <c r="M851" t="s">
        <v>30</v>
      </c>
      <c r="N851" t="s">
        <v>31</v>
      </c>
      <c r="Q851" t="s">
        <v>1226</v>
      </c>
      <c r="R851" t="s">
        <v>1226</v>
      </c>
    </row>
    <row r="852" spans="1:18" x14ac:dyDescent="0.3">
      <c r="A852" s="2" t="str">
        <f>HYPERLINK(B852,"Oppna PDF")</f>
        <v>Oppna PDF</v>
      </c>
      <c r="B852" t="s">
        <v>2461</v>
      </c>
      <c r="C852" t="s">
        <v>2465</v>
      </c>
      <c r="D852" t="s">
        <v>830</v>
      </c>
      <c r="E852" t="s">
        <v>2463</v>
      </c>
      <c r="H852" t="s">
        <v>61</v>
      </c>
      <c r="I852" t="s">
        <v>832</v>
      </c>
      <c r="J852" t="s">
        <v>38</v>
      </c>
      <c r="K852" t="s">
        <v>39</v>
      </c>
      <c r="L852" t="s">
        <v>29</v>
      </c>
      <c r="M852" t="s">
        <v>30</v>
      </c>
      <c r="N852" t="s">
        <v>31</v>
      </c>
      <c r="Q852" t="s">
        <v>2466</v>
      </c>
      <c r="R852" t="s">
        <v>2467</v>
      </c>
    </row>
    <row r="853" spans="1:18" x14ac:dyDescent="0.3">
      <c r="A853" s="2" t="str">
        <f>HYPERLINK(B853,"Oppna PDF")</f>
        <v>Oppna PDF</v>
      </c>
      <c r="B853" t="s">
        <v>2468</v>
      </c>
      <c r="C853" t="s">
        <v>2469</v>
      </c>
      <c r="D853" t="s">
        <v>830</v>
      </c>
      <c r="E853" t="s">
        <v>2470</v>
      </c>
      <c r="H853" t="s">
        <v>61</v>
      </c>
      <c r="I853" t="s">
        <v>832</v>
      </c>
      <c r="J853" t="s">
        <v>48</v>
      </c>
      <c r="K853" t="s">
        <v>49</v>
      </c>
      <c r="L853" t="s">
        <v>29</v>
      </c>
      <c r="M853" t="s">
        <v>30</v>
      </c>
      <c r="N853" t="s">
        <v>31</v>
      </c>
      <c r="Q853" t="s">
        <v>2471</v>
      </c>
      <c r="R853" t="s">
        <v>2472</v>
      </c>
    </row>
    <row r="854" spans="1:18" x14ac:dyDescent="0.3">
      <c r="A854" s="2" t="str">
        <f>HYPERLINK(B854,"Oppna PDF")</f>
        <v>Oppna PDF</v>
      </c>
      <c r="B854" t="s">
        <v>2468</v>
      </c>
      <c r="C854" t="s">
        <v>2473</v>
      </c>
      <c r="D854" t="s">
        <v>830</v>
      </c>
      <c r="E854" t="s">
        <v>2470</v>
      </c>
      <c r="H854" t="s">
        <v>61</v>
      </c>
      <c r="I854" t="s">
        <v>832</v>
      </c>
      <c r="J854" t="s">
        <v>27</v>
      </c>
      <c r="K854" t="s">
        <v>28</v>
      </c>
      <c r="L854" t="s">
        <v>29</v>
      </c>
      <c r="M854" t="s">
        <v>30</v>
      </c>
      <c r="N854" t="s">
        <v>31</v>
      </c>
      <c r="Q854" t="s">
        <v>2474</v>
      </c>
      <c r="R854" t="s">
        <v>2474</v>
      </c>
    </row>
    <row r="855" spans="1:18" x14ac:dyDescent="0.3">
      <c r="A855" s="2" t="str">
        <f>HYPERLINK(B855,"Oppna PDF")</f>
        <v>Oppna PDF</v>
      </c>
      <c r="B855" t="s">
        <v>2468</v>
      </c>
      <c r="C855" t="s">
        <v>2475</v>
      </c>
      <c r="D855" t="s">
        <v>830</v>
      </c>
      <c r="E855" t="s">
        <v>2470</v>
      </c>
      <c r="H855" t="s">
        <v>61</v>
      </c>
      <c r="I855" t="s">
        <v>832</v>
      </c>
      <c r="J855" t="s">
        <v>38</v>
      </c>
      <c r="K855" t="s">
        <v>39</v>
      </c>
      <c r="L855" t="s">
        <v>29</v>
      </c>
      <c r="M855" t="s">
        <v>30</v>
      </c>
      <c r="N855" t="s">
        <v>31</v>
      </c>
      <c r="Q855" t="s">
        <v>2449</v>
      </c>
      <c r="R855" t="s">
        <v>2449</v>
      </c>
    </row>
    <row r="856" spans="1:18" x14ac:dyDescent="0.3">
      <c r="A856" s="2" t="str">
        <f>HYPERLINK(B856,"Oppna PDF")</f>
        <v>Oppna PDF</v>
      </c>
      <c r="B856" t="s">
        <v>2476</v>
      </c>
      <c r="C856" t="s">
        <v>2477</v>
      </c>
      <c r="D856" t="s">
        <v>1150</v>
      </c>
      <c r="E856" t="s">
        <v>2478</v>
      </c>
      <c r="F856" t="s">
        <v>1152</v>
      </c>
      <c r="G856" t="s">
        <v>1153</v>
      </c>
      <c r="H856" t="s">
        <v>61</v>
      </c>
      <c r="I856" t="s">
        <v>1154</v>
      </c>
      <c r="J856" t="s">
        <v>48</v>
      </c>
      <c r="K856" t="s">
        <v>49</v>
      </c>
      <c r="L856" t="s">
        <v>29</v>
      </c>
      <c r="M856" t="s">
        <v>30</v>
      </c>
      <c r="N856" t="s">
        <v>31</v>
      </c>
      <c r="Q856" t="s">
        <v>1267</v>
      </c>
      <c r="R856" t="s">
        <v>1267</v>
      </c>
    </row>
    <row r="857" spans="1:18" x14ac:dyDescent="0.3">
      <c r="A857" s="2" t="str">
        <f>HYPERLINK(B857,"Oppna PDF")</f>
        <v>Oppna PDF</v>
      </c>
      <c r="B857" t="s">
        <v>2476</v>
      </c>
      <c r="C857" t="s">
        <v>2479</v>
      </c>
      <c r="D857" t="s">
        <v>1150</v>
      </c>
      <c r="E857" t="s">
        <v>2478</v>
      </c>
      <c r="F857" t="s">
        <v>1152</v>
      </c>
      <c r="G857" t="s">
        <v>1153</v>
      </c>
      <c r="H857" t="s">
        <v>61</v>
      </c>
      <c r="I857" t="s">
        <v>1154</v>
      </c>
      <c r="J857" t="s">
        <v>48</v>
      </c>
      <c r="K857" t="s">
        <v>49</v>
      </c>
      <c r="L857" t="s">
        <v>29</v>
      </c>
      <c r="M857" t="s">
        <v>30</v>
      </c>
      <c r="N857" t="s">
        <v>31</v>
      </c>
      <c r="Q857" t="s">
        <v>2480</v>
      </c>
      <c r="R857" t="s">
        <v>2480</v>
      </c>
    </row>
    <row r="858" spans="1:18" x14ac:dyDescent="0.3">
      <c r="A858" s="2" t="str">
        <f>HYPERLINK(B858,"Oppna PDF")</f>
        <v>Oppna PDF</v>
      </c>
      <c r="B858" t="s">
        <v>2476</v>
      </c>
      <c r="C858" t="s">
        <v>2481</v>
      </c>
      <c r="D858" t="s">
        <v>1150</v>
      </c>
      <c r="E858" t="s">
        <v>2478</v>
      </c>
      <c r="F858" t="s">
        <v>1152</v>
      </c>
      <c r="G858" t="s">
        <v>1153</v>
      </c>
      <c r="H858" t="s">
        <v>61</v>
      </c>
      <c r="I858" t="s">
        <v>1154</v>
      </c>
      <c r="J858" t="s">
        <v>34</v>
      </c>
      <c r="K858" t="s">
        <v>35</v>
      </c>
      <c r="L858" t="s">
        <v>29</v>
      </c>
      <c r="M858" t="s">
        <v>30</v>
      </c>
      <c r="N858" t="s">
        <v>31</v>
      </c>
      <c r="Q858" t="s">
        <v>2482</v>
      </c>
      <c r="R858" t="s">
        <v>2482</v>
      </c>
    </row>
    <row r="859" spans="1:18" x14ac:dyDescent="0.3">
      <c r="A859" s="2" t="str">
        <f>HYPERLINK(B859,"Oppna PDF")</f>
        <v>Oppna PDF</v>
      </c>
      <c r="B859" t="s">
        <v>2483</v>
      </c>
      <c r="C859" t="s">
        <v>2484</v>
      </c>
      <c r="D859" t="s">
        <v>1150</v>
      </c>
      <c r="E859" t="s">
        <v>2485</v>
      </c>
      <c r="F859" t="s">
        <v>1152</v>
      </c>
      <c r="G859" t="s">
        <v>1153</v>
      </c>
      <c r="H859" t="s">
        <v>61</v>
      </c>
      <c r="I859" t="s">
        <v>1154</v>
      </c>
      <c r="J859" t="s">
        <v>27</v>
      </c>
      <c r="K859" t="s">
        <v>28</v>
      </c>
      <c r="L859" t="s">
        <v>142</v>
      </c>
      <c r="M859" t="s">
        <v>30</v>
      </c>
      <c r="N859" t="s">
        <v>31</v>
      </c>
      <c r="Q859" t="s">
        <v>2486</v>
      </c>
      <c r="R859" t="s">
        <v>2487</v>
      </c>
    </row>
    <row r="860" spans="1:18" x14ac:dyDescent="0.3">
      <c r="A860" s="2" t="str">
        <f>HYPERLINK(B860,"Oppna PDF")</f>
        <v>Oppna PDF</v>
      </c>
      <c r="B860" t="s">
        <v>2483</v>
      </c>
      <c r="C860" t="s">
        <v>2488</v>
      </c>
      <c r="D860" t="s">
        <v>1150</v>
      </c>
      <c r="E860" t="s">
        <v>2485</v>
      </c>
      <c r="F860" t="s">
        <v>1152</v>
      </c>
      <c r="G860" t="s">
        <v>1153</v>
      </c>
      <c r="H860" t="s">
        <v>61</v>
      </c>
      <c r="I860" t="s">
        <v>1154</v>
      </c>
      <c r="J860" t="s">
        <v>1293</v>
      </c>
      <c r="K860" t="s">
        <v>1294</v>
      </c>
      <c r="L860" t="s">
        <v>29</v>
      </c>
      <c r="M860" t="s">
        <v>30</v>
      </c>
      <c r="N860" t="s">
        <v>31</v>
      </c>
      <c r="Q860" t="s">
        <v>1295</v>
      </c>
      <c r="R860" t="s">
        <v>1295</v>
      </c>
    </row>
    <row r="861" spans="1:18" x14ac:dyDescent="0.3">
      <c r="A861" s="2" t="str">
        <f>HYPERLINK(B861,"Oppna PDF")</f>
        <v>Oppna PDF</v>
      </c>
      <c r="B861" t="s">
        <v>2489</v>
      </c>
      <c r="C861" t="s">
        <v>2490</v>
      </c>
      <c r="D861" t="s">
        <v>1150</v>
      </c>
      <c r="E861" t="s">
        <v>2491</v>
      </c>
      <c r="F861" t="s">
        <v>1152</v>
      </c>
      <c r="G861" t="s">
        <v>1153</v>
      </c>
      <c r="H861" t="s">
        <v>61</v>
      </c>
      <c r="I861" t="s">
        <v>1154</v>
      </c>
      <c r="J861" t="s">
        <v>38</v>
      </c>
      <c r="K861" t="s">
        <v>39</v>
      </c>
      <c r="L861" t="s">
        <v>29</v>
      </c>
      <c r="M861" t="s">
        <v>30</v>
      </c>
      <c r="N861" t="s">
        <v>31</v>
      </c>
      <c r="Q861" t="s">
        <v>2492</v>
      </c>
      <c r="R861" t="s">
        <v>2492</v>
      </c>
    </row>
    <row r="862" spans="1:18" x14ac:dyDescent="0.3">
      <c r="A862" s="2" t="str">
        <f>HYPERLINK(B862,"Oppna PDF")</f>
        <v>Oppna PDF</v>
      </c>
      <c r="B862" t="s">
        <v>2489</v>
      </c>
      <c r="C862" t="s">
        <v>2493</v>
      </c>
      <c r="D862" t="s">
        <v>1150</v>
      </c>
      <c r="E862" t="s">
        <v>2491</v>
      </c>
      <c r="F862" t="s">
        <v>1152</v>
      </c>
      <c r="G862" t="s">
        <v>1153</v>
      </c>
      <c r="H862" t="s">
        <v>61</v>
      </c>
      <c r="I862" t="s">
        <v>1154</v>
      </c>
      <c r="J862" t="s">
        <v>38</v>
      </c>
      <c r="K862" t="s">
        <v>39</v>
      </c>
      <c r="L862" t="s">
        <v>29</v>
      </c>
      <c r="M862" t="s">
        <v>30</v>
      </c>
      <c r="N862" t="s">
        <v>31</v>
      </c>
      <c r="Q862" t="s">
        <v>2494</v>
      </c>
      <c r="R862" t="s">
        <v>2494</v>
      </c>
    </row>
    <row r="863" spans="1:18" x14ac:dyDescent="0.3">
      <c r="A863" s="2" t="str">
        <f>HYPERLINK(B863,"Oppna PDF")</f>
        <v>Oppna PDF</v>
      </c>
      <c r="B863" t="s">
        <v>2489</v>
      </c>
      <c r="C863" t="s">
        <v>2495</v>
      </c>
      <c r="D863" t="s">
        <v>1150</v>
      </c>
      <c r="E863" t="s">
        <v>2491</v>
      </c>
      <c r="F863" t="s">
        <v>1152</v>
      </c>
      <c r="G863" t="s">
        <v>1153</v>
      </c>
      <c r="H863" t="s">
        <v>61</v>
      </c>
      <c r="I863" t="s">
        <v>1154</v>
      </c>
      <c r="J863" t="s">
        <v>27</v>
      </c>
      <c r="K863" t="s">
        <v>28</v>
      </c>
      <c r="L863" t="s">
        <v>29</v>
      </c>
      <c r="M863" t="s">
        <v>30</v>
      </c>
      <c r="N863" t="s">
        <v>31</v>
      </c>
      <c r="Q863" t="s">
        <v>2496</v>
      </c>
      <c r="R863" t="s">
        <v>2496</v>
      </c>
    </row>
    <row r="864" spans="1:18" x14ac:dyDescent="0.3">
      <c r="A864" s="2" t="str">
        <f>HYPERLINK(B864,"Oppna PDF")</f>
        <v>Oppna PDF</v>
      </c>
      <c r="B864" t="s">
        <v>2497</v>
      </c>
      <c r="C864" t="s">
        <v>2498</v>
      </c>
      <c r="D864" t="s">
        <v>622</v>
      </c>
      <c r="E864" t="s">
        <v>2499</v>
      </c>
      <c r="H864" t="s">
        <v>61</v>
      </c>
      <c r="I864" t="s">
        <v>624</v>
      </c>
      <c r="J864" t="s">
        <v>34</v>
      </c>
      <c r="K864" t="s">
        <v>35</v>
      </c>
      <c r="L864" t="s">
        <v>29</v>
      </c>
      <c r="M864" t="s">
        <v>30</v>
      </c>
      <c r="N864" t="s">
        <v>31</v>
      </c>
      <c r="Q864" t="s">
        <v>2500</v>
      </c>
      <c r="R864" t="s">
        <v>2500</v>
      </c>
    </row>
    <row r="865" spans="1:18" x14ac:dyDescent="0.3">
      <c r="A865" s="2" t="str">
        <f>HYPERLINK(B865,"Oppna PDF")</f>
        <v>Oppna PDF</v>
      </c>
      <c r="B865" t="s">
        <v>2497</v>
      </c>
      <c r="C865" t="s">
        <v>2501</v>
      </c>
      <c r="D865" t="s">
        <v>622</v>
      </c>
      <c r="E865" t="s">
        <v>2499</v>
      </c>
      <c r="H865" t="s">
        <v>61</v>
      </c>
      <c r="I865" t="s">
        <v>624</v>
      </c>
      <c r="J865" t="s">
        <v>38</v>
      </c>
      <c r="K865" t="s">
        <v>39</v>
      </c>
      <c r="L865" t="s">
        <v>29</v>
      </c>
      <c r="M865" t="s">
        <v>30</v>
      </c>
      <c r="N865" t="s">
        <v>31</v>
      </c>
      <c r="Q865" t="s">
        <v>2502</v>
      </c>
      <c r="R865" t="s">
        <v>2502</v>
      </c>
    </row>
    <row r="866" spans="1:18" x14ac:dyDescent="0.3">
      <c r="A866" s="2" t="str">
        <f>HYPERLINK(B866,"Oppna PDF")</f>
        <v>Oppna PDF</v>
      </c>
      <c r="B866" t="s">
        <v>2497</v>
      </c>
      <c r="C866" t="s">
        <v>2503</v>
      </c>
      <c r="D866" t="s">
        <v>622</v>
      </c>
      <c r="E866" t="s">
        <v>2499</v>
      </c>
      <c r="H866" t="s">
        <v>61</v>
      </c>
      <c r="I866" t="s">
        <v>624</v>
      </c>
      <c r="J866" t="s">
        <v>48</v>
      </c>
      <c r="K866" t="s">
        <v>49</v>
      </c>
      <c r="L866" t="s">
        <v>29</v>
      </c>
      <c r="M866" t="s">
        <v>30</v>
      </c>
      <c r="N866" t="s">
        <v>31</v>
      </c>
      <c r="Q866" t="s">
        <v>2504</v>
      </c>
      <c r="R866" t="s">
        <v>2504</v>
      </c>
    </row>
    <row r="867" spans="1:18" x14ac:dyDescent="0.3">
      <c r="A867" s="2" t="str">
        <f>HYPERLINK(B867,"Oppna PDF")</f>
        <v>Oppna PDF</v>
      </c>
      <c r="B867" t="s">
        <v>2505</v>
      </c>
      <c r="C867" t="s">
        <v>2506</v>
      </c>
      <c r="D867" t="s">
        <v>1150</v>
      </c>
      <c r="E867" t="s">
        <v>2507</v>
      </c>
      <c r="F867" t="s">
        <v>1152</v>
      </c>
      <c r="G867" t="s">
        <v>1153</v>
      </c>
      <c r="H867" t="s">
        <v>61</v>
      </c>
      <c r="I867" t="s">
        <v>1154</v>
      </c>
      <c r="J867" t="s">
        <v>38</v>
      </c>
      <c r="K867" t="s">
        <v>39</v>
      </c>
      <c r="L867" t="s">
        <v>29</v>
      </c>
      <c r="M867" t="s">
        <v>30</v>
      </c>
      <c r="N867" t="s">
        <v>31</v>
      </c>
      <c r="Q867" t="s">
        <v>2508</v>
      </c>
      <c r="R867" t="s">
        <v>2508</v>
      </c>
    </row>
    <row r="868" spans="1:18" x14ac:dyDescent="0.3">
      <c r="A868" s="2" t="str">
        <f>HYPERLINK(B868,"Oppna PDF")</f>
        <v>Oppna PDF</v>
      </c>
      <c r="B868" t="s">
        <v>2505</v>
      </c>
      <c r="C868" t="s">
        <v>2509</v>
      </c>
      <c r="D868" t="s">
        <v>1150</v>
      </c>
      <c r="E868" t="s">
        <v>2507</v>
      </c>
      <c r="F868" t="s">
        <v>1152</v>
      </c>
      <c r="G868" t="s">
        <v>1153</v>
      </c>
      <c r="H868" t="s">
        <v>61</v>
      </c>
      <c r="I868" t="s">
        <v>1154</v>
      </c>
      <c r="J868" t="s">
        <v>27</v>
      </c>
      <c r="K868" t="s">
        <v>28</v>
      </c>
      <c r="L868" t="s">
        <v>29</v>
      </c>
      <c r="M868" t="s">
        <v>30</v>
      </c>
      <c r="N868" t="s">
        <v>31</v>
      </c>
      <c r="Q868" t="s">
        <v>2510</v>
      </c>
      <c r="R868" t="s">
        <v>2510</v>
      </c>
    </row>
    <row r="869" spans="1:18" x14ac:dyDescent="0.3">
      <c r="A869" s="2" t="str">
        <f>HYPERLINK(B869,"Oppna PDF")</f>
        <v>Oppna PDF</v>
      </c>
      <c r="B869" t="s">
        <v>2505</v>
      </c>
      <c r="C869" t="s">
        <v>2511</v>
      </c>
      <c r="D869" t="s">
        <v>1150</v>
      </c>
      <c r="E869" t="s">
        <v>2507</v>
      </c>
      <c r="F869" t="s">
        <v>1152</v>
      </c>
      <c r="G869" t="s">
        <v>1153</v>
      </c>
      <c r="H869" t="s">
        <v>61</v>
      </c>
      <c r="I869" t="s">
        <v>1154</v>
      </c>
      <c r="J869" t="s">
        <v>48</v>
      </c>
      <c r="K869" t="s">
        <v>49</v>
      </c>
      <c r="L869" t="s">
        <v>142</v>
      </c>
      <c r="M869" t="s">
        <v>30</v>
      </c>
      <c r="N869" t="s">
        <v>31</v>
      </c>
      <c r="Q869" t="s">
        <v>2512</v>
      </c>
      <c r="R869" t="s">
        <v>2512</v>
      </c>
    </row>
    <row r="870" spans="1:18" x14ac:dyDescent="0.3">
      <c r="A870" s="2" t="str">
        <f>HYPERLINK(B870,"Oppna PDF")</f>
        <v>Oppna PDF</v>
      </c>
      <c r="B870" t="s">
        <v>2513</v>
      </c>
      <c r="C870" t="s">
        <v>2514</v>
      </c>
      <c r="D870" t="s">
        <v>622</v>
      </c>
      <c r="E870" t="s">
        <v>2515</v>
      </c>
      <c r="H870" t="s">
        <v>61</v>
      </c>
      <c r="I870" t="s">
        <v>624</v>
      </c>
      <c r="J870" t="s">
        <v>87</v>
      </c>
      <c r="K870" t="s">
        <v>88</v>
      </c>
      <c r="L870" t="s">
        <v>29</v>
      </c>
      <c r="M870" t="s">
        <v>30</v>
      </c>
      <c r="N870" t="s">
        <v>31</v>
      </c>
      <c r="Q870" t="s">
        <v>2516</v>
      </c>
      <c r="R870" t="s">
        <v>2516</v>
      </c>
    </row>
    <row r="871" spans="1:18" x14ac:dyDescent="0.3">
      <c r="A871" s="2" t="str">
        <f>HYPERLINK(B871,"Oppna PDF")</f>
        <v>Oppna PDF</v>
      </c>
      <c r="B871" t="s">
        <v>2513</v>
      </c>
      <c r="C871" t="s">
        <v>2517</v>
      </c>
      <c r="D871" t="s">
        <v>622</v>
      </c>
      <c r="E871" t="s">
        <v>2515</v>
      </c>
      <c r="H871" t="s">
        <v>61</v>
      </c>
      <c r="I871" t="s">
        <v>624</v>
      </c>
      <c r="J871" t="s">
        <v>87</v>
      </c>
      <c r="K871" t="s">
        <v>88</v>
      </c>
      <c r="L871" t="s">
        <v>29</v>
      </c>
      <c r="M871" t="s">
        <v>30</v>
      </c>
      <c r="N871" t="s">
        <v>31</v>
      </c>
      <c r="Q871" t="s">
        <v>2518</v>
      </c>
      <c r="R871" t="s">
        <v>2519</v>
      </c>
    </row>
    <row r="872" spans="1:18" x14ac:dyDescent="0.3">
      <c r="A872" s="2" t="str">
        <f>HYPERLINK(B872,"Oppna PDF")</f>
        <v>Oppna PDF</v>
      </c>
      <c r="B872" t="s">
        <v>2513</v>
      </c>
      <c r="C872" t="s">
        <v>2520</v>
      </c>
      <c r="D872" t="s">
        <v>622</v>
      </c>
      <c r="E872" t="s">
        <v>2515</v>
      </c>
      <c r="H872" t="s">
        <v>61</v>
      </c>
      <c r="I872" t="s">
        <v>624</v>
      </c>
      <c r="J872" t="s">
        <v>48</v>
      </c>
      <c r="K872" t="s">
        <v>49</v>
      </c>
      <c r="L872" t="s">
        <v>29</v>
      </c>
      <c r="M872" t="s">
        <v>30</v>
      </c>
      <c r="N872" t="s">
        <v>31</v>
      </c>
      <c r="Q872" t="s">
        <v>2521</v>
      </c>
      <c r="R872" t="s">
        <v>2521</v>
      </c>
    </row>
    <row r="873" spans="1:18" x14ac:dyDescent="0.3">
      <c r="A873" s="2" t="str">
        <f>HYPERLINK(B873,"Oppna PDF")</f>
        <v>Oppna PDF</v>
      </c>
      <c r="B873" t="s">
        <v>2522</v>
      </c>
      <c r="C873" t="s">
        <v>2523</v>
      </c>
      <c r="D873" t="s">
        <v>622</v>
      </c>
      <c r="E873" t="s">
        <v>2524</v>
      </c>
      <c r="H873" t="s">
        <v>61</v>
      </c>
      <c r="I873" t="s">
        <v>624</v>
      </c>
      <c r="J873" t="s">
        <v>87</v>
      </c>
      <c r="K873" t="s">
        <v>88</v>
      </c>
      <c r="L873" t="s">
        <v>29</v>
      </c>
      <c r="M873" t="s">
        <v>30</v>
      </c>
      <c r="N873" t="s">
        <v>31</v>
      </c>
      <c r="Q873" t="s">
        <v>425</v>
      </c>
      <c r="R873" t="s">
        <v>426</v>
      </c>
    </row>
    <row r="874" spans="1:18" x14ac:dyDescent="0.3">
      <c r="A874" s="2" t="str">
        <f>HYPERLINK(B874,"Oppna PDF")</f>
        <v>Oppna PDF</v>
      </c>
      <c r="B874" t="s">
        <v>2522</v>
      </c>
      <c r="C874" t="s">
        <v>2525</v>
      </c>
      <c r="D874" t="s">
        <v>622</v>
      </c>
      <c r="E874" t="s">
        <v>2524</v>
      </c>
      <c r="H874" t="s">
        <v>61</v>
      </c>
      <c r="I874" t="s">
        <v>624</v>
      </c>
      <c r="J874" t="s">
        <v>87</v>
      </c>
      <c r="K874" t="s">
        <v>88</v>
      </c>
      <c r="L874" t="s">
        <v>300</v>
      </c>
      <c r="M874" t="s">
        <v>30</v>
      </c>
      <c r="N874" t="s">
        <v>31</v>
      </c>
      <c r="Q874" t="s">
        <v>428</v>
      </c>
      <c r="R874" t="s">
        <v>428</v>
      </c>
    </row>
    <row r="875" spans="1:18" x14ac:dyDescent="0.3">
      <c r="A875" s="2" t="str">
        <f>HYPERLINK(B875,"Oppna PDF")</f>
        <v>Oppna PDF</v>
      </c>
      <c r="B875" t="s">
        <v>2522</v>
      </c>
      <c r="C875" t="s">
        <v>2526</v>
      </c>
      <c r="D875" t="s">
        <v>622</v>
      </c>
      <c r="E875" t="s">
        <v>2524</v>
      </c>
      <c r="H875" t="s">
        <v>61</v>
      </c>
      <c r="I875" t="s">
        <v>624</v>
      </c>
      <c r="J875" t="s">
        <v>87</v>
      </c>
      <c r="K875" t="s">
        <v>88</v>
      </c>
      <c r="L875" t="s">
        <v>29</v>
      </c>
      <c r="M875" t="s">
        <v>30</v>
      </c>
      <c r="N875" t="s">
        <v>31</v>
      </c>
      <c r="Q875" t="s">
        <v>430</v>
      </c>
      <c r="R875" t="s">
        <v>430</v>
      </c>
    </row>
    <row r="876" spans="1:18" x14ac:dyDescent="0.3">
      <c r="A876" s="2" t="str">
        <f>HYPERLINK(B876,"Oppna PDF")</f>
        <v>Oppna PDF</v>
      </c>
      <c r="B876" t="s">
        <v>2527</v>
      </c>
      <c r="C876" t="s">
        <v>2528</v>
      </c>
      <c r="D876" t="s">
        <v>622</v>
      </c>
      <c r="E876" t="s">
        <v>2529</v>
      </c>
      <c r="H876" t="s">
        <v>61</v>
      </c>
      <c r="I876" t="s">
        <v>624</v>
      </c>
      <c r="J876" t="s">
        <v>87</v>
      </c>
      <c r="K876" t="s">
        <v>88</v>
      </c>
      <c r="L876" t="s">
        <v>29</v>
      </c>
      <c r="M876" t="s">
        <v>30</v>
      </c>
      <c r="N876" t="s">
        <v>31</v>
      </c>
      <c r="Q876" t="s">
        <v>2516</v>
      </c>
      <c r="R876" t="s">
        <v>2516</v>
      </c>
    </row>
    <row r="877" spans="1:18" x14ac:dyDescent="0.3">
      <c r="A877" s="2" t="str">
        <f>HYPERLINK(B877,"Oppna PDF")</f>
        <v>Oppna PDF</v>
      </c>
      <c r="B877" t="s">
        <v>2527</v>
      </c>
      <c r="C877" t="s">
        <v>2530</v>
      </c>
      <c r="D877" t="s">
        <v>622</v>
      </c>
      <c r="E877" t="s">
        <v>2529</v>
      </c>
      <c r="H877" t="s">
        <v>61</v>
      </c>
      <c r="I877" t="s">
        <v>624</v>
      </c>
      <c r="J877" t="s">
        <v>87</v>
      </c>
      <c r="K877" t="s">
        <v>88</v>
      </c>
      <c r="L877" t="s">
        <v>29</v>
      </c>
      <c r="M877" t="s">
        <v>30</v>
      </c>
      <c r="N877" t="s">
        <v>31</v>
      </c>
      <c r="Q877" t="s">
        <v>2531</v>
      </c>
      <c r="R877" t="s">
        <v>2532</v>
      </c>
    </row>
    <row r="878" spans="1:18" x14ac:dyDescent="0.3">
      <c r="A878" s="2" t="str">
        <f>HYPERLINK(B878,"Oppna PDF")</f>
        <v>Oppna PDF</v>
      </c>
      <c r="B878" t="s">
        <v>2527</v>
      </c>
      <c r="C878" t="s">
        <v>2533</v>
      </c>
      <c r="D878" t="s">
        <v>622</v>
      </c>
      <c r="E878" t="s">
        <v>2529</v>
      </c>
      <c r="H878" t="s">
        <v>61</v>
      </c>
      <c r="I878" t="s">
        <v>624</v>
      </c>
      <c r="J878" t="s">
        <v>34</v>
      </c>
      <c r="K878" t="s">
        <v>35</v>
      </c>
      <c r="L878" t="s">
        <v>29</v>
      </c>
      <c r="M878" t="s">
        <v>30</v>
      </c>
      <c r="N878" t="s">
        <v>31</v>
      </c>
      <c r="Q878" t="s">
        <v>2534</v>
      </c>
      <c r="R878" t="s">
        <v>2535</v>
      </c>
    </row>
    <row r="879" spans="1:18" x14ac:dyDescent="0.3">
      <c r="A879" s="2" t="str">
        <f>HYPERLINK(B879,"Oppna PDF")</f>
        <v>Oppna PDF</v>
      </c>
      <c r="B879" t="s">
        <v>2536</v>
      </c>
      <c r="C879" t="s">
        <v>2537</v>
      </c>
      <c r="D879" t="s">
        <v>622</v>
      </c>
      <c r="E879" t="s">
        <v>2538</v>
      </c>
      <c r="H879" t="s">
        <v>61</v>
      </c>
      <c r="I879" t="s">
        <v>624</v>
      </c>
      <c r="J879" t="s">
        <v>87</v>
      </c>
      <c r="K879" t="s">
        <v>88</v>
      </c>
      <c r="L879" t="s">
        <v>29</v>
      </c>
      <c r="M879" t="s">
        <v>30</v>
      </c>
      <c r="N879" t="s">
        <v>31</v>
      </c>
      <c r="Q879" t="s">
        <v>625</v>
      </c>
      <c r="R879" t="s">
        <v>625</v>
      </c>
    </row>
    <row r="880" spans="1:18" x14ac:dyDescent="0.3">
      <c r="A880" s="2" t="str">
        <f>HYPERLINK(B880,"Oppna PDF")</f>
        <v>Oppna PDF</v>
      </c>
      <c r="B880" t="s">
        <v>2536</v>
      </c>
      <c r="C880" t="s">
        <v>2539</v>
      </c>
      <c r="D880" t="s">
        <v>622</v>
      </c>
      <c r="E880" t="s">
        <v>2538</v>
      </c>
      <c r="H880" t="s">
        <v>61</v>
      </c>
      <c r="I880" t="s">
        <v>624</v>
      </c>
      <c r="J880" t="s">
        <v>34</v>
      </c>
      <c r="K880" t="s">
        <v>35</v>
      </c>
      <c r="L880" t="s">
        <v>29</v>
      </c>
      <c r="M880" t="s">
        <v>30</v>
      </c>
      <c r="N880" t="s">
        <v>31</v>
      </c>
      <c r="Q880" t="s">
        <v>627</v>
      </c>
      <c r="R880" t="s">
        <v>627</v>
      </c>
    </row>
    <row r="881" spans="1:18" x14ac:dyDescent="0.3">
      <c r="A881" s="2" t="str">
        <f>HYPERLINK(B881,"Oppna PDF")</f>
        <v>Oppna PDF</v>
      </c>
      <c r="B881" t="s">
        <v>2536</v>
      </c>
      <c r="C881" t="s">
        <v>2540</v>
      </c>
      <c r="D881" t="s">
        <v>622</v>
      </c>
      <c r="E881" t="s">
        <v>2538</v>
      </c>
      <c r="H881" t="s">
        <v>61</v>
      </c>
      <c r="I881" t="s">
        <v>624</v>
      </c>
      <c r="J881" t="s">
        <v>87</v>
      </c>
      <c r="K881" t="s">
        <v>88</v>
      </c>
      <c r="L881" t="s">
        <v>29</v>
      </c>
      <c r="M881" t="s">
        <v>30</v>
      </c>
      <c r="N881" t="s">
        <v>31</v>
      </c>
      <c r="Q881" t="s">
        <v>629</v>
      </c>
      <c r="R881" t="s">
        <v>629</v>
      </c>
    </row>
    <row r="882" spans="1:18" x14ac:dyDescent="0.3">
      <c r="A882" s="2" t="str">
        <f>HYPERLINK(B882,"Oppna PDF")</f>
        <v>Oppna PDF</v>
      </c>
      <c r="B882" t="s">
        <v>2541</v>
      </c>
      <c r="C882" t="s">
        <v>2542</v>
      </c>
      <c r="D882" t="s">
        <v>1150</v>
      </c>
      <c r="E882" t="s">
        <v>2543</v>
      </c>
      <c r="F882" t="s">
        <v>1152</v>
      </c>
      <c r="G882" t="s">
        <v>1153</v>
      </c>
      <c r="H882" t="s">
        <v>61</v>
      </c>
      <c r="I882" t="s">
        <v>1154</v>
      </c>
      <c r="J882" t="s">
        <v>91</v>
      </c>
      <c r="K882" t="s">
        <v>92</v>
      </c>
      <c r="L882" t="s">
        <v>29</v>
      </c>
      <c r="M882" t="s">
        <v>30</v>
      </c>
      <c r="N882" t="s">
        <v>31</v>
      </c>
      <c r="Q882" t="s">
        <v>2544</v>
      </c>
      <c r="R882" t="s">
        <v>2544</v>
      </c>
    </row>
    <row r="883" spans="1:18" x14ac:dyDescent="0.3">
      <c r="A883" s="2" t="str">
        <f>HYPERLINK(B883,"Oppna PDF")</f>
        <v>Oppna PDF</v>
      </c>
      <c r="B883" t="s">
        <v>2541</v>
      </c>
      <c r="C883" t="s">
        <v>2545</v>
      </c>
      <c r="D883" t="s">
        <v>1150</v>
      </c>
      <c r="E883" t="s">
        <v>2543</v>
      </c>
      <c r="F883" t="s">
        <v>1152</v>
      </c>
      <c r="G883" t="s">
        <v>1153</v>
      </c>
      <c r="H883" t="s">
        <v>61</v>
      </c>
      <c r="I883" t="s">
        <v>1154</v>
      </c>
      <c r="J883" t="s">
        <v>48</v>
      </c>
      <c r="K883" t="s">
        <v>49</v>
      </c>
      <c r="L883" t="s">
        <v>29</v>
      </c>
      <c r="M883" t="s">
        <v>30</v>
      </c>
      <c r="N883" t="s">
        <v>31</v>
      </c>
      <c r="Q883" t="s">
        <v>2546</v>
      </c>
      <c r="R883" t="s">
        <v>2546</v>
      </c>
    </row>
    <row r="884" spans="1:18" x14ac:dyDescent="0.3">
      <c r="A884" s="2" t="str">
        <f>HYPERLINK(B884,"Oppna PDF")</f>
        <v>Oppna PDF</v>
      </c>
      <c r="B884" t="s">
        <v>2541</v>
      </c>
      <c r="C884" t="s">
        <v>2547</v>
      </c>
      <c r="D884" t="s">
        <v>1150</v>
      </c>
      <c r="E884" t="s">
        <v>2543</v>
      </c>
      <c r="F884" t="s">
        <v>1152</v>
      </c>
      <c r="G884" t="s">
        <v>1153</v>
      </c>
      <c r="H884" t="s">
        <v>61</v>
      </c>
      <c r="I884" t="s">
        <v>1154</v>
      </c>
      <c r="J884" t="s">
        <v>34</v>
      </c>
      <c r="K884" t="s">
        <v>35</v>
      </c>
      <c r="L884" t="s">
        <v>29</v>
      </c>
      <c r="M884" t="s">
        <v>30</v>
      </c>
      <c r="N884" t="s">
        <v>31</v>
      </c>
      <c r="Q884" t="s">
        <v>2548</v>
      </c>
      <c r="R884" t="s">
        <v>2548</v>
      </c>
    </row>
    <row r="885" spans="1:18" x14ac:dyDescent="0.3">
      <c r="A885" s="2" t="str">
        <f>HYPERLINK(B885,"Oppna PDF")</f>
        <v>Oppna PDF</v>
      </c>
      <c r="B885" t="s">
        <v>2549</v>
      </c>
      <c r="C885" t="s">
        <v>2550</v>
      </c>
      <c r="D885" t="s">
        <v>2551</v>
      </c>
      <c r="E885" t="s">
        <v>2552</v>
      </c>
      <c r="H885" t="s">
        <v>61</v>
      </c>
      <c r="I885" t="s">
        <v>972</v>
      </c>
      <c r="J885" t="s">
        <v>27</v>
      </c>
      <c r="K885" t="s">
        <v>28</v>
      </c>
      <c r="L885" t="s">
        <v>29</v>
      </c>
      <c r="M885" t="s">
        <v>30</v>
      </c>
      <c r="N885" t="s">
        <v>31</v>
      </c>
      <c r="Q885" t="s">
        <v>973</v>
      </c>
      <c r="R885" t="s">
        <v>973</v>
      </c>
    </row>
    <row r="886" spans="1:18" x14ac:dyDescent="0.3">
      <c r="A886" s="2" t="str">
        <f>HYPERLINK(B886,"Oppna PDF")</f>
        <v>Oppna PDF</v>
      </c>
      <c r="B886" t="s">
        <v>2553</v>
      </c>
      <c r="C886" t="s">
        <v>2554</v>
      </c>
      <c r="D886" t="s">
        <v>422</v>
      </c>
      <c r="E886" t="s">
        <v>2555</v>
      </c>
      <c r="H886" t="s">
        <v>61</v>
      </c>
      <c r="I886" t="s">
        <v>424</v>
      </c>
      <c r="J886" t="s">
        <v>34</v>
      </c>
      <c r="K886" t="s">
        <v>35</v>
      </c>
      <c r="L886" t="s">
        <v>29</v>
      </c>
      <c r="M886" t="s">
        <v>30</v>
      </c>
      <c r="N886" t="s">
        <v>31</v>
      </c>
      <c r="Q886" t="s">
        <v>2500</v>
      </c>
      <c r="R886" t="s">
        <v>2500</v>
      </c>
    </row>
    <row r="887" spans="1:18" x14ac:dyDescent="0.3">
      <c r="A887" s="2" t="str">
        <f>HYPERLINK(B887,"Oppna PDF")</f>
        <v>Oppna PDF</v>
      </c>
      <c r="B887" t="s">
        <v>2553</v>
      </c>
      <c r="C887" t="s">
        <v>2556</v>
      </c>
      <c r="D887" t="s">
        <v>422</v>
      </c>
      <c r="E887" t="s">
        <v>2555</v>
      </c>
      <c r="H887" t="s">
        <v>61</v>
      </c>
      <c r="I887" t="s">
        <v>424</v>
      </c>
      <c r="J887" t="s">
        <v>38</v>
      </c>
      <c r="K887" t="s">
        <v>39</v>
      </c>
      <c r="L887" t="s">
        <v>29</v>
      </c>
      <c r="M887" t="s">
        <v>30</v>
      </c>
      <c r="N887" t="s">
        <v>31</v>
      </c>
      <c r="Q887" t="s">
        <v>2502</v>
      </c>
      <c r="R887" t="s">
        <v>2502</v>
      </c>
    </row>
    <row r="888" spans="1:18" x14ac:dyDescent="0.3">
      <c r="A888" s="2" t="str">
        <f>HYPERLINK(B888,"Oppna PDF")</f>
        <v>Oppna PDF</v>
      </c>
      <c r="B888" t="s">
        <v>2553</v>
      </c>
      <c r="C888" t="s">
        <v>2557</v>
      </c>
      <c r="D888" t="s">
        <v>422</v>
      </c>
      <c r="E888" t="s">
        <v>2555</v>
      </c>
      <c r="H888" t="s">
        <v>61</v>
      </c>
      <c r="I888" t="s">
        <v>424</v>
      </c>
      <c r="J888" t="s">
        <v>48</v>
      </c>
      <c r="K888" t="s">
        <v>49</v>
      </c>
      <c r="L888" t="s">
        <v>29</v>
      </c>
      <c r="M888" t="s">
        <v>30</v>
      </c>
      <c r="N888" t="s">
        <v>31</v>
      </c>
      <c r="Q888" t="s">
        <v>2504</v>
      </c>
      <c r="R888" t="s">
        <v>2504</v>
      </c>
    </row>
    <row r="889" spans="1:18" x14ac:dyDescent="0.3">
      <c r="A889" s="2" t="str">
        <f>HYPERLINK(B889,"Oppna PDF")</f>
        <v>Oppna PDF</v>
      </c>
      <c r="B889" t="s">
        <v>2558</v>
      </c>
      <c r="C889" t="s">
        <v>2559</v>
      </c>
      <c r="D889" t="s">
        <v>422</v>
      </c>
      <c r="E889" t="s">
        <v>2560</v>
      </c>
      <c r="H889" t="s">
        <v>61</v>
      </c>
      <c r="I889" t="s">
        <v>424</v>
      </c>
      <c r="J889" t="s">
        <v>87</v>
      </c>
      <c r="K889" t="s">
        <v>88</v>
      </c>
      <c r="L889" t="s">
        <v>29</v>
      </c>
      <c r="M889" t="s">
        <v>30</v>
      </c>
      <c r="N889" t="s">
        <v>31</v>
      </c>
      <c r="Q889" t="s">
        <v>1086</v>
      </c>
      <c r="R889" t="s">
        <v>1087</v>
      </c>
    </row>
    <row r="890" spans="1:18" x14ac:dyDescent="0.3">
      <c r="A890" s="2" t="str">
        <f>HYPERLINK(B890,"Oppna PDF")</f>
        <v>Oppna PDF</v>
      </c>
      <c r="B890" t="s">
        <v>2558</v>
      </c>
      <c r="C890" t="s">
        <v>2561</v>
      </c>
      <c r="D890" t="s">
        <v>422</v>
      </c>
      <c r="E890" t="s">
        <v>2560</v>
      </c>
      <c r="H890" t="s">
        <v>61</v>
      </c>
      <c r="I890" t="s">
        <v>424</v>
      </c>
      <c r="J890" t="s">
        <v>87</v>
      </c>
      <c r="K890" t="s">
        <v>88</v>
      </c>
      <c r="L890" t="s">
        <v>300</v>
      </c>
      <c r="M890" t="s">
        <v>30</v>
      </c>
      <c r="N890" t="s">
        <v>31</v>
      </c>
      <c r="Q890" t="s">
        <v>428</v>
      </c>
      <c r="R890" t="s">
        <v>428</v>
      </c>
    </row>
    <row r="891" spans="1:18" x14ac:dyDescent="0.3">
      <c r="A891" s="2" t="str">
        <f>HYPERLINK(B891,"Oppna PDF")</f>
        <v>Oppna PDF</v>
      </c>
      <c r="B891" t="s">
        <v>2558</v>
      </c>
      <c r="C891" t="s">
        <v>2562</v>
      </c>
      <c r="D891" t="s">
        <v>422</v>
      </c>
      <c r="E891" t="s">
        <v>2560</v>
      </c>
      <c r="H891" t="s">
        <v>61</v>
      </c>
      <c r="I891" t="s">
        <v>424</v>
      </c>
      <c r="J891" t="s">
        <v>87</v>
      </c>
      <c r="K891" t="s">
        <v>88</v>
      </c>
      <c r="L891" t="s">
        <v>29</v>
      </c>
      <c r="M891" t="s">
        <v>30</v>
      </c>
      <c r="N891" t="s">
        <v>31</v>
      </c>
      <c r="Q891" t="s">
        <v>1090</v>
      </c>
      <c r="R891" t="s">
        <v>1090</v>
      </c>
    </row>
    <row r="892" spans="1:18" x14ac:dyDescent="0.3">
      <c r="A892" s="2" t="str">
        <f>HYPERLINK(B892,"Oppna PDF")</f>
        <v>Oppna PDF</v>
      </c>
      <c r="B892" t="s">
        <v>2563</v>
      </c>
      <c r="C892" t="s">
        <v>2564</v>
      </c>
      <c r="D892" t="s">
        <v>1298</v>
      </c>
      <c r="E892" t="s">
        <v>2565</v>
      </c>
      <c r="H892" t="s">
        <v>25</v>
      </c>
      <c r="I892" t="s">
        <v>1300</v>
      </c>
      <c r="J892" t="s">
        <v>91</v>
      </c>
      <c r="K892" t="s">
        <v>92</v>
      </c>
      <c r="L892" t="s">
        <v>29</v>
      </c>
      <c r="M892" t="s">
        <v>30</v>
      </c>
      <c r="N892" t="s">
        <v>31</v>
      </c>
      <c r="Q892" t="s">
        <v>2566</v>
      </c>
      <c r="R892" t="s">
        <v>2567</v>
      </c>
    </row>
    <row r="893" spans="1:18" x14ac:dyDescent="0.3">
      <c r="A893" s="2" t="str">
        <f>HYPERLINK(B893,"Oppna PDF")</f>
        <v>Oppna PDF</v>
      </c>
      <c r="B893" t="s">
        <v>2568</v>
      </c>
      <c r="C893" t="s">
        <v>2569</v>
      </c>
      <c r="D893" t="s">
        <v>1298</v>
      </c>
      <c r="E893" t="s">
        <v>2570</v>
      </c>
      <c r="H893" t="s">
        <v>25</v>
      </c>
      <c r="I893" t="s">
        <v>1300</v>
      </c>
      <c r="J893" t="s">
        <v>91</v>
      </c>
      <c r="K893" t="s">
        <v>92</v>
      </c>
      <c r="L893" t="s">
        <v>142</v>
      </c>
      <c r="M893" t="s">
        <v>30</v>
      </c>
      <c r="N893" t="s">
        <v>31</v>
      </c>
      <c r="Q893" t="s">
        <v>1318</v>
      </c>
      <c r="R893" t="s">
        <v>1318</v>
      </c>
    </row>
    <row r="894" spans="1:18" x14ac:dyDescent="0.3">
      <c r="A894" s="2" t="str">
        <f>HYPERLINK(B894,"Oppna PDF")</f>
        <v>Oppna PDF</v>
      </c>
      <c r="B894" t="s">
        <v>2568</v>
      </c>
      <c r="C894" t="s">
        <v>2571</v>
      </c>
      <c r="D894" t="s">
        <v>1298</v>
      </c>
      <c r="E894" t="s">
        <v>2570</v>
      </c>
      <c r="H894" t="s">
        <v>25</v>
      </c>
      <c r="I894" t="s">
        <v>1300</v>
      </c>
      <c r="J894" t="s">
        <v>34</v>
      </c>
      <c r="K894" t="s">
        <v>35</v>
      </c>
      <c r="L894" t="s">
        <v>29</v>
      </c>
      <c r="M894" t="s">
        <v>30</v>
      </c>
      <c r="N894" t="s">
        <v>31</v>
      </c>
      <c r="Q894" t="s">
        <v>2572</v>
      </c>
      <c r="R894" t="s">
        <v>2572</v>
      </c>
    </row>
    <row r="895" spans="1:18" x14ac:dyDescent="0.3">
      <c r="A895" s="2" t="str">
        <f>HYPERLINK(B895,"Oppna PDF")</f>
        <v>Oppna PDF</v>
      </c>
      <c r="B895" t="s">
        <v>2568</v>
      </c>
      <c r="C895" t="s">
        <v>2573</v>
      </c>
      <c r="D895" t="s">
        <v>1298</v>
      </c>
      <c r="E895" t="s">
        <v>2570</v>
      </c>
      <c r="H895" t="s">
        <v>25</v>
      </c>
      <c r="I895" t="s">
        <v>1300</v>
      </c>
      <c r="J895" t="s">
        <v>48</v>
      </c>
      <c r="K895" t="s">
        <v>49</v>
      </c>
      <c r="L895" t="s">
        <v>29</v>
      </c>
      <c r="M895" t="s">
        <v>30</v>
      </c>
      <c r="N895" t="s">
        <v>31</v>
      </c>
      <c r="Q895" t="s">
        <v>2574</v>
      </c>
      <c r="R895" t="s">
        <v>2574</v>
      </c>
    </row>
    <row r="896" spans="1:18" x14ac:dyDescent="0.3">
      <c r="A896" s="2" t="str">
        <f>HYPERLINK(B896,"Oppna PDF")</f>
        <v>Oppna PDF</v>
      </c>
      <c r="B896" t="s">
        <v>2575</v>
      </c>
      <c r="C896" t="s">
        <v>2576</v>
      </c>
      <c r="D896" t="s">
        <v>622</v>
      </c>
      <c r="E896" t="s">
        <v>2577</v>
      </c>
      <c r="H896" t="s">
        <v>61</v>
      </c>
      <c r="I896" t="s">
        <v>624</v>
      </c>
      <c r="J896" t="s">
        <v>34</v>
      </c>
      <c r="K896" t="s">
        <v>35</v>
      </c>
      <c r="L896" t="s">
        <v>29</v>
      </c>
      <c r="M896" t="s">
        <v>30</v>
      </c>
      <c r="N896" t="s">
        <v>31</v>
      </c>
      <c r="Q896" t="s">
        <v>2500</v>
      </c>
      <c r="R896" t="s">
        <v>2500</v>
      </c>
    </row>
    <row r="897" spans="1:18" x14ac:dyDescent="0.3">
      <c r="A897" s="2" t="str">
        <f>HYPERLINK(B897,"Oppna PDF")</f>
        <v>Oppna PDF</v>
      </c>
      <c r="B897" t="s">
        <v>2575</v>
      </c>
      <c r="C897" t="s">
        <v>2578</v>
      </c>
      <c r="D897" t="s">
        <v>622</v>
      </c>
      <c r="E897" t="s">
        <v>2577</v>
      </c>
      <c r="H897" t="s">
        <v>61</v>
      </c>
      <c r="I897" t="s">
        <v>624</v>
      </c>
      <c r="J897" t="s">
        <v>38</v>
      </c>
      <c r="K897" t="s">
        <v>39</v>
      </c>
      <c r="L897" t="s">
        <v>29</v>
      </c>
      <c r="M897" t="s">
        <v>30</v>
      </c>
      <c r="N897" t="s">
        <v>31</v>
      </c>
      <c r="Q897" t="s">
        <v>2502</v>
      </c>
      <c r="R897" t="s">
        <v>2502</v>
      </c>
    </row>
    <row r="898" spans="1:18" x14ac:dyDescent="0.3">
      <c r="A898" s="2" t="str">
        <f>HYPERLINK(B898,"Oppna PDF")</f>
        <v>Oppna PDF</v>
      </c>
      <c r="B898" t="s">
        <v>2575</v>
      </c>
      <c r="C898" t="s">
        <v>2579</v>
      </c>
      <c r="D898" t="s">
        <v>622</v>
      </c>
      <c r="E898" t="s">
        <v>2577</v>
      </c>
      <c r="H898" t="s">
        <v>61</v>
      </c>
      <c r="I898" t="s">
        <v>624</v>
      </c>
      <c r="J898" t="s">
        <v>48</v>
      </c>
      <c r="K898" t="s">
        <v>49</v>
      </c>
      <c r="L898" t="s">
        <v>29</v>
      </c>
      <c r="M898" t="s">
        <v>30</v>
      </c>
      <c r="N898" t="s">
        <v>31</v>
      </c>
      <c r="Q898" t="s">
        <v>2504</v>
      </c>
      <c r="R898" t="s">
        <v>2504</v>
      </c>
    </row>
    <row r="899" spans="1:18" x14ac:dyDescent="0.3">
      <c r="A899" s="2" t="str">
        <f>HYPERLINK(B899,"Oppna PDF")</f>
        <v>Oppna PDF</v>
      </c>
      <c r="B899" t="s">
        <v>2580</v>
      </c>
      <c r="C899" t="s">
        <v>2581</v>
      </c>
      <c r="D899" t="s">
        <v>1298</v>
      </c>
      <c r="E899" t="s">
        <v>2582</v>
      </c>
      <c r="H899" t="s">
        <v>25</v>
      </c>
      <c r="I899" t="s">
        <v>1300</v>
      </c>
      <c r="J899" t="s">
        <v>91</v>
      </c>
      <c r="K899" t="s">
        <v>92</v>
      </c>
      <c r="L899" t="s">
        <v>142</v>
      </c>
      <c r="M899" t="s">
        <v>30</v>
      </c>
      <c r="N899" t="s">
        <v>31</v>
      </c>
      <c r="Q899" t="s">
        <v>1318</v>
      </c>
      <c r="R899" t="s">
        <v>1318</v>
      </c>
    </row>
    <row r="900" spans="1:18" x14ac:dyDescent="0.3">
      <c r="A900" s="2" t="str">
        <f>HYPERLINK(B900,"Oppna PDF")</f>
        <v>Oppna PDF</v>
      </c>
      <c r="B900" t="s">
        <v>2580</v>
      </c>
      <c r="C900" t="s">
        <v>2583</v>
      </c>
      <c r="D900" t="s">
        <v>1298</v>
      </c>
      <c r="E900" t="s">
        <v>2582</v>
      </c>
      <c r="H900" t="s">
        <v>25</v>
      </c>
      <c r="I900" t="s">
        <v>1300</v>
      </c>
      <c r="J900" t="s">
        <v>34</v>
      </c>
      <c r="K900" t="s">
        <v>35</v>
      </c>
      <c r="L900" t="s">
        <v>29</v>
      </c>
      <c r="M900" t="s">
        <v>30</v>
      </c>
      <c r="N900" t="s">
        <v>31</v>
      </c>
      <c r="Q900" t="s">
        <v>2584</v>
      </c>
      <c r="R900" t="s">
        <v>2584</v>
      </c>
    </row>
    <row r="901" spans="1:18" x14ac:dyDescent="0.3">
      <c r="A901" s="2" t="str">
        <f>HYPERLINK(B901,"Oppna PDF")</f>
        <v>Oppna PDF</v>
      </c>
      <c r="B901" t="s">
        <v>2580</v>
      </c>
      <c r="C901" t="s">
        <v>2585</v>
      </c>
      <c r="D901" t="s">
        <v>1298</v>
      </c>
      <c r="E901" t="s">
        <v>2582</v>
      </c>
      <c r="H901" t="s">
        <v>25</v>
      </c>
      <c r="I901" t="s">
        <v>1300</v>
      </c>
      <c r="J901" t="s">
        <v>34</v>
      </c>
      <c r="K901" t="s">
        <v>35</v>
      </c>
      <c r="L901" t="s">
        <v>29</v>
      </c>
      <c r="M901" t="s">
        <v>30</v>
      </c>
      <c r="N901" t="s">
        <v>31</v>
      </c>
      <c r="Q901" t="s">
        <v>2586</v>
      </c>
      <c r="R901" t="s">
        <v>2586</v>
      </c>
    </row>
    <row r="902" spans="1:18" x14ac:dyDescent="0.3">
      <c r="A902" s="2" t="str">
        <f>HYPERLINK(B902,"Oppna PDF")</f>
        <v>Oppna PDF</v>
      </c>
      <c r="B902" t="s">
        <v>2587</v>
      </c>
      <c r="C902" t="s">
        <v>2588</v>
      </c>
      <c r="D902" t="s">
        <v>1452</v>
      </c>
      <c r="E902" t="s">
        <v>2589</v>
      </c>
      <c r="H902" t="s">
        <v>25</v>
      </c>
      <c r="I902" t="s">
        <v>1454</v>
      </c>
      <c r="J902" t="s">
        <v>38</v>
      </c>
      <c r="K902" t="s">
        <v>39</v>
      </c>
      <c r="L902" t="s">
        <v>29</v>
      </c>
      <c r="M902" t="s">
        <v>30</v>
      </c>
      <c r="N902" t="s">
        <v>31</v>
      </c>
      <c r="Q902" t="s">
        <v>1941</v>
      </c>
      <c r="R902" t="s">
        <v>1941</v>
      </c>
    </row>
    <row r="903" spans="1:18" x14ac:dyDescent="0.3">
      <c r="A903" s="2" t="str">
        <f>HYPERLINK(B903,"Oppna PDF")</f>
        <v>Oppna PDF</v>
      </c>
      <c r="B903" t="s">
        <v>2587</v>
      </c>
      <c r="C903" t="s">
        <v>2590</v>
      </c>
      <c r="D903" t="s">
        <v>1452</v>
      </c>
      <c r="E903" t="s">
        <v>2589</v>
      </c>
      <c r="H903" t="s">
        <v>25</v>
      </c>
      <c r="I903" t="s">
        <v>1454</v>
      </c>
      <c r="J903" t="s">
        <v>38</v>
      </c>
      <c r="K903" t="s">
        <v>39</v>
      </c>
      <c r="L903" t="s">
        <v>29</v>
      </c>
      <c r="M903" t="s">
        <v>30</v>
      </c>
      <c r="N903" t="s">
        <v>31</v>
      </c>
      <c r="Q903" t="s">
        <v>1943</v>
      </c>
      <c r="R903" t="s">
        <v>1943</v>
      </c>
    </row>
    <row r="904" spans="1:18" x14ac:dyDescent="0.3">
      <c r="A904" s="2" t="str">
        <f>HYPERLINK(B904,"Oppna PDF")</f>
        <v>Oppna PDF</v>
      </c>
      <c r="B904" t="s">
        <v>2587</v>
      </c>
      <c r="C904" t="s">
        <v>2591</v>
      </c>
      <c r="D904" t="s">
        <v>1452</v>
      </c>
      <c r="E904" t="s">
        <v>2589</v>
      </c>
      <c r="H904" t="s">
        <v>25</v>
      </c>
      <c r="I904" t="s">
        <v>1454</v>
      </c>
      <c r="J904" t="s">
        <v>48</v>
      </c>
      <c r="K904" t="s">
        <v>49</v>
      </c>
      <c r="L904" t="s">
        <v>29</v>
      </c>
      <c r="M904" t="s">
        <v>30</v>
      </c>
      <c r="N904" t="s">
        <v>31</v>
      </c>
      <c r="Q904" t="s">
        <v>1945</v>
      </c>
      <c r="R904" t="s">
        <v>1945</v>
      </c>
    </row>
    <row r="905" spans="1:18" x14ac:dyDescent="0.3">
      <c r="A905" s="2" t="str">
        <f>HYPERLINK(B905,"Oppna PDF")</f>
        <v>Oppna PDF</v>
      </c>
      <c r="B905" t="s">
        <v>2592</v>
      </c>
      <c r="C905" t="s">
        <v>2593</v>
      </c>
      <c r="D905" t="s">
        <v>1938</v>
      </c>
      <c r="E905" t="s">
        <v>2594</v>
      </c>
      <c r="F905" t="s">
        <v>1557</v>
      </c>
      <c r="G905" t="s">
        <v>1558</v>
      </c>
      <c r="H905" t="s">
        <v>61</v>
      </c>
      <c r="I905" t="s">
        <v>1940</v>
      </c>
      <c r="J905" t="s">
        <v>27</v>
      </c>
      <c r="K905" t="s">
        <v>28</v>
      </c>
      <c r="L905" t="s">
        <v>29</v>
      </c>
      <c r="M905" t="s">
        <v>30</v>
      </c>
      <c r="N905" t="s">
        <v>31</v>
      </c>
      <c r="Q905" t="s">
        <v>1913</v>
      </c>
      <c r="R905" t="s">
        <v>1913</v>
      </c>
    </row>
    <row r="906" spans="1:18" x14ac:dyDescent="0.3">
      <c r="A906" s="2" t="str">
        <f>HYPERLINK(B906,"Oppna PDF")</f>
        <v>Oppna PDF</v>
      </c>
      <c r="B906" t="s">
        <v>2592</v>
      </c>
      <c r="C906" t="s">
        <v>2595</v>
      </c>
      <c r="D906" t="s">
        <v>1938</v>
      </c>
      <c r="E906" t="s">
        <v>2594</v>
      </c>
      <c r="F906" t="s">
        <v>1557</v>
      </c>
      <c r="G906" t="s">
        <v>1558</v>
      </c>
      <c r="H906" t="s">
        <v>61</v>
      </c>
      <c r="I906" t="s">
        <v>1940</v>
      </c>
      <c r="J906" t="s">
        <v>87</v>
      </c>
      <c r="K906" t="s">
        <v>88</v>
      </c>
      <c r="L906" t="s">
        <v>29</v>
      </c>
      <c r="M906" t="s">
        <v>30</v>
      </c>
      <c r="N906" t="s">
        <v>31</v>
      </c>
      <c r="Q906" t="s">
        <v>1915</v>
      </c>
      <c r="R906" t="s">
        <v>1915</v>
      </c>
    </row>
    <row r="907" spans="1:18" x14ac:dyDescent="0.3">
      <c r="A907" s="2" t="str">
        <f>HYPERLINK(B907,"Oppna PDF")</f>
        <v>Oppna PDF</v>
      </c>
      <c r="B907" t="s">
        <v>2592</v>
      </c>
      <c r="C907" t="s">
        <v>2596</v>
      </c>
      <c r="D907" t="s">
        <v>1938</v>
      </c>
      <c r="E907" t="s">
        <v>2594</v>
      </c>
      <c r="F907" t="s">
        <v>1557</v>
      </c>
      <c r="G907" t="s">
        <v>1558</v>
      </c>
      <c r="H907" t="s">
        <v>61</v>
      </c>
      <c r="I907" t="s">
        <v>1940</v>
      </c>
      <c r="J907" t="s">
        <v>38</v>
      </c>
      <c r="K907" t="s">
        <v>39</v>
      </c>
      <c r="L907" t="s">
        <v>29</v>
      </c>
      <c r="M907" t="s">
        <v>30</v>
      </c>
      <c r="N907" t="s">
        <v>31</v>
      </c>
      <c r="Q907" t="s">
        <v>1917</v>
      </c>
      <c r="R907" t="s">
        <v>1917</v>
      </c>
    </row>
    <row r="908" spans="1:18" x14ac:dyDescent="0.3">
      <c r="A908" s="2" t="str">
        <f>HYPERLINK(B908,"Oppna PDF")</f>
        <v>Oppna PDF</v>
      </c>
      <c r="B908" t="s">
        <v>2597</v>
      </c>
      <c r="C908" t="s">
        <v>2598</v>
      </c>
      <c r="D908" t="s">
        <v>1938</v>
      </c>
      <c r="E908" t="s">
        <v>2599</v>
      </c>
      <c r="F908" t="s">
        <v>1557</v>
      </c>
      <c r="G908" t="s">
        <v>1558</v>
      </c>
      <c r="H908" t="s">
        <v>61</v>
      </c>
      <c r="I908" t="s">
        <v>1940</v>
      </c>
      <c r="J908" t="s">
        <v>27</v>
      </c>
      <c r="K908" t="s">
        <v>28</v>
      </c>
      <c r="L908" t="s">
        <v>29</v>
      </c>
      <c r="M908" t="s">
        <v>30</v>
      </c>
      <c r="N908" t="s">
        <v>31</v>
      </c>
      <c r="Q908" t="s">
        <v>1455</v>
      </c>
      <c r="R908" t="s">
        <v>1455</v>
      </c>
    </row>
    <row r="909" spans="1:18" x14ac:dyDescent="0.3">
      <c r="A909" s="2" t="str">
        <f>HYPERLINK(B909,"Oppna PDF")</f>
        <v>Oppna PDF</v>
      </c>
      <c r="B909" t="s">
        <v>2597</v>
      </c>
      <c r="C909" t="s">
        <v>2600</v>
      </c>
      <c r="D909" t="s">
        <v>1938</v>
      </c>
      <c r="E909" t="s">
        <v>2599</v>
      </c>
      <c r="F909" t="s">
        <v>1557</v>
      </c>
      <c r="G909" t="s">
        <v>1558</v>
      </c>
      <c r="H909" t="s">
        <v>61</v>
      </c>
      <c r="I909" t="s">
        <v>1940</v>
      </c>
      <c r="J909" t="s">
        <v>91</v>
      </c>
      <c r="K909" t="s">
        <v>92</v>
      </c>
      <c r="L909" t="s">
        <v>29</v>
      </c>
      <c r="M909" t="s">
        <v>30</v>
      </c>
      <c r="N909" t="s">
        <v>31</v>
      </c>
      <c r="Q909" t="s">
        <v>1457</v>
      </c>
      <c r="R909" t="s">
        <v>1457</v>
      </c>
    </row>
    <row r="910" spans="1:18" x14ac:dyDescent="0.3">
      <c r="A910" s="2" t="str">
        <f>HYPERLINK(B910,"Oppna PDF")</f>
        <v>Oppna PDF</v>
      </c>
      <c r="B910" t="s">
        <v>2601</v>
      </c>
      <c r="C910" t="s">
        <v>2602</v>
      </c>
      <c r="D910" t="s">
        <v>976</v>
      </c>
      <c r="E910" t="s">
        <v>2603</v>
      </c>
      <c r="H910" t="s">
        <v>61</v>
      </c>
      <c r="I910" t="s">
        <v>978</v>
      </c>
      <c r="J910" t="s">
        <v>48</v>
      </c>
      <c r="K910" t="s">
        <v>49</v>
      </c>
      <c r="L910" t="s">
        <v>29</v>
      </c>
      <c r="M910" t="s">
        <v>30</v>
      </c>
      <c r="N910" t="s">
        <v>31</v>
      </c>
      <c r="Q910" t="s">
        <v>1991</v>
      </c>
      <c r="R910" t="s">
        <v>1991</v>
      </c>
    </row>
    <row r="911" spans="1:18" x14ac:dyDescent="0.3">
      <c r="A911" s="2" t="str">
        <f>HYPERLINK(B911,"Oppna PDF")</f>
        <v>Oppna PDF</v>
      </c>
      <c r="B911" t="s">
        <v>2601</v>
      </c>
      <c r="C911" t="s">
        <v>2604</v>
      </c>
      <c r="D911" t="s">
        <v>976</v>
      </c>
      <c r="E911" t="s">
        <v>2603</v>
      </c>
      <c r="H911" t="s">
        <v>61</v>
      </c>
      <c r="I911" t="s">
        <v>978</v>
      </c>
      <c r="J911" t="s">
        <v>27</v>
      </c>
      <c r="K911" t="s">
        <v>28</v>
      </c>
      <c r="L911" t="s">
        <v>29</v>
      </c>
      <c r="M911" t="s">
        <v>30</v>
      </c>
      <c r="N911" t="s">
        <v>31</v>
      </c>
      <c r="Q911" t="s">
        <v>1993</v>
      </c>
      <c r="R911" t="s">
        <v>1993</v>
      </c>
    </row>
    <row r="912" spans="1:18" x14ac:dyDescent="0.3">
      <c r="A912" s="2" t="str">
        <f>HYPERLINK(B912,"Oppna PDF")</f>
        <v>Oppna PDF</v>
      </c>
      <c r="B912" t="s">
        <v>2601</v>
      </c>
      <c r="C912" t="s">
        <v>2605</v>
      </c>
      <c r="D912" t="s">
        <v>976</v>
      </c>
      <c r="E912" t="s">
        <v>2603</v>
      </c>
      <c r="H912" t="s">
        <v>61</v>
      </c>
      <c r="I912" t="s">
        <v>978</v>
      </c>
      <c r="J912" t="s">
        <v>48</v>
      </c>
      <c r="K912" t="s">
        <v>49</v>
      </c>
      <c r="L912" t="s">
        <v>29</v>
      </c>
      <c r="M912" t="s">
        <v>30</v>
      </c>
      <c r="N912" t="s">
        <v>31</v>
      </c>
      <c r="Q912" t="s">
        <v>1995</v>
      </c>
      <c r="R912" t="s">
        <v>1995</v>
      </c>
    </row>
    <row r="913" spans="1:18" x14ac:dyDescent="0.3">
      <c r="A913" s="2" t="str">
        <f>HYPERLINK(B913,"Oppna PDF")</f>
        <v>Oppna PDF</v>
      </c>
      <c r="B913" t="s">
        <v>2606</v>
      </c>
      <c r="C913" t="s">
        <v>2607</v>
      </c>
      <c r="D913" t="s">
        <v>844</v>
      </c>
      <c r="E913" t="s">
        <v>2608</v>
      </c>
      <c r="H913" t="s">
        <v>25</v>
      </c>
      <c r="I913" t="s">
        <v>846</v>
      </c>
      <c r="J913" t="s">
        <v>27</v>
      </c>
      <c r="K913" t="s">
        <v>28</v>
      </c>
      <c r="L913" t="s">
        <v>29</v>
      </c>
      <c r="M913" t="s">
        <v>30</v>
      </c>
      <c r="N913" t="s">
        <v>31</v>
      </c>
      <c r="Q913" t="s">
        <v>2609</v>
      </c>
      <c r="R913" t="s">
        <v>2609</v>
      </c>
    </row>
    <row r="914" spans="1:18" x14ac:dyDescent="0.3">
      <c r="A914" s="2" t="str">
        <f>HYPERLINK(B914,"Oppna PDF")</f>
        <v>Oppna PDF</v>
      </c>
      <c r="B914" t="s">
        <v>2606</v>
      </c>
      <c r="C914" t="s">
        <v>2610</v>
      </c>
      <c r="D914" t="s">
        <v>844</v>
      </c>
      <c r="E914" t="s">
        <v>2608</v>
      </c>
      <c r="H914" t="s">
        <v>25</v>
      </c>
      <c r="I914" t="s">
        <v>846</v>
      </c>
      <c r="J914" t="s">
        <v>27</v>
      </c>
      <c r="K914" t="s">
        <v>28</v>
      </c>
      <c r="L914" t="s">
        <v>29</v>
      </c>
      <c r="M914" t="s">
        <v>30</v>
      </c>
      <c r="N914" t="s">
        <v>31</v>
      </c>
      <c r="Q914" t="s">
        <v>849</v>
      </c>
      <c r="R914" t="s">
        <v>849</v>
      </c>
    </row>
    <row r="915" spans="1:18" x14ac:dyDescent="0.3">
      <c r="A915" s="2" t="str">
        <f>HYPERLINK(B915,"Oppna PDF")</f>
        <v>Oppna PDF</v>
      </c>
      <c r="B915" t="s">
        <v>2611</v>
      </c>
      <c r="C915" t="s">
        <v>2612</v>
      </c>
      <c r="D915" t="s">
        <v>1986</v>
      </c>
      <c r="E915" t="s">
        <v>2613</v>
      </c>
      <c r="F915" t="s">
        <v>1988</v>
      </c>
      <c r="G915" t="s">
        <v>1989</v>
      </c>
      <c r="H915" t="s">
        <v>61</v>
      </c>
      <c r="I915" t="s">
        <v>1990</v>
      </c>
      <c r="J915" t="s">
        <v>27</v>
      </c>
      <c r="K915" t="s">
        <v>28</v>
      </c>
      <c r="L915" t="s">
        <v>29</v>
      </c>
      <c r="M915" t="s">
        <v>30</v>
      </c>
      <c r="N915" t="s">
        <v>31</v>
      </c>
      <c r="Q915" t="s">
        <v>1966</v>
      </c>
      <c r="R915" t="s">
        <v>1967</v>
      </c>
    </row>
    <row r="916" spans="1:18" x14ac:dyDescent="0.3">
      <c r="A916" s="2" t="str">
        <f>HYPERLINK(B916,"Oppna PDF")</f>
        <v>Oppna PDF</v>
      </c>
      <c r="B916" t="s">
        <v>2614</v>
      </c>
      <c r="C916" t="s">
        <v>2615</v>
      </c>
      <c r="D916" t="s">
        <v>844</v>
      </c>
      <c r="E916" t="s">
        <v>2616</v>
      </c>
      <c r="H916" t="s">
        <v>25</v>
      </c>
      <c r="I916" t="s">
        <v>846</v>
      </c>
      <c r="J916" t="s">
        <v>34</v>
      </c>
      <c r="K916" t="s">
        <v>35</v>
      </c>
      <c r="L916" t="s">
        <v>29</v>
      </c>
      <c r="M916" t="s">
        <v>30</v>
      </c>
      <c r="N916" t="s">
        <v>31</v>
      </c>
      <c r="Q916" t="s">
        <v>1340</v>
      </c>
      <c r="R916" t="s">
        <v>1340</v>
      </c>
    </row>
    <row r="917" spans="1:18" x14ac:dyDescent="0.3">
      <c r="A917" s="2" t="str">
        <f>HYPERLINK(B917,"Oppna PDF")</f>
        <v>Oppna PDF</v>
      </c>
      <c r="B917" t="s">
        <v>2614</v>
      </c>
      <c r="C917" t="s">
        <v>2617</v>
      </c>
      <c r="D917" t="s">
        <v>844</v>
      </c>
      <c r="E917" t="s">
        <v>2616</v>
      </c>
      <c r="H917" t="s">
        <v>25</v>
      </c>
      <c r="I917" t="s">
        <v>846</v>
      </c>
      <c r="J917" t="s">
        <v>87</v>
      </c>
      <c r="K917" t="s">
        <v>88</v>
      </c>
      <c r="L917" t="s">
        <v>29</v>
      </c>
      <c r="M917" t="s">
        <v>30</v>
      </c>
      <c r="N917" t="s">
        <v>31</v>
      </c>
      <c r="Q917" t="s">
        <v>1329</v>
      </c>
      <c r="R917" t="s">
        <v>1329</v>
      </c>
    </row>
    <row r="918" spans="1:18" x14ac:dyDescent="0.3">
      <c r="A918" s="2" t="str">
        <f>HYPERLINK(B918,"Oppna PDF")</f>
        <v>Oppna PDF</v>
      </c>
      <c r="B918" t="s">
        <v>2614</v>
      </c>
      <c r="C918" t="s">
        <v>2618</v>
      </c>
      <c r="D918" t="s">
        <v>844</v>
      </c>
      <c r="E918" t="s">
        <v>2616</v>
      </c>
      <c r="H918" t="s">
        <v>25</v>
      </c>
      <c r="I918" t="s">
        <v>846</v>
      </c>
      <c r="J918" t="s">
        <v>87</v>
      </c>
      <c r="K918" t="s">
        <v>88</v>
      </c>
      <c r="L918" t="s">
        <v>29</v>
      </c>
      <c r="M918" t="s">
        <v>30</v>
      </c>
      <c r="N918" t="s">
        <v>31</v>
      </c>
      <c r="Q918" t="s">
        <v>2619</v>
      </c>
      <c r="R918" t="s">
        <v>2619</v>
      </c>
    </row>
    <row r="919" spans="1:18" x14ac:dyDescent="0.3">
      <c r="A919" s="2" t="str">
        <f>HYPERLINK(B919,"Oppna PDF")</f>
        <v>Oppna PDF</v>
      </c>
      <c r="B919" t="s">
        <v>2620</v>
      </c>
      <c r="C919" t="s">
        <v>2621</v>
      </c>
      <c r="D919" t="s">
        <v>2622</v>
      </c>
      <c r="E919" t="s">
        <v>2623</v>
      </c>
      <c r="F919" t="e">
        <f>-- arlstads</f>
        <v>#NAME?</v>
      </c>
      <c r="G919" t="e">
        <f>-- arlstads kommun</f>
        <v>#NAME?</v>
      </c>
      <c r="H919" t="s">
        <v>2039</v>
      </c>
      <c r="I919" t="s">
        <v>2040</v>
      </c>
      <c r="J919" t="s">
        <v>48</v>
      </c>
      <c r="K919" t="s">
        <v>49</v>
      </c>
      <c r="L919" t="s">
        <v>29</v>
      </c>
      <c r="M919" t="s">
        <v>30</v>
      </c>
      <c r="N919" t="s">
        <v>31</v>
      </c>
      <c r="Q919" t="s">
        <v>2041</v>
      </c>
      <c r="R919" t="s">
        <v>2041</v>
      </c>
    </row>
    <row r="920" spans="1:18" x14ac:dyDescent="0.3">
      <c r="A920" s="2" t="str">
        <f>HYPERLINK(B920,"Oppna PDF")</f>
        <v>Oppna PDF</v>
      </c>
      <c r="B920" t="s">
        <v>2620</v>
      </c>
      <c r="C920" t="s">
        <v>2624</v>
      </c>
      <c r="D920" t="s">
        <v>2622</v>
      </c>
      <c r="E920" t="s">
        <v>2623</v>
      </c>
      <c r="F920" t="e">
        <f>-- arlstads</f>
        <v>#NAME?</v>
      </c>
      <c r="G920" t="e">
        <f>-- arlstads kommun</f>
        <v>#NAME?</v>
      </c>
      <c r="H920" t="s">
        <v>2039</v>
      </c>
      <c r="I920" t="s">
        <v>2040</v>
      </c>
      <c r="J920" t="s">
        <v>27</v>
      </c>
      <c r="K920" t="s">
        <v>28</v>
      </c>
      <c r="L920" t="s">
        <v>29</v>
      </c>
      <c r="M920" t="s">
        <v>30</v>
      </c>
      <c r="N920" t="s">
        <v>31</v>
      </c>
      <c r="Q920" t="s">
        <v>2043</v>
      </c>
      <c r="R920" t="s">
        <v>2043</v>
      </c>
    </row>
    <row r="921" spans="1:18" x14ac:dyDescent="0.3">
      <c r="A921" s="2" t="str">
        <f>HYPERLINK(B921,"Oppna PDF")</f>
        <v>Oppna PDF</v>
      </c>
      <c r="B921" t="s">
        <v>2620</v>
      </c>
      <c r="C921" t="s">
        <v>2625</v>
      </c>
      <c r="D921" t="s">
        <v>2622</v>
      </c>
      <c r="E921" t="s">
        <v>2623</v>
      </c>
      <c r="F921" t="e">
        <f>-- arlstads</f>
        <v>#NAME?</v>
      </c>
      <c r="G921" t="e">
        <f>-- arlstads kommun</f>
        <v>#NAME?</v>
      </c>
      <c r="H921" t="s">
        <v>2039</v>
      </c>
      <c r="I921" t="s">
        <v>2040</v>
      </c>
      <c r="J921" t="s">
        <v>27</v>
      </c>
      <c r="K921" t="s">
        <v>28</v>
      </c>
      <c r="L921" t="s">
        <v>29</v>
      </c>
      <c r="M921" t="s">
        <v>30</v>
      </c>
      <c r="N921" t="s">
        <v>31</v>
      </c>
      <c r="Q921" t="s">
        <v>2045</v>
      </c>
      <c r="R921" t="s">
        <v>2045</v>
      </c>
    </row>
    <row r="922" spans="1:18" x14ac:dyDescent="0.3">
      <c r="A922" s="2" t="str">
        <f>HYPERLINK(B922,"Oppna PDF")</f>
        <v>Oppna PDF</v>
      </c>
      <c r="B922" t="s">
        <v>2626</v>
      </c>
      <c r="C922" t="s">
        <v>2627</v>
      </c>
      <c r="D922" t="s">
        <v>1938</v>
      </c>
      <c r="E922" t="s">
        <v>2628</v>
      </c>
      <c r="F922" t="s">
        <v>1557</v>
      </c>
      <c r="G922" t="s">
        <v>1558</v>
      </c>
      <c r="H922" t="s">
        <v>61</v>
      </c>
      <c r="I922" t="s">
        <v>1940</v>
      </c>
      <c r="J922" t="s">
        <v>27</v>
      </c>
      <c r="K922" t="s">
        <v>28</v>
      </c>
      <c r="L922" t="s">
        <v>29</v>
      </c>
      <c r="M922" t="s">
        <v>30</v>
      </c>
      <c r="N922" t="s">
        <v>31</v>
      </c>
      <c r="Q922" t="s">
        <v>1928</v>
      </c>
      <c r="R922" t="s">
        <v>1928</v>
      </c>
    </row>
    <row r="923" spans="1:18" x14ac:dyDescent="0.3">
      <c r="A923" s="2" t="str">
        <f>HYPERLINK(B923,"Oppna PDF")</f>
        <v>Oppna PDF</v>
      </c>
      <c r="B923" t="s">
        <v>2626</v>
      </c>
      <c r="C923" t="s">
        <v>2629</v>
      </c>
      <c r="D923" t="s">
        <v>1938</v>
      </c>
      <c r="E923" t="s">
        <v>2628</v>
      </c>
      <c r="F923" t="s">
        <v>1557</v>
      </c>
      <c r="G923" t="s">
        <v>1558</v>
      </c>
      <c r="H923" t="s">
        <v>61</v>
      </c>
      <c r="I923" t="s">
        <v>1940</v>
      </c>
      <c r="J923" t="s">
        <v>87</v>
      </c>
      <c r="K923" t="s">
        <v>88</v>
      </c>
      <c r="L923" t="s">
        <v>29</v>
      </c>
      <c r="M923" t="s">
        <v>30</v>
      </c>
      <c r="N923" t="s">
        <v>31</v>
      </c>
      <c r="Q923" t="s">
        <v>1930</v>
      </c>
      <c r="R923" t="s">
        <v>1930</v>
      </c>
    </row>
    <row r="924" spans="1:18" x14ac:dyDescent="0.3">
      <c r="A924" s="2" t="str">
        <f>HYPERLINK(B924,"Oppna PDF")</f>
        <v>Oppna PDF</v>
      </c>
      <c r="B924" t="s">
        <v>2630</v>
      </c>
      <c r="C924" t="s">
        <v>2631</v>
      </c>
      <c r="D924" t="s">
        <v>976</v>
      </c>
      <c r="E924" t="s">
        <v>2632</v>
      </c>
      <c r="H924" t="s">
        <v>61</v>
      </c>
      <c r="I924" t="s">
        <v>978</v>
      </c>
      <c r="J924" t="s">
        <v>27</v>
      </c>
      <c r="K924" t="s">
        <v>28</v>
      </c>
      <c r="L924" t="s">
        <v>29</v>
      </c>
      <c r="M924" t="s">
        <v>30</v>
      </c>
      <c r="N924" t="s">
        <v>31</v>
      </c>
      <c r="Q924" t="s">
        <v>1999</v>
      </c>
      <c r="R924" t="s">
        <v>1999</v>
      </c>
    </row>
    <row r="925" spans="1:18" x14ac:dyDescent="0.3">
      <c r="A925" s="2" t="str">
        <f>HYPERLINK(B925,"Oppna PDF")</f>
        <v>Oppna PDF</v>
      </c>
      <c r="B925" t="s">
        <v>2633</v>
      </c>
      <c r="C925" t="s">
        <v>2634</v>
      </c>
      <c r="D925" t="s">
        <v>622</v>
      </c>
      <c r="E925" t="s">
        <v>2635</v>
      </c>
      <c r="H925" t="s">
        <v>61</v>
      </c>
      <c r="I925" t="s">
        <v>624</v>
      </c>
      <c r="J925" t="s">
        <v>38</v>
      </c>
      <c r="K925" t="s">
        <v>39</v>
      </c>
      <c r="L925" t="s">
        <v>142</v>
      </c>
      <c r="M925" t="s">
        <v>30</v>
      </c>
      <c r="N925" t="s">
        <v>31</v>
      </c>
      <c r="Q925" t="s">
        <v>2636</v>
      </c>
      <c r="R925" t="s">
        <v>2637</v>
      </c>
    </row>
    <row r="926" spans="1:18" x14ac:dyDescent="0.3">
      <c r="A926" s="2" t="str">
        <f>HYPERLINK(B926,"Oppna PDF")</f>
        <v>Oppna PDF</v>
      </c>
      <c r="B926" t="s">
        <v>2633</v>
      </c>
      <c r="C926" t="s">
        <v>2638</v>
      </c>
      <c r="D926" t="s">
        <v>622</v>
      </c>
      <c r="E926" t="s">
        <v>2635</v>
      </c>
      <c r="H926" t="s">
        <v>61</v>
      </c>
      <c r="I926" t="s">
        <v>624</v>
      </c>
      <c r="J926" t="s">
        <v>38</v>
      </c>
      <c r="K926" t="s">
        <v>39</v>
      </c>
      <c r="L926" t="s">
        <v>29</v>
      </c>
      <c r="M926" t="s">
        <v>30</v>
      </c>
      <c r="N926" t="s">
        <v>31</v>
      </c>
      <c r="Q926" t="s">
        <v>2639</v>
      </c>
      <c r="R926" t="s">
        <v>2639</v>
      </c>
    </row>
    <row r="927" spans="1:18" x14ac:dyDescent="0.3">
      <c r="A927" s="2" t="str">
        <f>HYPERLINK(B927,"Oppna PDF")</f>
        <v>Oppna PDF</v>
      </c>
      <c r="B927" t="s">
        <v>2633</v>
      </c>
      <c r="C927" t="s">
        <v>2640</v>
      </c>
      <c r="D927" t="s">
        <v>622</v>
      </c>
      <c r="E927" t="s">
        <v>2635</v>
      </c>
      <c r="H927" t="s">
        <v>61</v>
      </c>
      <c r="I927" t="s">
        <v>624</v>
      </c>
      <c r="J927" t="s">
        <v>38</v>
      </c>
      <c r="K927" t="s">
        <v>39</v>
      </c>
      <c r="L927" t="s">
        <v>142</v>
      </c>
      <c r="M927" t="s">
        <v>30</v>
      </c>
      <c r="N927" t="s">
        <v>31</v>
      </c>
      <c r="Q927" t="s">
        <v>2641</v>
      </c>
      <c r="R927" t="s">
        <v>2642</v>
      </c>
    </row>
    <row r="928" spans="1:18" x14ac:dyDescent="0.3">
      <c r="A928" s="2" t="str">
        <f>HYPERLINK(B928,"Oppna PDF")</f>
        <v>Oppna PDF</v>
      </c>
      <c r="B928" t="s">
        <v>2643</v>
      </c>
      <c r="C928" t="s">
        <v>2644</v>
      </c>
      <c r="D928" t="s">
        <v>1004</v>
      </c>
      <c r="E928" t="s">
        <v>2645</v>
      </c>
      <c r="H928" t="s">
        <v>25</v>
      </c>
      <c r="I928" t="s">
        <v>1006</v>
      </c>
      <c r="J928" t="s">
        <v>27</v>
      </c>
      <c r="K928" t="s">
        <v>28</v>
      </c>
      <c r="L928" t="s">
        <v>29</v>
      </c>
      <c r="M928" t="s">
        <v>30</v>
      </c>
      <c r="N928" t="s">
        <v>31</v>
      </c>
      <c r="Q928" t="s">
        <v>2646</v>
      </c>
      <c r="R928" t="s">
        <v>2647</v>
      </c>
    </row>
    <row r="929" spans="1:18" x14ac:dyDescent="0.3">
      <c r="A929" s="2" t="str">
        <f>HYPERLINK(B929,"Oppna PDF")</f>
        <v>Oppna PDF</v>
      </c>
      <c r="B929" t="s">
        <v>2643</v>
      </c>
      <c r="C929" t="s">
        <v>2648</v>
      </c>
      <c r="D929" t="s">
        <v>1004</v>
      </c>
      <c r="E929" t="s">
        <v>2645</v>
      </c>
      <c r="H929" t="s">
        <v>25</v>
      </c>
      <c r="I929" t="s">
        <v>1006</v>
      </c>
      <c r="J929" t="s">
        <v>34</v>
      </c>
      <c r="K929" t="s">
        <v>35</v>
      </c>
      <c r="L929" t="s">
        <v>29</v>
      </c>
      <c r="M929" t="s">
        <v>30</v>
      </c>
      <c r="N929" t="s">
        <v>31</v>
      </c>
      <c r="Q929" t="s">
        <v>2649</v>
      </c>
      <c r="R929" t="s">
        <v>2649</v>
      </c>
    </row>
    <row r="930" spans="1:18" x14ac:dyDescent="0.3">
      <c r="A930" s="2" t="str">
        <f>HYPERLINK(B930,"Oppna PDF")</f>
        <v>Oppna PDF</v>
      </c>
      <c r="B930" t="s">
        <v>2643</v>
      </c>
      <c r="C930" t="s">
        <v>2650</v>
      </c>
      <c r="D930" t="s">
        <v>1004</v>
      </c>
      <c r="E930" t="s">
        <v>2645</v>
      </c>
      <c r="H930" t="s">
        <v>25</v>
      </c>
      <c r="I930" t="s">
        <v>1006</v>
      </c>
      <c r="J930" t="s">
        <v>38</v>
      </c>
      <c r="K930" t="s">
        <v>39</v>
      </c>
      <c r="L930" t="s">
        <v>29</v>
      </c>
      <c r="M930" t="s">
        <v>30</v>
      </c>
      <c r="N930" t="s">
        <v>31</v>
      </c>
      <c r="Q930" t="s">
        <v>2651</v>
      </c>
      <c r="R930" t="s">
        <v>2652</v>
      </c>
    </row>
    <row r="931" spans="1:18" x14ac:dyDescent="0.3">
      <c r="A931" s="2" t="str">
        <f>HYPERLINK(B931,"Oppna PDF")</f>
        <v>Oppna PDF</v>
      </c>
      <c r="B931" t="s">
        <v>2653</v>
      </c>
      <c r="C931" t="s">
        <v>2654</v>
      </c>
      <c r="D931" t="s">
        <v>844</v>
      </c>
      <c r="E931" t="s">
        <v>2655</v>
      </c>
      <c r="H931" t="s">
        <v>25</v>
      </c>
      <c r="I931" t="s">
        <v>846</v>
      </c>
      <c r="J931" t="s">
        <v>27</v>
      </c>
      <c r="K931" t="s">
        <v>28</v>
      </c>
      <c r="L931" t="s">
        <v>29</v>
      </c>
      <c r="M931" t="s">
        <v>30</v>
      </c>
      <c r="N931" t="s">
        <v>31</v>
      </c>
      <c r="Q931" t="s">
        <v>847</v>
      </c>
      <c r="R931" t="s">
        <v>847</v>
      </c>
    </row>
    <row r="932" spans="1:18" x14ac:dyDescent="0.3">
      <c r="A932" s="2" t="str">
        <f>HYPERLINK(B932,"Oppna PDF")</f>
        <v>Oppna PDF</v>
      </c>
      <c r="B932" t="s">
        <v>2653</v>
      </c>
      <c r="C932" t="s">
        <v>2656</v>
      </c>
      <c r="D932" t="s">
        <v>844</v>
      </c>
      <c r="E932" t="s">
        <v>2655</v>
      </c>
      <c r="H932" t="s">
        <v>25</v>
      </c>
      <c r="I932" t="s">
        <v>846</v>
      </c>
      <c r="J932" t="s">
        <v>27</v>
      </c>
      <c r="K932" t="s">
        <v>28</v>
      </c>
      <c r="L932" t="s">
        <v>29</v>
      </c>
      <c r="M932" t="s">
        <v>30</v>
      </c>
      <c r="N932" t="s">
        <v>31</v>
      </c>
      <c r="Q932" t="s">
        <v>849</v>
      </c>
      <c r="R932" t="s">
        <v>849</v>
      </c>
    </row>
    <row r="933" spans="1:18" x14ac:dyDescent="0.3">
      <c r="A933" s="2" t="str">
        <f>HYPERLINK(B933,"Oppna PDF")</f>
        <v>Oppna PDF</v>
      </c>
      <c r="B933" t="s">
        <v>2657</v>
      </c>
      <c r="C933" t="s">
        <v>2658</v>
      </c>
      <c r="D933" t="s">
        <v>1134</v>
      </c>
      <c r="E933" t="s">
        <v>2659</v>
      </c>
      <c r="H933" t="s">
        <v>61</v>
      </c>
      <c r="I933" t="s">
        <v>1136</v>
      </c>
      <c r="J933" t="s">
        <v>38</v>
      </c>
      <c r="K933" t="s">
        <v>39</v>
      </c>
      <c r="L933" t="s">
        <v>29</v>
      </c>
      <c r="M933" t="s">
        <v>30</v>
      </c>
      <c r="N933" t="s">
        <v>31</v>
      </c>
      <c r="Q933" t="s">
        <v>2660</v>
      </c>
      <c r="R933" t="s">
        <v>2661</v>
      </c>
    </row>
    <row r="934" spans="1:18" x14ac:dyDescent="0.3">
      <c r="A934" s="2" t="str">
        <f>HYPERLINK(B934,"Oppna PDF")</f>
        <v>Oppna PDF</v>
      </c>
      <c r="B934" t="s">
        <v>2657</v>
      </c>
      <c r="C934" t="s">
        <v>2662</v>
      </c>
      <c r="D934" t="s">
        <v>1134</v>
      </c>
      <c r="E934" t="s">
        <v>2659</v>
      </c>
      <c r="H934" t="s">
        <v>61</v>
      </c>
      <c r="I934" t="s">
        <v>1136</v>
      </c>
      <c r="J934" t="s">
        <v>27</v>
      </c>
      <c r="K934" t="s">
        <v>28</v>
      </c>
      <c r="L934" t="s">
        <v>29</v>
      </c>
      <c r="M934" t="s">
        <v>30</v>
      </c>
      <c r="N934" t="s">
        <v>31</v>
      </c>
      <c r="Q934" t="s">
        <v>2663</v>
      </c>
      <c r="R934" t="s">
        <v>2663</v>
      </c>
    </row>
    <row r="935" spans="1:18" x14ac:dyDescent="0.3">
      <c r="A935" s="2" t="str">
        <f>HYPERLINK(B935,"Oppna PDF")</f>
        <v>Oppna PDF</v>
      </c>
      <c r="B935" t="s">
        <v>2657</v>
      </c>
      <c r="C935" t="s">
        <v>2664</v>
      </c>
      <c r="D935" t="s">
        <v>1134</v>
      </c>
      <c r="E935" t="s">
        <v>2659</v>
      </c>
      <c r="H935" t="s">
        <v>61</v>
      </c>
      <c r="I935" t="s">
        <v>1136</v>
      </c>
      <c r="J935" t="s">
        <v>27</v>
      </c>
      <c r="K935" t="s">
        <v>28</v>
      </c>
      <c r="L935" t="s">
        <v>29</v>
      </c>
      <c r="M935" t="s">
        <v>30</v>
      </c>
      <c r="N935" t="s">
        <v>31</v>
      </c>
      <c r="Q935" t="s">
        <v>2665</v>
      </c>
      <c r="R935" t="s">
        <v>2665</v>
      </c>
    </row>
    <row r="936" spans="1:18" x14ac:dyDescent="0.3">
      <c r="A936" s="2" t="str">
        <f>HYPERLINK(B936,"Oppna PDF")</f>
        <v>Oppna PDF</v>
      </c>
      <c r="B936" t="s">
        <v>2666</v>
      </c>
      <c r="C936" t="s">
        <v>2667</v>
      </c>
      <c r="D936" t="s">
        <v>1134</v>
      </c>
      <c r="E936" t="s">
        <v>2668</v>
      </c>
      <c r="H936" t="s">
        <v>61</v>
      </c>
      <c r="I936" t="s">
        <v>1136</v>
      </c>
      <c r="J936" t="s">
        <v>38</v>
      </c>
      <c r="K936" t="s">
        <v>39</v>
      </c>
      <c r="L936" t="s">
        <v>29</v>
      </c>
      <c r="M936" t="s">
        <v>30</v>
      </c>
      <c r="N936" t="s">
        <v>31</v>
      </c>
      <c r="Q936" t="s">
        <v>1347</v>
      </c>
      <c r="R936" t="s">
        <v>1347</v>
      </c>
    </row>
    <row r="937" spans="1:18" x14ac:dyDescent="0.3">
      <c r="A937" s="2" t="str">
        <f>HYPERLINK(B937,"Oppna PDF")</f>
        <v>Oppna PDF</v>
      </c>
      <c r="B937" t="s">
        <v>2666</v>
      </c>
      <c r="C937" t="s">
        <v>2669</v>
      </c>
      <c r="D937" t="s">
        <v>1134</v>
      </c>
      <c r="E937" t="s">
        <v>2668</v>
      </c>
      <c r="H937" t="s">
        <v>61</v>
      </c>
      <c r="I937" t="s">
        <v>1136</v>
      </c>
      <c r="J937" t="s">
        <v>34</v>
      </c>
      <c r="K937" t="s">
        <v>35</v>
      </c>
      <c r="L937" t="s">
        <v>300</v>
      </c>
      <c r="M937" t="s">
        <v>30</v>
      </c>
      <c r="N937" t="s">
        <v>31</v>
      </c>
      <c r="Q937" t="s">
        <v>1349</v>
      </c>
      <c r="R937" t="s">
        <v>1349</v>
      </c>
    </row>
    <row r="938" spans="1:18" x14ac:dyDescent="0.3">
      <c r="A938" s="2" t="str">
        <f>HYPERLINK(B938,"Oppna PDF")</f>
        <v>Oppna PDF</v>
      </c>
      <c r="B938" t="s">
        <v>2666</v>
      </c>
      <c r="C938" t="s">
        <v>2670</v>
      </c>
      <c r="D938" t="s">
        <v>1134</v>
      </c>
      <c r="E938" t="s">
        <v>2668</v>
      </c>
      <c r="H938" t="s">
        <v>61</v>
      </c>
      <c r="I938" t="s">
        <v>1136</v>
      </c>
      <c r="J938" t="s">
        <v>209</v>
      </c>
      <c r="K938" t="s">
        <v>210</v>
      </c>
      <c r="L938" t="s">
        <v>29</v>
      </c>
      <c r="M938" t="s">
        <v>30</v>
      </c>
      <c r="N938" t="s">
        <v>31</v>
      </c>
      <c r="Q938" t="s">
        <v>2671</v>
      </c>
      <c r="R938" t="s">
        <v>2671</v>
      </c>
    </row>
    <row r="939" spans="1:18" x14ac:dyDescent="0.3">
      <c r="A939" s="2" t="str">
        <f>HYPERLINK(B939,"Oppna PDF")</f>
        <v>Oppna PDF</v>
      </c>
      <c r="B939" t="s">
        <v>2672</v>
      </c>
      <c r="C939" t="s">
        <v>2673</v>
      </c>
      <c r="D939" t="s">
        <v>1134</v>
      </c>
      <c r="E939" t="s">
        <v>2674</v>
      </c>
      <c r="H939" t="s">
        <v>61</v>
      </c>
      <c r="I939" t="s">
        <v>1136</v>
      </c>
      <c r="J939" t="s">
        <v>91</v>
      </c>
      <c r="K939" t="s">
        <v>92</v>
      </c>
      <c r="L939" t="s">
        <v>29</v>
      </c>
      <c r="M939" t="s">
        <v>30</v>
      </c>
      <c r="N939" t="s">
        <v>31</v>
      </c>
      <c r="Q939" t="s">
        <v>2675</v>
      </c>
      <c r="R939" t="s">
        <v>2676</v>
      </c>
    </row>
    <row r="940" spans="1:18" x14ac:dyDescent="0.3">
      <c r="A940" s="2" t="str">
        <f>HYPERLINK(B940,"Oppna PDF")</f>
        <v>Oppna PDF</v>
      </c>
      <c r="B940" t="s">
        <v>2672</v>
      </c>
      <c r="C940" t="s">
        <v>2677</v>
      </c>
      <c r="D940" t="s">
        <v>1134</v>
      </c>
      <c r="E940" t="s">
        <v>2674</v>
      </c>
      <c r="H940" t="s">
        <v>61</v>
      </c>
      <c r="I940" t="s">
        <v>1136</v>
      </c>
      <c r="J940" t="s">
        <v>38</v>
      </c>
      <c r="K940" t="s">
        <v>39</v>
      </c>
      <c r="L940" t="s">
        <v>29</v>
      </c>
      <c r="M940" t="s">
        <v>30</v>
      </c>
      <c r="N940" t="s">
        <v>31</v>
      </c>
      <c r="Q940" t="s">
        <v>1402</v>
      </c>
      <c r="R940" t="s">
        <v>1402</v>
      </c>
    </row>
    <row r="941" spans="1:18" x14ac:dyDescent="0.3">
      <c r="A941" s="2" t="str">
        <f>HYPERLINK(B941,"Oppna PDF")</f>
        <v>Oppna PDF</v>
      </c>
      <c r="B941" t="s">
        <v>2678</v>
      </c>
      <c r="C941" t="s">
        <v>2679</v>
      </c>
      <c r="D941" t="s">
        <v>1986</v>
      </c>
      <c r="E941" t="s">
        <v>2680</v>
      </c>
      <c r="F941" t="s">
        <v>1988</v>
      </c>
      <c r="G941" t="s">
        <v>1989</v>
      </c>
      <c r="H941" t="s">
        <v>61</v>
      </c>
      <c r="I941" t="s">
        <v>1990</v>
      </c>
      <c r="J941" t="s">
        <v>27</v>
      </c>
      <c r="K941" t="s">
        <v>28</v>
      </c>
      <c r="L941" t="s">
        <v>29</v>
      </c>
      <c r="M941" t="s">
        <v>30</v>
      </c>
      <c r="N941" t="s">
        <v>31</v>
      </c>
      <c r="Q941" t="s">
        <v>1978</v>
      </c>
      <c r="R941" t="s">
        <v>1978</v>
      </c>
    </row>
    <row r="942" spans="1:18" x14ac:dyDescent="0.3">
      <c r="A942" s="2" t="str">
        <f>HYPERLINK(B942,"Oppna PDF")</f>
        <v>Oppna PDF</v>
      </c>
      <c r="B942" t="s">
        <v>2678</v>
      </c>
      <c r="C942" t="s">
        <v>2681</v>
      </c>
      <c r="D942" t="s">
        <v>1986</v>
      </c>
      <c r="E942" t="s">
        <v>2680</v>
      </c>
      <c r="F942" t="s">
        <v>1988</v>
      </c>
      <c r="G942" t="s">
        <v>1989</v>
      </c>
      <c r="H942" t="s">
        <v>61</v>
      </c>
      <c r="I942" t="s">
        <v>1990</v>
      </c>
      <c r="J942" t="s">
        <v>91</v>
      </c>
      <c r="K942" t="s">
        <v>92</v>
      </c>
      <c r="L942" t="s">
        <v>29</v>
      </c>
      <c r="M942" t="s">
        <v>30</v>
      </c>
      <c r="N942" t="s">
        <v>31</v>
      </c>
      <c r="Q942" t="s">
        <v>1980</v>
      </c>
      <c r="R942" t="s">
        <v>1980</v>
      </c>
    </row>
    <row r="943" spans="1:18" x14ac:dyDescent="0.3">
      <c r="A943" s="2" t="str">
        <f>HYPERLINK(B943,"Oppna PDF")</f>
        <v>Oppna PDF</v>
      </c>
      <c r="B943" t="s">
        <v>2678</v>
      </c>
      <c r="C943" t="s">
        <v>2682</v>
      </c>
      <c r="D943" t="s">
        <v>1986</v>
      </c>
      <c r="E943" t="s">
        <v>2680</v>
      </c>
      <c r="F943" t="s">
        <v>1988</v>
      </c>
      <c r="G943" t="s">
        <v>1989</v>
      </c>
      <c r="H943" t="s">
        <v>61</v>
      </c>
      <c r="I943" t="s">
        <v>1990</v>
      </c>
      <c r="J943" t="s">
        <v>38</v>
      </c>
      <c r="K943" t="s">
        <v>39</v>
      </c>
      <c r="L943" t="s">
        <v>29</v>
      </c>
      <c r="M943" t="s">
        <v>30</v>
      </c>
      <c r="N943" t="s">
        <v>31</v>
      </c>
      <c r="Q943" t="s">
        <v>1982</v>
      </c>
      <c r="R943" t="s">
        <v>1983</v>
      </c>
    </row>
    <row r="944" spans="1:18" x14ac:dyDescent="0.3">
      <c r="A944" s="2" t="str">
        <f>HYPERLINK(B944,"Oppna PDF")</f>
        <v>Oppna PDF</v>
      </c>
      <c r="B944" t="s">
        <v>2683</v>
      </c>
      <c r="C944" t="s">
        <v>2684</v>
      </c>
      <c r="D944" t="s">
        <v>2685</v>
      </c>
      <c r="E944" t="s">
        <v>2686</v>
      </c>
      <c r="H944" t="s">
        <v>25</v>
      </c>
      <c r="I944" t="s">
        <v>2687</v>
      </c>
      <c r="J944" t="s">
        <v>27</v>
      </c>
      <c r="K944" t="s">
        <v>28</v>
      </c>
      <c r="L944" t="s">
        <v>29</v>
      </c>
      <c r="M944" t="s">
        <v>30</v>
      </c>
      <c r="N944" t="s">
        <v>31</v>
      </c>
      <c r="Q944" t="s">
        <v>2688</v>
      </c>
      <c r="R944" t="s">
        <v>2689</v>
      </c>
    </row>
    <row r="945" spans="1:18" x14ac:dyDescent="0.3">
      <c r="A945" s="2" t="str">
        <f>HYPERLINK(B945,"Oppna PDF")</f>
        <v>Oppna PDF</v>
      </c>
      <c r="B945" t="s">
        <v>2683</v>
      </c>
      <c r="C945" t="s">
        <v>2690</v>
      </c>
      <c r="D945" t="s">
        <v>2685</v>
      </c>
      <c r="E945" t="s">
        <v>2686</v>
      </c>
      <c r="H945" t="s">
        <v>25</v>
      </c>
      <c r="I945" t="s">
        <v>2687</v>
      </c>
      <c r="J945" t="s">
        <v>34</v>
      </c>
      <c r="K945" t="s">
        <v>35</v>
      </c>
      <c r="L945" t="s">
        <v>29</v>
      </c>
      <c r="M945" t="s">
        <v>30</v>
      </c>
      <c r="N945" t="s">
        <v>31</v>
      </c>
      <c r="Q945" t="s">
        <v>2649</v>
      </c>
      <c r="R945" t="s">
        <v>2649</v>
      </c>
    </row>
    <row r="946" spans="1:18" x14ac:dyDescent="0.3">
      <c r="A946" s="2" t="str">
        <f>HYPERLINK(B946,"Oppna PDF")</f>
        <v>Oppna PDF</v>
      </c>
      <c r="B946" t="s">
        <v>2683</v>
      </c>
      <c r="C946" t="s">
        <v>2691</v>
      </c>
      <c r="D946" t="s">
        <v>2685</v>
      </c>
      <c r="E946" t="s">
        <v>2686</v>
      </c>
      <c r="H946" t="s">
        <v>25</v>
      </c>
      <c r="I946" t="s">
        <v>2687</v>
      </c>
      <c r="J946" t="s">
        <v>38</v>
      </c>
      <c r="K946" t="s">
        <v>39</v>
      </c>
      <c r="L946" t="s">
        <v>29</v>
      </c>
      <c r="M946" t="s">
        <v>30</v>
      </c>
      <c r="N946" t="s">
        <v>31</v>
      </c>
      <c r="Q946" t="s">
        <v>2692</v>
      </c>
      <c r="R946" t="s">
        <v>2693</v>
      </c>
    </row>
    <row r="947" spans="1:18" x14ac:dyDescent="0.3">
      <c r="A947" s="2" t="str">
        <f>HYPERLINK(B947,"Oppna PDF")</f>
        <v>Oppna PDF</v>
      </c>
      <c r="B947" t="s">
        <v>2694</v>
      </c>
      <c r="C947" t="s">
        <v>2695</v>
      </c>
      <c r="D947" t="s">
        <v>2685</v>
      </c>
      <c r="E947" t="s">
        <v>2696</v>
      </c>
      <c r="H947" t="s">
        <v>25</v>
      </c>
      <c r="I947" t="s">
        <v>2687</v>
      </c>
      <c r="J947" t="s">
        <v>87</v>
      </c>
      <c r="K947" t="s">
        <v>88</v>
      </c>
      <c r="L947" t="s">
        <v>300</v>
      </c>
      <c r="M947" t="s">
        <v>30</v>
      </c>
      <c r="N947" t="s">
        <v>31</v>
      </c>
      <c r="Q947" t="s">
        <v>1007</v>
      </c>
      <c r="R947" t="s">
        <v>1007</v>
      </c>
    </row>
    <row r="948" spans="1:18" x14ac:dyDescent="0.3">
      <c r="A948" s="2" t="str">
        <f>HYPERLINK(B948,"Oppna PDF")</f>
        <v>Oppna PDF</v>
      </c>
      <c r="B948" t="s">
        <v>2697</v>
      </c>
      <c r="C948" t="s">
        <v>2698</v>
      </c>
      <c r="D948" t="s">
        <v>1010</v>
      </c>
      <c r="E948" t="s">
        <v>2699</v>
      </c>
      <c r="F948" t="s">
        <v>1012</v>
      </c>
      <c r="G948" t="s">
        <v>1013</v>
      </c>
      <c r="H948" t="s">
        <v>25</v>
      </c>
      <c r="I948" t="s">
        <v>1014</v>
      </c>
      <c r="J948" t="s">
        <v>34</v>
      </c>
      <c r="K948" t="s">
        <v>35</v>
      </c>
      <c r="L948" t="s">
        <v>300</v>
      </c>
      <c r="M948" t="s">
        <v>30</v>
      </c>
      <c r="N948" t="s">
        <v>31</v>
      </c>
      <c r="Q948" t="s">
        <v>2700</v>
      </c>
      <c r="R948" t="s">
        <v>2700</v>
      </c>
    </row>
    <row r="949" spans="1:18" x14ac:dyDescent="0.3">
      <c r="A949" s="2" t="str">
        <f>HYPERLINK(B949,"Oppna PDF")</f>
        <v>Oppna PDF</v>
      </c>
      <c r="B949" t="s">
        <v>2697</v>
      </c>
      <c r="C949" t="s">
        <v>2701</v>
      </c>
      <c r="D949" t="s">
        <v>1010</v>
      </c>
      <c r="E949" t="s">
        <v>2699</v>
      </c>
      <c r="F949" t="s">
        <v>1012</v>
      </c>
      <c r="G949" t="s">
        <v>1013</v>
      </c>
      <c r="H949" t="s">
        <v>25</v>
      </c>
      <c r="I949" t="s">
        <v>1014</v>
      </c>
      <c r="J949" t="s">
        <v>34</v>
      </c>
      <c r="K949" t="s">
        <v>35</v>
      </c>
      <c r="L949" t="s">
        <v>300</v>
      </c>
      <c r="M949" t="s">
        <v>30</v>
      </c>
      <c r="N949" t="s">
        <v>31</v>
      </c>
      <c r="Q949" t="s">
        <v>2702</v>
      </c>
      <c r="R949" t="s">
        <v>2702</v>
      </c>
    </row>
    <row r="950" spans="1:18" x14ac:dyDescent="0.3">
      <c r="A950" s="2" t="str">
        <f>HYPERLINK(B950,"Oppna PDF")</f>
        <v>Oppna PDF</v>
      </c>
      <c r="B950" t="s">
        <v>2697</v>
      </c>
      <c r="C950" t="s">
        <v>2703</v>
      </c>
      <c r="D950" t="s">
        <v>1010</v>
      </c>
      <c r="E950" t="s">
        <v>2699</v>
      </c>
      <c r="F950" t="s">
        <v>1012</v>
      </c>
      <c r="G950" t="s">
        <v>1013</v>
      </c>
      <c r="H950" t="s">
        <v>25</v>
      </c>
      <c r="I950" t="s">
        <v>1014</v>
      </c>
      <c r="J950" t="s">
        <v>34</v>
      </c>
      <c r="K950" t="s">
        <v>35</v>
      </c>
      <c r="L950" t="s">
        <v>300</v>
      </c>
      <c r="M950" t="s">
        <v>30</v>
      </c>
      <c r="N950" t="s">
        <v>31</v>
      </c>
      <c r="Q950" t="s">
        <v>2704</v>
      </c>
      <c r="R950" t="s">
        <v>2704</v>
      </c>
    </row>
    <row r="951" spans="1:18" x14ac:dyDescent="0.3">
      <c r="A951" s="2" t="str">
        <f>HYPERLINK(B951,"Oppna PDF")</f>
        <v>Oppna PDF</v>
      </c>
      <c r="B951" t="s">
        <v>2705</v>
      </c>
      <c r="C951" t="s">
        <v>2706</v>
      </c>
      <c r="D951" t="s">
        <v>1010</v>
      </c>
      <c r="E951" t="s">
        <v>2707</v>
      </c>
      <c r="F951" t="s">
        <v>1012</v>
      </c>
      <c r="G951" t="s">
        <v>1013</v>
      </c>
      <c r="H951" t="s">
        <v>25</v>
      </c>
      <c r="I951" t="s">
        <v>1014</v>
      </c>
      <c r="J951" t="s">
        <v>27</v>
      </c>
      <c r="K951" t="s">
        <v>28</v>
      </c>
      <c r="L951" t="s">
        <v>29</v>
      </c>
      <c r="M951" t="s">
        <v>30</v>
      </c>
      <c r="N951" t="s">
        <v>31</v>
      </c>
      <c r="Q951" t="s">
        <v>1039</v>
      </c>
      <c r="R951" t="s">
        <v>1039</v>
      </c>
    </row>
    <row r="952" spans="1:18" x14ac:dyDescent="0.3">
      <c r="A952" s="2" t="str">
        <f>HYPERLINK(B952,"Oppna PDF")</f>
        <v>Oppna PDF</v>
      </c>
      <c r="B952" t="s">
        <v>2705</v>
      </c>
      <c r="C952" t="s">
        <v>2708</v>
      </c>
      <c r="D952" t="s">
        <v>1010</v>
      </c>
      <c r="E952" t="s">
        <v>2707</v>
      </c>
      <c r="F952" t="s">
        <v>1012</v>
      </c>
      <c r="G952" t="s">
        <v>1013</v>
      </c>
      <c r="H952" t="s">
        <v>25</v>
      </c>
      <c r="I952" t="s">
        <v>1014</v>
      </c>
      <c r="J952" t="s">
        <v>209</v>
      </c>
      <c r="K952" t="s">
        <v>210</v>
      </c>
      <c r="L952" t="s">
        <v>29</v>
      </c>
      <c r="M952" t="s">
        <v>30</v>
      </c>
      <c r="N952" t="s">
        <v>31</v>
      </c>
      <c r="Q952" t="s">
        <v>1041</v>
      </c>
      <c r="R952" t="s">
        <v>1042</v>
      </c>
    </row>
    <row r="953" spans="1:18" x14ac:dyDescent="0.3">
      <c r="A953" s="2" t="str">
        <f>HYPERLINK(B953,"Oppna PDF")</f>
        <v>Oppna PDF</v>
      </c>
      <c r="B953" t="s">
        <v>2705</v>
      </c>
      <c r="C953" t="s">
        <v>2709</v>
      </c>
      <c r="D953" t="s">
        <v>1010</v>
      </c>
      <c r="E953" t="s">
        <v>2707</v>
      </c>
      <c r="F953" t="s">
        <v>1012</v>
      </c>
      <c r="G953" t="s">
        <v>1013</v>
      </c>
      <c r="H953" t="s">
        <v>25</v>
      </c>
      <c r="I953" t="s">
        <v>1014</v>
      </c>
      <c r="J953" t="s">
        <v>87</v>
      </c>
      <c r="K953" t="s">
        <v>88</v>
      </c>
      <c r="L953" t="s">
        <v>29</v>
      </c>
      <c r="M953" t="s">
        <v>30</v>
      </c>
      <c r="N953" t="s">
        <v>31</v>
      </c>
      <c r="Q953" t="s">
        <v>1044</v>
      </c>
      <c r="R953" t="s">
        <v>1044</v>
      </c>
    </row>
    <row r="954" spans="1:18" x14ac:dyDescent="0.3">
      <c r="A954" s="2" t="str">
        <f>HYPERLINK(B954,"Oppna PDF")</f>
        <v>Oppna PDF</v>
      </c>
      <c r="B954" t="s">
        <v>2710</v>
      </c>
      <c r="C954" t="s">
        <v>2711</v>
      </c>
      <c r="D954" t="s">
        <v>1028</v>
      </c>
      <c r="E954" t="s">
        <v>2712</v>
      </c>
      <c r="H954" t="s">
        <v>25</v>
      </c>
      <c r="I954" t="s">
        <v>1030</v>
      </c>
      <c r="J954" t="s">
        <v>27</v>
      </c>
      <c r="K954" t="s">
        <v>28</v>
      </c>
      <c r="L954" t="s">
        <v>29</v>
      </c>
      <c r="M954" t="s">
        <v>30</v>
      </c>
      <c r="N954" t="s">
        <v>31</v>
      </c>
      <c r="Q954" t="s">
        <v>1015</v>
      </c>
      <c r="R954" t="s">
        <v>1015</v>
      </c>
    </row>
    <row r="955" spans="1:18" x14ac:dyDescent="0.3">
      <c r="A955" s="2" t="str">
        <f>HYPERLINK(B955,"Oppna PDF")</f>
        <v>Oppna PDF</v>
      </c>
      <c r="B955" t="s">
        <v>2710</v>
      </c>
      <c r="C955" t="s">
        <v>2713</v>
      </c>
      <c r="D955" t="s">
        <v>1028</v>
      </c>
      <c r="E955" t="s">
        <v>2712</v>
      </c>
      <c r="H955" t="s">
        <v>25</v>
      </c>
      <c r="I955" t="s">
        <v>1030</v>
      </c>
      <c r="J955" t="s">
        <v>27</v>
      </c>
      <c r="K955" t="s">
        <v>28</v>
      </c>
      <c r="L955" t="s">
        <v>29</v>
      </c>
      <c r="M955" t="s">
        <v>30</v>
      </c>
      <c r="N955" t="s">
        <v>31</v>
      </c>
      <c r="Q955" t="s">
        <v>2714</v>
      </c>
      <c r="R955" t="s">
        <v>2714</v>
      </c>
    </row>
    <row r="956" spans="1:18" x14ac:dyDescent="0.3">
      <c r="A956" s="2" t="str">
        <f>HYPERLINK(B956,"Oppna PDF")</f>
        <v>Oppna PDF</v>
      </c>
      <c r="B956" t="s">
        <v>2710</v>
      </c>
      <c r="C956" t="s">
        <v>2715</v>
      </c>
      <c r="D956" t="s">
        <v>1028</v>
      </c>
      <c r="E956" t="s">
        <v>2712</v>
      </c>
      <c r="H956" t="s">
        <v>25</v>
      </c>
      <c r="I956" t="s">
        <v>1030</v>
      </c>
      <c r="J956" t="s">
        <v>48</v>
      </c>
      <c r="K956" t="s">
        <v>49</v>
      </c>
      <c r="L956" t="s">
        <v>29</v>
      </c>
      <c r="M956" t="s">
        <v>30</v>
      </c>
      <c r="N956" t="s">
        <v>31</v>
      </c>
      <c r="Q956" t="s">
        <v>1019</v>
      </c>
      <c r="R956" t="s">
        <v>1019</v>
      </c>
    </row>
    <row r="957" spans="1:18" x14ac:dyDescent="0.3">
      <c r="A957" s="2" t="str">
        <f>HYPERLINK(B957,"Oppna PDF")</f>
        <v>Oppna PDF</v>
      </c>
      <c r="B957" t="s">
        <v>2716</v>
      </c>
      <c r="C957" t="s">
        <v>2717</v>
      </c>
      <c r="D957" t="s">
        <v>2718</v>
      </c>
      <c r="E957" t="s">
        <v>2719</v>
      </c>
      <c r="F957" t="s">
        <v>2083</v>
      </c>
      <c r="G957" t="s">
        <v>2084</v>
      </c>
      <c r="H957" t="s">
        <v>25</v>
      </c>
      <c r="I957" t="s">
        <v>2085</v>
      </c>
      <c r="J957" t="s">
        <v>34</v>
      </c>
      <c r="K957" t="s">
        <v>35</v>
      </c>
      <c r="L957" t="s">
        <v>300</v>
      </c>
      <c r="M957" t="s">
        <v>30</v>
      </c>
      <c r="N957" t="s">
        <v>31</v>
      </c>
      <c r="Q957" t="s">
        <v>2086</v>
      </c>
      <c r="R957" t="s">
        <v>2086</v>
      </c>
    </row>
    <row r="958" spans="1:18" x14ac:dyDescent="0.3">
      <c r="A958" s="2" t="str">
        <f>HYPERLINK(B958,"Oppna PDF")</f>
        <v>Oppna PDF</v>
      </c>
      <c r="B958" t="s">
        <v>2720</v>
      </c>
      <c r="C958" t="s">
        <v>2721</v>
      </c>
      <c r="D958" t="s">
        <v>2718</v>
      </c>
      <c r="E958" t="s">
        <v>2722</v>
      </c>
      <c r="F958" t="s">
        <v>2083</v>
      </c>
      <c r="G958" t="s">
        <v>2084</v>
      </c>
      <c r="H958" t="s">
        <v>25</v>
      </c>
      <c r="I958" t="s">
        <v>2085</v>
      </c>
      <c r="J958" t="s">
        <v>34</v>
      </c>
      <c r="K958" t="s">
        <v>35</v>
      </c>
      <c r="L958" t="s">
        <v>29</v>
      </c>
      <c r="M958" t="s">
        <v>30</v>
      </c>
      <c r="N958" t="s">
        <v>31</v>
      </c>
      <c r="Q958" t="s">
        <v>2090</v>
      </c>
      <c r="R958" t="s">
        <v>2090</v>
      </c>
    </row>
    <row r="959" spans="1:18" x14ac:dyDescent="0.3">
      <c r="A959" s="2" t="str">
        <f>HYPERLINK(B959,"Oppna PDF")</f>
        <v>Oppna PDF</v>
      </c>
      <c r="B959" t="s">
        <v>2720</v>
      </c>
      <c r="C959" t="s">
        <v>2723</v>
      </c>
      <c r="D959" t="s">
        <v>2718</v>
      </c>
      <c r="E959" t="s">
        <v>2722</v>
      </c>
      <c r="F959" t="s">
        <v>2083</v>
      </c>
      <c r="G959" t="s">
        <v>2084</v>
      </c>
      <c r="H959" t="s">
        <v>25</v>
      </c>
      <c r="I959" t="s">
        <v>2085</v>
      </c>
      <c r="J959" t="s">
        <v>91</v>
      </c>
      <c r="K959" t="s">
        <v>92</v>
      </c>
      <c r="L959" t="s">
        <v>29</v>
      </c>
      <c r="M959" t="s">
        <v>30</v>
      </c>
      <c r="N959" t="s">
        <v>31</v>
      </c>
      <c r="Q959" t="s">
        <v>2092</v>
      </c>
      <c r="R959" t="s">
        <v>2092</v>
      </c>
    </row>
    <row r="960" spans="1:18" x14ac:dyDescent="0.3">
      <c r="A960" s="2" t="str">
        <f>HYPERLINK(B960,"Oppna PDF")</f>
        <v>Oppna PDF</v>
      </c>
      <c r="B960" t="s">
        <v>2720</v>
      </c>
      <c r="C960" t="s">
        <v>2724</v>
      </c>
      <c r="D960" t="s">
        <v>2718</v>
      </c>
      <c r="E960" t="s">
        <v>2722</v>
      </c>
      <c r="F960" t="s">
        <v>2083</v>
      </c>
      <c r="G960" t="s">
        <v>2084</v>
      </c>
      <c r="H960" t="s">
        <v>25</v>
      </c>
      <c r="I960" t="s">
        <v>2085</v>
      </c>
      <c r="J960" t="s">
        <v>209</v>
      </c>
      <c r="K960" t="s">
        <v>210</v>
      </c>
      <c r="L960" t="s">
        <v>29</v>
      </c>
      <c r="M960" t="s">
        <v>30</v>
      </c>
      <c r="N960" t="s">
        <v>31</v>
      </c>
      <c r="Q960" t="s">
        <v>2094</v>
      </c>
      <c r="R960" t="s">
        <v>2094</v>
      </c>
    </row>
    <row r="961" spans="1:18" x14ac:dyDescent="0.3">
      <c r="A961" s="2" t="str">
        <f>HYPERLINK(B961,"Oppna PDF")</f>
        <v>Oppna PDF</v>
      </c>
      <c r="B961" t="s">
        <v>2725</v>
      </c>
      <c r="C961" t="s">
        <v>2726</v>
      </c>
      <c r="D961" t="s">
        <v>1432</v>
      </c>
      <c r="E961" t="s">
        <v>2727</v>
      </c>
      <c r="F961" t="s">
        <v>1434</v>
      </c>
      <c r="G961" t="s">
        <v>1435</v>
      </c>
      <c r="H961" t="s">
        <v>61</v>
      </c>
      <c r="I961" t="s">
        <v>1436</v>
      </c>
      <c r="J961" t="s">
        <v>87</v>
      </c>
      <c r="K961" t="s">
        <v>88</v>
      </c>
      <c r="L961" t="s">
        <v>29</v>
      </c>
      <c r="M961" t="s">
        <v>30</v>
      </c>
      <c r="N961" t="s">
        <v>31</v>
      </c>
      <c r="Q961" t="s">
        <v>2728</v>
      </c>
      <c r="R961" t="s">
        <v>2728</v>
      </c>
    </row>
    <row r="962" spans="1:18" x14ac:dyDescent="0.3">
      <c r="A962" s="2" t="str">
        <f>HYPERLINK(B962,"Oppna PDF")</f>
        <v>Oppna PDF</v>
      </c>
      <c r="B962" t="s">
        <v>2725</v>
      </c>
      <c r="C962" t="s">
        <v>2729</v>
      </c>
      <c r="D962" t="s">
        <v>1432</v>
      </c>
      <c r="E962" t="s">
        <v>2727</v>
      </c>
      <c r="F962" t="s">
        <v>1434</v>
      </c>
      <c r="G962" t="s">
        <v>1435</v>
      </c>
      <c r="H962" t="s">
        <v>61</v>
      </c>
      <c r="I962" t="s">
        <v>1436</v>
      </c>
      <c r="J962" t="s">
        <v>27</v>
      </c>
      <c r="K962" t="s">
        <v>28</v>
      </c>
      <c r="L962" t="s">
        <v>29</v>
      </c>
      <c r="M962" t="s">
        <v>30</v>
      </c>
      <c r="N962" t="s">
        <v>31</v>
      </c>
      <c r="Q962" t="s">
        <v>2730</v>
      </c>
      <c r="R962" t="s">
        <v>2730</v>
      </c>
    </row>
    <row r="963" spans="1:18" x14ac:dyDescent="0.3">
      <c r="A963" s="2" t="str">
        <f>HYPERLINK(B963,"Oppna PDF")</f>
        <v>Oppna PDF</v>
      </c>
      <c r="B963" t="s">
        <v>2725</v>
      </c>
      <c r="C963" t="s">
        <v>2731</v>
      </c>
      <c r="D963" t="s">
        <v>1432</v>
      </c>
      <c r="E963" t="s">
        <v>2727</v>
      </c>
      <c r="F963" t="s">
        <v>1434</v>
      </c>
      <c r="G963" t="s">
        <v>1435</v>
      </c>
      <c r="H963" t="s">
        <v>61</v>
      </c>
      <c r="I963" t="s">
        <v>1436</v>
      </c>
      <c r="J963" t="s">
        <v>34</v>
      </c>
      <c r="K963" t="s">
        <v>35</v>
      </c>
      <c r="L963" t="s">
        <v>29</v>
      </c>
      <c r="M963" t="s">
        <v>30</v>
      </c>
      <c r="N963" t="s">
        <v>31</v>
      </c>
      <c r="Q963" t="s">
        <v>2732</v>
      </c>
      <c r="R963" t="s">
        <v>2732</v>
      </c>
    </row>
    <row r="964" spans="1:18" x14ac:dyDescent="0.3">
      <c r="A964" s="2" t="str">
        <f>HYPERLINK(B964,"Oppna PDF")</f>
        <v>Oppna PDF</v>
      </c>
      <c r="B964" t="s">
        <v>2733</v>
      </c>
      <c r="C964" t="s">
        <v>2734</v>
      </c>
      <c r="D964" t="s">
        <v>1028</v>
      </c>
      <c r="E964" t="s">
        <v>2735</v>
      </c>
      <c r="H964" t="s">
        <v>25</v>
      </c>
      <c r="I964" t="s">
        <v>1030</v>
      </c>
      <c r="J964" t="s">
        <v>34</v>
      </c>
      <c r="K964" t="s">
        <v>35</v>
      </c>
      <c r="L964" t="s">
        <v>300</v>
      </c>
      <c r="M964" t="s">
        <v>30</v>
      </c>
      <c r="N964" t="s">
        <v>31</v>
      </c>
      <c r="Q964" t="s">
        <v>2700</v>
      </c>
      <c r="R964" t="s">
        <v>2700</v>
      </c>
    </row>
    <row r="965" spans="1:18" x14ac:dyDescent="0.3">
      <c r="A965" s="2" t="str">
        <f>HYPERLINK(B965,"Oppna PDF")</f>
        <v>Oppna PDF</v>
      </c>
      <c r="B965" t="s">
        <v>2733</v>
      </c>
      <c r="C965" t="s">
        <v>2736</v>
      </c>
      <c r="D965" t="s">
        <v>1028</v>
      </c>
      <c r="E965" t="s">
        <v>2735</v>
      </c>
      <c r="H965" t="s">
        <v>25</v>
      </c>
      <c r="I965" t="s">
        <v>1030</v>
      </c>
      <c r="J965" t="s">
        <v>34</v>
      </c>
      <c r="K965" t="s">
        <v>35</v>
      </c>
      <c r="L965" t="s">
        <v>300</v>
      </c>
      <c r="M965" t="s">
        <v>30</v>
      </c>
      <c r="N965" t="s">
        <v>31</v>
      </c>
      <c r="Q965" t="s">
        <v>2702</v>
      </c>
      <c r="R965" t="s">
        <v>2702</v>
      </c>
    </row>
    <row r="966" spans="1:18" x14ac:dyDescent="0.3">
      <c r="A966" s="2" t="str">
        <f>HYPERLINK(B966,"Oppna PDF")</f>
        <v>Oppna PDF</v>
      </c>
      <c r="B966" t="s">
        <v>2733</v>
      </c>
      <c r="C966" t="s">
        <v>2737</v>
      </c>
      <c r="D966" t="s">
        <v>1028</v>
      </c>
      <c r="E966" t="s">
        <v>2735</v>
      </c>
      <c r="H966" t="s">
        <v>25</v>
      </c>
      <c r="I966" t="s">
        <v>1030</v>
      </c>
      <c r="J966" t="s">
        <v>34</v>
      </c>
      <c r="K966" t="s">
        <v>35</v>
      </c>
      <c r="L966" t="s">
        <v>300</v>
      </c>
      <c r="M966" t="s">
        <v>30</v>
      </c>
      <c r="N966" t="s">
        <v>31</v>
      </c>
      <c r="Q966" t="s">
        <v>2704</v>
      </c>
      <c r="R966" t="s">
        <v>2704</v>
      </c>
    </row>
    <row r="967" spans="1:18" x14ac:dyDescent="0.3">
      <c r="A967" s="2" t="str">
        <f>HYPERLINK(B967,"Oppna PDF")</f>
        <v>Oppna PDF</v>
      </c>
      <c r="B967" t="s">
        <v>2738</v>
      </c>
      <c r="C967" t="s">
        <v>2739</v>
      </c>
      <c r="D967" t="s">
        <v>445</v>
      </c>
      <c r="E967" t="s">
        <v>2740</v>
      </c>
      <c r="F967" t="s">
        <v>447</v>
      </c>
      <c r="G967" t="s">
        <v>448</v>
      </c>
      <c r="H967" t="s">
        <v>268</v>
      </c>
      <c r="I967" t="s">
        <v>449</v>
      </c>
      <c r="J967" t="s">
        <v>87</v>
      </c>
      <c r="K967" t="s">
        <v>88</v>
      </c>
      <c r="L967" t="s">
        <v>29</v>
      </c>
      <c r="M967" t="s">
        <v>30</v>
      </c>
      <c r="N967" t="s">
        <v>31</v>
      </c>
      <c r="Q967" t="s">
        <v>1050</v>
      </c>
      <c r="R967" t="s">
        <v>1051</v>
      </c>
    </row>
    <row r="968" spans="1:18" x14ac:dyDescent="0.3">
      <c r="A968" s="2" t="str">
        <f>HYPERLINK(B968,"Oppna PDF")</f>
        <v>Oppna PDF</v>
      </c>
      <c r="B968" t="s">
        <v>2738</v>
      </c>
      <c r="C968" t="s">
        <v>2741</v>
      </c>
      <c r="D968" t="s">
        <v>445</v>
      </c>
      <c r="E968" t="s">
        <v>2740</v>
      </c>
      <c r="F968" t="s">
        <v>447</v>
      </c>
      <c r="G968" t="s">
        <v>448</v>
      </c>
      <c r="H968" t="s">
        <v>268</v>
      </c>
      <c r="I968" t="s">
        <v>449</v>
      </c>
      <c r="J968" t="s">
        <v>87</v>
      </c>
      <c r="K968" t="s">
        <v>88</v>
      </c>
      <c r="L968" t="s">
        <v>29</v>
      </c>
      <c r="M968" t="s">
        <v>30</v>
      </c>
      <c r="N968" t="s">
        <v>31</v>
      </c>
      <c r="Q968" t="s">
        <v>1053</v>
      </c>
      <c r="R968" t="s">
        <v>1053</v>
      </c>
    </row>
    <row r="969" spans="1:18" x14ac:dyDescent="0.3">
      <c r="A969" s="2" t="str">
        <f>HYPERLINK(B969,"Oppna PDF")</f>
        <v>Oppna PDF</v>
      </c>
      <c r="B969" t="s">
        <v>2738</v>
      </c>
      <c r="C969" t="s">
        <v>2742</v>
      </c>
      <c r="D969" t="s">
        <v>445</v>
      </c>
      <c r="E969" t="s">
        <v>2740</v>
      </c>
      <c r="F969" t="s">
        <v>447</v>
      </c>
      <c r="G969" t="s">
        <v>448</v>
      </c>
      <c r="H969" t="s">
        <v>268</v>
      </c>
      <c r="I969" t="s">
        <v>449</v>
      </c>
      <c r="J969" t="s">
        <v>87</v>
      </c>
      <c r="K969" t="s">
        <v>88</v>
      </c>
      <c r="L969" t="s">
        <v>29</v>
      </c>
      <c r="M969" t="s">
        <v>30</v>
      </c>
      <c r="N969" t="s">
        <v>31</v>
      </c>
      <c r="Q969" t="s">
        <v>1055</v>
      </c>
      <c r="R969" t="s">
        <v>1055</v>
      </c>
    </row>
    <row r="970" spans="1:18" x14ac:dyDescent="0.3">
      <c r="A970" s="2" t="str">
        <f>HYPERLINK(B970,"Oppna PDF")</f>
        <v>Oppna PDF</v>
      </c>
      <c r="B970" t="s">
        <v>2743</v>
      </c>
      <c r="C970" t="s">
        <v>2744</v>
      </c>
      <c r="D970" t="s">
        <v>445</v>
      </c>
      <c r="E970" t="s">
        <v>2745</v>
      </c>
      <c r="F970" t="s">
        <v>447</v>
      </c>
      <c r="G970" t="s">
        <v>448</v>
      </c>
      <c r="H970" t="s">
        <v>268</v>
      </c>
      <c r="I970" t="s">
        <v>449</v>
      </c>
      <c r="J970" t="s">
        <v>87</v>
      </c>
      <c r="K970" t="s">
        <v>88</v>
      </c>
      <c r="L970" t="s">
        <v>29</v>
      </c>
      <c r="M970" t="s">
        <v>30</v>
      </c>
      <c r="N970" t="s">
        <v>31</v>
      </c>
      <c r="Q970" t="s">
        <v>1050</v>
      </c>
      <c r="R970" t="s">
        <v>1051</v>
      </c>
    </row>
    <row r="971" spans="1:18" x14ac:dyDescent="0.3">
      <c r="A971" s="2" t="str">
        <f>HYPERLINK(B971,"Oppna PDF")</f>
        <v>Oppna PDF</v>
      </c>
      <c r="B971" t="s">
        <v>2743</v>
      </c>
      <c r="C971" t="s">
        <v>2746</v>
      </c>
      <c r="D971" t="s">
        <v>445</v>
      </c>
      <c r="E971" t="s">
        <v>2745</v>
      </c>
      <c r="F971" t="s">
        <v>447</v>
      </c>
      <c r="G971" t="s">
        <v>448</v>
      </c>
      <c r="H971" t="s">
        <v>268</v>
      </c>
      <c r="I971" t="s">
        <v>449</v>
      </c>
      <c r="J971" t="s">
        <v>87</v>
      </c>
      <c r="K971" t="s">
        <v>88</v>
      </c>
      <c r="L971" t="s">
        <v>29</v>
      </c>
      <c r="M971" t="s">
        <v>30</v>
      </c>
      <c r="N971" t="s">
        <v>31</v>
      </c>
      <c r="Q971" t="s">
        <v>1053</v>
      </c>
      <c r="R971" t="s">
        <v>1053</v>
      </c>
    </row>
    <row r="972" spans="1:18" x14ac:dyDescent="0.3">
      <c r="A972" s="2" t="str">
        <f>HYPERLINK(B972,"Oppna PDF")</f>
        <v>Oppna PDF</v>
      </c>
      <c r="B972" t="s">
        <v>2743</v>
      </c>
      <c r="C972" t="s">
        <v>2747</v>
      </c>
      <c r="D972" t="s">
        <v>445</v>
      </c>
      <c r="E972" t="s">
        <v>2745</v>
      </c>
      <c r="F972" t="s">
        <v>447</v>
      </c>
      <c r="G972" t="s">
        <v>448</v>
      </c>
      <c r="H972" t="s">
        <v>268</v>
      </c>
      <c r="I972" t="s">
        <v>449</v>
      </c>
      <c r="J972" t="s">
        <v>87</v>
      </c>
      <c r="K972" t="s">
        <v>88</v>
      </c>
      <c r="L972" t="s">
        <v>29</v>
      </c>
      <c r="M972" t="s">
        <v>30</v>
      </c>
      <c r="N972" t="s">
        <v>31</v>
      </c>
      <c r="Q972" t="s">
        <v>1055</v>
      </c>
      <c r="R972" t="s">
        <v>1055</v>
      </c>
    </row>
    <row r="973" spans="1:18" x14ac:dyDescent="0.3">
      <c r="A973" s="2" t="str">
        <f>HYPERLINK(B973,"Oppna PDF")</f>
        <v>Oppna PDF</v>
      </c>
      <c r="B973" t="s">
        <v>2748</v>
      </c>
      <c r="C973" t="s">
        <v>2749</v>
      </c>
      <c r="D973" t="s">
        <v>1047</v>
      </c>
      <c r="E973" t="s">
        <v>2750</v>
      </c>
      <c r="F973" t="s">
        <v>447</v>
      </c>
      <c r="G973" t="s">
        <v>448</v>
      </c>
      <c r="H973" t="s">
        <v>61</v>
      </c>
      <c r="I973" t="s">
        <v>1049</v>
      </c>
      <c r="J973" t="s">
        <v>27</v>
      </c>
      <c r="K973" t="s">
        <v>28</v>
      </c>
      <c r="L973" t="s">
        <v>29</v>
      </c>
      <c r="M973" t="s">
        <v>30</v>
      </c>
      <c r="N973" t="s">
        <v>31</v>
      </c>
      <c r="Q973" t="s">
        <v>450</v>
      </c>
      <c r="R973" t="s">
        <v>450</v>
      </c>
    </row>
    <row r="974" spans="1:18" x14ac:dyDescent="0.3">
      <c r="A974" s="2" t="str">
        <f>HYPERLINK(B974,"Oppna PDF")</f>
        <v>Oppna PDF</v>
      </c>
      <c r="B974" t="s">
        <v>2748</v>
      </c>
      <c r="C974" t="s">
        <v>2751</v>
      </c>
      <c r="D974" t="s">
        <v>1047</v>
      </c>
      <c r="E974" t="s">
        <v>2750</v>
      </c>
      <c r="F974" t="s">
        <v>447</v>
      </c>
      <c r="G974" t="s">
        <v>448</v>
      </c>
      <c r="H974" t="s">
        <v>61</v>
      </c>
      <c r="I974" t="s">
        <v>1049</v>
      </c>
      <c r="J974" t="s">
        <v>38</v>
      </c>
      <c r="K974" t="s">
        <v>39</v>
      </c>
      <c r="L974" t="s">
        <v>29</v>
      </c>
      <c r="M974" t="s">
        <v>30</v>
      </c>
      <c r="N974" t="s">
        <v>31</v>
      </c>
      <c r="Q974" t="s">
        <v>452</v>
      </c>
      <c r="R974" t="s">
        <v>452</v>
      </c>
    </row>
    <row r="975" spans="1:18" x14ac:dyDescent="0.3">
      <c r="A975" s="2" t="str">
        <f>HYPERLINK(B975,"Oppna PDF")</f>
        <v>Oppna PDF</v>
      </c>
      <c r="B975" t="s">
        <v>2748</v>
      </c>
      <c r="C975" t="s">
        <v>2752</v>
      </c>
      <c r="D975" t="s">
        <v>1047</v>
      </c>
      <c r="E975" t="s">
        <v>2750</v>
      </c>
      <c r="F975" t="s">
        <v>447</v>
      </c>
      <c r="G975" t="s">
        <v>448</v>
      </c>
      <c r="H975" t="s">
        <v>61</v>
      </c>
      <c r="I975" t="s">
        <v>1049</v>
      </c>
      <c r="J975" t="s">
        <v>48</v>
      </c>
      <c r="K975" t="s">
        <v>49</v>
      </c>
      <c r="L975" t="s">
        <v>29</v>
      </c>
      <c r="M975" t="s">
        <v>30</v>
      </c>
      <c r="N975" t="s">
        <v>31</v>
      </c>
      <c r="Q975" t="s">
        <v>454</v>
      </c>
      <c r="R975" t="s">
        <v>454</v>
      </c>
    </row>
    <row r="976" spans="1:18" x14ac:dyDescent="0.3">
      <c r="A976" s="2" t="str">
        <f>HYPERLINK(B976,"Oppna PDF")</f>
        <v>Oppna PDF</v>
      </c>
      <c r="B976" t="s">
        <v>2753</v>
      </c>
      <c r="C976" t="s">
        <v>2754</v>
      </c>
      <c r="D976" t="s">
        <v>1047</v>
      </c>
      <c r="E976" t="s">
        <v>2755</v>
      </c>
      <c r="F976" t="s">
        <v>447</v>
      </c>
      <c r="G976" t="s">
        <v>448</v>
      </c>
      <c r="H976" t="s">
        <v>61</v>
      </c>
      <c r="I976" t="s">
        <v>1049</v>
      </c>
      <c r="J976" t="s">
        <v>87</v>
      </c>
      <c r="K976" t="s">
        <v>88</v>
      </c>
      <c r="L976" t="s">
        <v>29</v>
      </c>
      <c r="M976" t="s">
        <v>30</v>
      </c>
      <c r="N976" t="s">
        <v>31</v>
      </c>
      <c r="Q976" t="s">
        <v>2098</v>
      </c>
      <c r="R976" t="s">
        <v>2098</v>
      </c>
    </row>
    <row r="977" spans="1:18" x14ac:dyDescent="0.3">
      <c r="A977" s="2" t="str">
        <f>HYPERLINK(B977,"Oppna PDF")</f>
        <v>Oppna PDF</v>
      </c>
      <c r="B977" t="s">
        <v>2753</v>
      </c>
      <c r="C977" t="s">
        <v>2756</v>
      </c>
      <c r="D977" t="s">
        <v>1047</v>
      </c>
      <c r="E977" t="s">
        <v>2755</v>
      </c>
      <c r="F977" t="s">
        <v>447</v>
      </c>
      <c r="G977" t="s">
        <v>448</v>
      </c>
      <c r="H977" t="s">
        <v>61</v>
      </c>
      <c r="I977" t="s">
        <v>1049</v>
      </c>
      <c r="J977" t="s">
        <v>38</v>
      </c>
      <c r="K977" t="s">
        <v>39</v>
      </c>
      <c r="L977" t="s">
        <v>29</v>
      </c>
      <c r="M977" t="s">
        <v>30</v>
      </c>
      <c r="N977" t="s">
        <v>31</v>
      </c>
      <c r="Q977" t="s">
        <v>2100</v>
      </c>
      <c r="R977" t="s">
        <v>2100</v>
      </c>
    </row>
    <row r="978" spans="1:18" x14ac:dyDescent="0.3">
      <c r="A978" s="2" t="str">
        <f>HYPERLINK(B978,"Oppna PDF")</f>
        <v>Oppna PDF</v>
      </c>
      <c r="B978" t="s">
        <v>2753</v>
      </c>
      <c r="C978" t="s">
        <v>2757</v>
      </c>
      <c r="D978" t="s">
        <v>1047</v>
      </c>
      <c r="E978" t="s">
        <v>2755</v>
      </c>
      <c r="F978" t="s">
        <v>447</v>
      </c>
      <c r="G978" t="s">
        <v>448</v>
      </c>
      <c r="H978" t="s">
        <v>61</v>
      </c>
      <c r="I978" t="s">
        <v>1049</v>
      </c>
      <c r="J978" t="s">
        <v>34</v>
      </c>
      <c r="K978" t="s">
        <v>35</v>
      </c>
      <c r="L978" t="s">
        <v>29</v>
      </c>
      <c r="M978" t="s">
        <v>30</v>
      </c>
      <c r="N978" t="s">
        <v>31</v>
      </c>
      <c r="Q978" t="s">
        <v>2102</v>
      </c>
      <c r="R978" t="s">
        <v>2102</v>
      </c>
    </row>
    <row r="979" spans="1:18" x14ac:dyDescent="0.3">
      <c r="A979" s="2" t="str">
        <f>HYPERLINK(B979,"Oppna PDF")</f>
        <v>Oppna PDF</v>
      </c>
      <c r="B979" t="s">
        <v>2758</v>
      </c>
      <c r="C979" t="s">
        <v>2759</v>
      </c>
      <c r="D979" t="s">
        <v>1047</v>
      </c>
      <c r="E979" t="s">
        <v>2760</v>
      </c>
      <c r="F979" t="s">
        <v>447</v>
      </c>
      <c r="G979" t="s">
        <v>448</v>
      </c>
      <c r="H979" t="s">
        <v>61</v>
      </c>
      <c r="I979" t="s">
        <v>1049</v>
      </c>
      <c r="J979" t="s">
        <v>87</v>
      </c>
      <c r="K979" t="s">
        <v>88</v>
      </c>
      <c r="L979" t="s">
        <v>29</v>
      </c>
      <c r="M979" t="s">
        <v>30</v>
      </c>
      <c r="N979" t="s">
        <v>31</v>
      </c>
      <c r="Q979" t="s">
        <v>1050</v>
      </c>
      <c r="R979" t="s">
        <v>1051</v>
      </c>
    </row>
    <row r="980" spans="1:18" x14ac:dyDescent="0.3">
      <c r="A980" s="2" t="str">
        <f>HYPERLINK(B980,"Oppna PDF")</f>
        <v>Oppna PDF</v>
      </c>
      <c r="B980" t="s">
        <v>2758</v>
      </c>
      <c r="C980" t="s">
        <v>2761</v>
      </c>
      <c r="D980" t="s">
        <v>1047</v>
      </c>
      <c r="E980" t="s">
        <v>2760</v>
      </c>
      <c r="F980" t="s">
        <v>447</v>
      </c>
      <c r="G980" t="s">
        <v>448</v>
      </c>
      <c r="H980" t="s">
        <v>61</v>
      </c>
      <c r="I980" t="s">
        <v>1049</v>
      </c>
      <c r="J980" t="s">
        <v>87</v>
      </c>
      <c r="K980" t="s">
        <v>88</v>
      </c>
      <c r="L980" t="s">
        <v>29</v>
      </c>
      <c r="M980" t="s">
        <v>30</v>
      </c>
      <c r="N980" t="s">
        <v>31</v>
      </c>
      <c r="Q980" t="s">
        <v>1053</v>
      </c>
      <c r="R980" t="s">
        <v>1053</v>
      </c>
    </row>
    <row r="981" spans="1:18" x14ac:dyDescent="0.3">
      <c r="A981" s="2" t="str">
        <f>HYPERLINK(B981,"Oppna PDF")</f>
        <v>Oppna PDF</v>
      </c>
      <c r="B981" t="s">
        <v>2758</v>
      </c>
      <c r="C981" t="s">
        <v>2762</v>
      </c>
      <c r="D981" t="s">
        <v>1047</v>
      </c>
      <c r="E981" t="s">
        <v>2760</v>
      </c>
      <c r="F981" t="s">
        <v>447</v>
      </c>
      <c r="G981" t="s">
        <v>448</v>
      </c>
      <c r="H981" t="s">
        <v>61</v>
      </c>
      <c r="I981" t="s">
        <v>1049</v>
      </c>
      <c r="J981" t="s">
        <v>87</v>
      </c>
      <c r="K981" t="s">
        <v>88</v>
      </c>
      <c r="L981" t="s">
        <v>29</v>
      </c>
      <c r="M981" t="s">
        <v>30</v>
      </c>
      <c r="N981" t="s">
        <v>31</v>
      </c>
      <c r="Q981" t="s">
        <v>1055</v>
      </c>
      <c r="R981" t="s">
        <v>1055</v>
      </c>
    </row>
    <row r="982" spans="1:18" x14ac:dyDescent="0.3">
      <c r="A982" s="2" t="str">
        <f>HYPERLINK(B982,"Oppna PDF")</f>
        <v>Oppna PDF</v>
      </c>
      <c r="B982" t="s">
        <v>2763</v>
      </c>
      <c r="C982" t="s">
        <v>2764</v>
      </c>
      <c r="D982" t="s">
        <v>1047</v>
      </c>
      <c r="E982" t="s">
        <v>2765</v>
      </c>
      <c r="F982" t="s">
        <v>447</v>
      </c>
      <c r="G982" t="s">
        <v>448</v>
      </c>
      <c r="H982" t="s">
        <v>61</v>
      </c>
      <c r="I982" t="s">
        <v>1049</v>
      </c>
      <c r="J982" t="s">
        <v>27</v>
      </c>
      <c r="K982" t="s">
        <v>28</v>
      </c>
      <c r="L982" t="s">
        <v>29</v>
      </c>
      <c r="M982" t="s">
        <v>30</v>
      </c>
      <c r="N982" t="s">
        <v>31</v>
      </c>
      <c r="Q982" t="s">
        <v>2122</v>
      </c>
      <c r="R982" t="s">
        <v>2122</v>
      </c>
    </row>
    <row r="983" spans="1:18" x14ac:dyDescent="0.3">
      <c r="A983" s="2" t="str">
        <f>HYPERLINK(B983,"Oppna PDF")</f>
        <v>Oppna PDF</v>
      </c>
      <c r="B983" t="s">
        <v>2763</v>
      </c>
      <c r="C983" t="s">
        <v>2766</v>
      </c>
      <c r="D983" t="s">
        <v>1047</v>
      </c>
      <c r="E983" t="s">
        <v>2765</v>
      </c>
      <c r="F983" t="s">
        <v>447</v>
      </c>
      <c r="G983" t="s">
        <v>448</v>
      </c>
      <c r="H983" t="s">
        <v>61</v>
      </c>
      <c r="I983" t="s">
        <v>1049</v>
      </c>
      <c r="J983" t="s">
        <v>209</v>
      </c>
      <c r="K983" t="s">
        <v>210</v>
      </c>
      <c r="L983" t="s">
        <v>300</v>
      </c>
      <c r="M983" t="s">
        <v>30</v>
      </c>
      <c r="N983" t="s">
        <v>31</v>
      </c>
      <c r="Q983" t="s">
        <v>2124</v>
      </c>
      <c r="R983" t="s">
        <v>2124</v>
      </c>
    </row>
    <row r="984" spans="1:18" x14ac:dyDescent="0.3">
      <c r="A984" s="2" t="str">
        <f>HYPERLINK(B984,"Oppna PDF")</f>
        <v>Oppna PDF</v>
      </c>
      <c r="B984" t="s">
        <v>2763</v>
      </c>
      <c r="C984" t="s">
        <v>2767</v>
      </c>
      <c r="D984" t="s">
        <v>1047</v>
      </c>
      <c r="E984" t="s">
        <v>2765</v>
      </c>
      <c r="F984" t="s">
        <v>447</v>
      </c>
      <c r="G984" t="s">
        <v>448</v>
      </c>
      <c r="H984" t="s">
        <v>61</v>
      </c>
      <c r="I984" t="s">
        <v>1049</v>
      </c>
      <c r="J984" t="s">
        <v>34</v>
      </c>
      <c r="K984" t="s">
        <v>35</v>
      </c>
      <c r="L984" t="s">
        <v>29</v>
      </c>
      <c r="M984" t="s">
        <v>30</v>
      </c>
      <c r="N984" t="s">
        <v>31</v>
      </c>
      <c r="Q984" t="s">
        <v>2126</v>
      </c>
      <c r="R984" t="s">
        <v>2126</v>
      </c>
    </row>
    <row r="985" spans="1:18" x14ac:dyDescent="0.3">
      <c r="A985" s="2" t="str">
        <f>HYPERLINK(B985,"Oppna PDF")</f>
        <v>Oppna PDF</v>
      </c>
      <c r="B985" t="s">
        <v>2768</v>
      </c>
      <c r="C985" t="s">
        <v>2769</v>
      </c>
      <c r="D985" t="s">
        <v>1047</v>
      </c>
      <c r="E985" t="s">
        <v>2770</v>
      </c>
      <c r="F985" t="s">
        <v>447</v>
      </c>
      <c r="G985" t="s">
        <v>448</v>
      </c>
      <c r="H985" t="s">
        <v>61</v>
      </c>
      <c r="I985" t="s">
        <v>1049</v>
      </c>
      <c r="J985" t="s">
        <v>27</v>
      </c>
      <c r="K985" t="s">
        <v>28</v>
      </c>
      <c r="L985" t="s">
        <v>29</v>
      </c>
      <c r="M985" t="s">
        <v>30</v>
      </c>
      <c r="N985" t="s">
        <v>31</v>
      </c>
      <c r="Q985" t="s">
        <v>2130</v>
      </c>
      <c r="R985" t="s">
        <v>2130</v>
      </c>
    </row>
    <row r="986" spans="1:18" x14ac:dyDescent="0.3">
      <c r="A986" s="2" t="str">
        <f>HYPERLINK(B986,"Oppna PDF")</f>
        <v>Oppna PDF</v>
      </c>
      <c r="B986" t="s">
        <v>2768</v>
      </c>
      <c r="C986" t="s">
        <v>2771</v>
      </c>
      <c r="D986" t="s">
        <v>1047</v>
      </c>
      <c r="E986" t="s">
        <v>2770</v>
      </c>
      <c r="F986" t="s">
        <v>447</v>
      </c>
      <c r="G986" t="s">
        <v>448</v>
      </c>
      <c r="H986" t="s">
        <v>61</v>
      </c>
      <c r="I986" t="s">
        <v>1049</v>
      </c>
      <c r="J986" t="s">
        <v>34</v>
      </c>
      <c r="K986" t="s">
        <v>35</v>
      </c>
      <c r="L986" t="s">
        <v>29</v>
      </c>
      <c r="M986" t="s">
        <v>30</v>
      </c>
      <c r="N986" t="s">
        <v>31</v>
      </c>
      <c r="Q986" t="s">
        <v>2132</v>
      </c>
      <c r="R986" t="s">
        <v>2132</v>
      </c>
    </row>
    <row r="987" spans="1:18" x14ac:dyDescent="0.3">
      <c r="A987" s="2" t="str">
        <f>HYPERLINK(B987,"Oppna PDF")</f>
        <v>Oppna PDF</v>
      </c>
      <c r="B987" t="s">
        <v>2768</v>
      </c>
      <c r="C987" t="s">
        <v>2772</v>
      </c>
      <c r="D987" t="s">
        <v>1047</v>
      </c>
      <c r="E987" t="s">
        <v>2770</v>
      </c>
      <c r="F987" t="s">
        <v>447</v>
      </c>
      <c r="G987" t="s">
        <v>448</v>
      </c>
      <c r="H987" t="s">
        <v>61</v>
      </c>
      <c r="I987" t="s">
        <v>1049</v>
      </c>
      <c r="J987" t="s">
        <v>34</v>
      </c>
      <c r="K987" t="s">
        <v>35</v>
      </c>
      <c r="L987" t="s">
        <v>29</v>
      </c>
      <c r="M987" t="s">
        <v>30</v>
      </c>
      <c r="N987" t="s">
        <v>31</v>
      </c>
      <c r="Q987" t="s">
        <v>2134</v>
      </c>
      <c r="R987" t="s">
        <v>2134</v>
      </c>
    </row>
    <row r="988" spans="1:18" x14ac:dyDescent="0.3">
      <c r="A988" s="2" t="str">
        <f>HYPERLINK(B988,"Oppna PDF")</f>
        <v>Oppna PDF</v>
      </c>
      <c r="B988" t="s">
        <v>2773</v>
      </c>
      <c r="C988" t="s">
        <v>2774</v>
      </c>
      <c r="D988" t="s">
        <v>2152</v>
      </c>
      <c r="E988" t="s">
        <v>2775</v>
      </c>
      <c r="H988" t="s">
        <v>61</v>
      </c>
      <c r="I988" t="s">
        <v>2154</v>
      </c>
      <c r="J988" t="s">
        <v>38</v>
      </c>
      <c r="K988" t="s">
        <v>39</v>
      </c>
      <c r="L988" t="s">
        <v>142</v>
      </c>
      <c r="M988" t="s">
        <v>30</v>
      </c>
      <c r="N988" t="s">
        <v>31</v>
      </c>
      <c r="Q988" t="s">
        <v>2162</v>
      </c>
      <c r="R988" t="s">
        <v>2162</v>
      </c>
    </row>
    <row r="989" spans="1:18" x14ac:dyDescent="0.3">
      <c r="A989" s="2" t="str">
        <f>HYPERLINK(B989,"Oppna PDF")</f>
        <v>Oppna PDF</v>
      </c>
      <c r="B989" t="s">
        <v>2773</v>
      </c>
      <c r="C989" t="s">
        <v>2776</v>
      </c>
      <c r="D989" t="s">
        <v>2152</v>
      </c>
      <c r="E989" t="s">
        <v>2775</v>
      </c>
      <c r="H989" t="s">
        <v>61</v>
      </c>
      <c r="I989" t="s">
        <v>2154</v>
      </c>
      <c r="J989" t="s">
        <v>87</v>
      </c>
      <c r="K989" t="s">
        <v>88</v>
      </c>
      <c r="L989" t="s">
        <v>29</v>
      </c>
      <c r="M989" t="s">
        <v>30</v>
      </c>
      <c r="N989" t="s">
        <v>31</v>
      </c>
      <c r="Q989" t="s">
        <v>2777</v>
      </c>
      <c r="R989" t="s">
        <v>2777</v>
      </c>
    </row>
    <row r="990" spans="1:18" x14ac:dyDescent="0.3">
      <c r="A990" s="2" t="str">
        <f>HYPERLINK(B990,"Oppna PDF")</f>
        <v>Oppna PDF</v>
      </c>
      <c r="B990" t="s">
        <v>2773</v>
      </c>
      <c r="C990" t="s">
        <v>2778</v>
      </c>
      <c r="D990" t="s">
        <v>2152</v>
      </c>
      <c r="E990" t="s">
        <v>2775</v>
      </c>
      <c r="H990" t="s">
        <v>61</v>
      </c>
      <c r="I990" t="s">
        <v>2154</v>
      </c>
      <c r="J990" t="s">
        <v>87</v>
      </c>
      <c r="K990" t="s">
        <v>88</v>
      </c>
      <c r="L990" t="s">
        <v>29</v>
      </c>
      <c r="M990" t="s">
        <v>30</v>
      </c>
      <c r="N990" t="s">
        <v>31</v>
      </c>
      <c r="Q990" t="s">
        <v>2779</v>
      </c>
      <c r="R990" t="s">
        <v>2779</v>
      </c>
    </row>
    <row r="991" spans="1:18" x14ac:dyDescent="0.3">
      <c r="A991" s="2" t="str">
        <f>HYPERLINK(B991,"Oppna PDF")</f>
        <v>Oppna PDF</v>
      </c>
      <c r="B991" t="s">
        <v>2780</v>
      </c>
      <c r="C991" t="s">
        <v>2781</v>
      </c>
      <c r="D991" t="s">
        <v>2152</v>
      </c>
      <c r="E991" t="s">
        <v>2782</v>
      </c>
      <c r="H991" t="s">
        <v>61</v>
      </c>
      <c r="I991" t="s">
        <v>2154</v>
      </c>
      <c r="J991" t="s">
        <v>38</v>
      </c>
      <c r="K991" t="s">
        <v>39</v>
      </c>
      <c r="L991" t="s">
        <v>29</v>
      </c>
      <c r="M991" t="s">
        <v>30</v>
      </c>
      <c r="N991" t="s">
        <v>31</v>
      </c>
      <c r="Q991" t="s">
        <v>1867</v>
      </c>
      <c r="R991" t="s">
        <v>1867</v>
      </c>
    </row>
    <row r="992" spans="1:18" x14ac:dyDescent="0.3">
      <c r="A992" s="2" t="str">
        <f>HYPERLINK(B992,"Oppna PDF")</f>
        <v>Oppna PDF</v>
      </c>
      <c r="B992" t="s">
        <v>2780</v>
      </c>
      <c r="C992" t="s">
        <v>2783</v>
      </c>
      <c r="D992" t="s">
        <v>2152</v>
      </c>
      <c r="E992" t="s">
        <v>2782</v>
      </c>
      <c r="H992" t="s">
        <v>61</v>
      </c>
      <c r="I992" t="s">
        <v>2154</v>
      </c>
      <c r="J992" t="s">
        <v>38</v>
      </c>
      <c r="K992" t="s">
        <v>39</v>
      </c>
      <c r="L992" t="s">
        <v>29</v>
      </c>
      <c r="M992" t="s">
        <v>30</v>
      </c>
      <c r="N992" t="s">
        <v>31</v>
      </c>
      <c r="Q992" t="s">
        <v>2190</v>
      </c>
      <c r="R992" t="s">
        <v>2190</v>
      </c>
    </row>
    <row r="993" spans="1:18" x14ac:dyDescent="0.3">
      <c r="A993" s="2" t="str">
        <f>HYPERLINK(B993,"Oppna PDF")</f>
        <v>Oppna PDF</v>
      </c>
      <c r="B993" t="s">
        <v>2780</v>
      </c>
      <c r="C993" t="s">
        <v>2784</v>
      </c>
      <c r="D993" t="s">
        <v>2152</v>
      </c>
      <c r="E993" t="s">
        <v>2782</v>
      </c>
      <c r="H993" t="s">
        <v>61</v>
      </c>
      <c r="I993" t="s">
        <v>2154</v>
      </c>
      <c r="J993" t="s">
        <v>38</v>
      </c>
      <c r="K993" t="s">
        <v>39</v>
      </c>
      <c r="L993" t="s">
        <v>29</v>
      </c>
      <c r="M993" t="s">
        <v>30</v>
      </c>
      <c r="N993" t="s">
        <v>31</v>
      </c>
      <c r="Q993" t="s">
        <v>2192</v>
      </c>
      <c r="R993" t="s">
        <v>2192</v>
      </c>
    </row>
    <row r="994" spans="1:18" x14ac:dyDescent="0.3">
      <c r="A994" s="2" t="str">
        <f>HYPERLINK(B994,"Oppna PDF")</f>
        <v>Oppna PDF</v>
      </c>
      <c r="B994" t="s">
        <v>2785</v>
      </c>
      <c r="C994" t="s">
        <v>2786</v>
      </c>
      <c r="D994" t="s">
        <v>2186</v>
      </c>
      <c r="E994" t="s">
        <v>2787</v>
      </c>
      <c r="F994" t="e">
        <f t="shared" ref="F994:F1003" si="0">-- Arvidsjaurs</f>
        <v>#NAME?</v>
      </c>
      <c r="G994" t="e">
        <f>-- Arvidsjaurs kommun</f>
        <v>#NAME?</v>
      </c>
      <c r="H994" t="s">
        <v>25</v>
      </c>
      <c r="I994" t="s">
        <v>2188</v>
      </c>
      <c r="J994" t="s">
        <v>34</v>
      </c>
      <c r="K994" t="s">
        <v>35</v>
      </c>
      <c r="L994" t="s">
        <v>29</v>
      </c>
      <c r="M994" t="s">
        <v>30</v>
      </c>
      <c r="N994" t="s">
        <v>31</v>
      </c>
      <c r="Q994" t="s">
        <v>2155</v>
      </c>
      <c r="R994" t="s">
        <v>2155</v>
      </c>
    </row>
    <row r="995" spans="1:18" x14ac:dyDescent="0.3">
      <c r="A995" s="2" t="str">
        <f>HYPERLINK(B995,"Oppna PDF")</f>
        <v>Oppna PDF</v>
      </c>
      <c r="B995" t="s">
        <v>2785</v>
      </c>
      <c r="C995" t="s">
        <v>2788</v>
      </c>
      <c r="D995" t="s">
        <v>2186</v>
      </c>
      <c r="E995" t="s">
        <v>2787</v>
      </c>
      <c r="F995" t="e">
        <f t="shared" si="0"/>
        <v>#NAME?</v>
      </c>
      <c r="G995" t="e">
        <f>-- Arvidsjaurs kommun</f>
        <v>#NAME?</v>
      </c>
      <c r="H995" t="s">
        <v>25</v>
      </c>
      <c r="I995" t="s">
        <v>2188</v>
      </c>
      <c r="J995" t="s">
        <v>27</v>
      </c>
      <c r="K995" t="s">
        <v>28</v>
      </c>
      <c r="L995" t="s">
        <v>29</v>
      </c>
      <c r="M995" t="s">
        <v>30</v>
      </c>
      <c r="N995" t="s">
        <v>31</v>
      </c>
      <c r="Q995" t="s">
        <v>2157</v>
      </c>
      <c r="R995" t="s">
        <v>2158</v>
      </c>
    </row>
    <row r="996" spans="1:18" x14ac:dyDescent="0.3">
      <c r="A996" s="2" t="str">
        <f>HYPERLINK(B996,"Oppna PDF")</f>
        <v>Oppna PDF</v>
      </c>
      <c r="B996" t="s">
        <v>2789</v>
      </c>
      <c r="C996" t="s">
        <v>2790</v>
      </c>
      <c r="D996" t="s">
        <v>2186</v>
      </c>
      <c r="E996" t="s">
        <v>2791</v>
      </c>
      <c r="F996" t="e">
        <f t="shared" si="0"/>
        <v>#NAME?</v>
      </c>
      <c r="G996" t="e">
        <f>-- Arvidsjaurs kommun</f>
        <v>#NAME?</v>
      </c>
      <c r="H996" t="s">
        <v>25</v>
      </c>
      <c r="I996" t="s">
        <v>2188</v>
      </c>
      <c r="J996" t="s">
        <v>38</v>
      </c>
      <c r="K996" t="s">
        <v>39</v>
      </c>
      <c r="L996" t="s">
        <v>142</v>
      </c>
      <c r="M996" t="s">
        <v>30</v>
      </c>
      <c r="N996" t="s">
        <v>31</v>
      </c>
      <c r="Q996" t="s">
        <v>2162</v>
      </c>
      <c r="R996" t="s">
        <v>2162</v>
      </c>
    </row>
    <row r="997" spans="1:18" x14ac:dyDescent="0.3">
      <c r="A997" s="2" t="str">
        <f>HYPERLINK(B997,"Oppna PDF")</f>
        <v>Oppna PDF</v>
      </c>
      <c r="B997" t="s">
        <v>2789</v>
      </c>
      <c r="C997" t="s">
        <v>2792</v>
      </c>
      <c r="D997" t="s">
        <v>2186</v>
      </c>
      <c r="E997" t="s">
        <v>2791</v>
      </c>
      <c r="F997" t="e">
        <f t="shared" si="0"/>
        <v>#NAME?</v>
      </c>
      <c r="G997" t="e">
        <f>-- Arvidsjaurs kommun</f>
        <v>#NAME?</v>
      </c>
      <c r="H997" t="s">
        <v>25</v>
      </c>
      <c r="I997" t="s">
        <v>2188</v>
      </c>
      <c r="J997" t="s">
        <v>87</v>
      </c>
      <c r="K997" t="s">
        <v>88</v>
      </c>
      <c r="L997" t="s">
        <v>29</v>
      </c>
      <c r="M997" t="s">
        <v>30</v>
      </c>
      <c r="N997" t="s">
        <v>31</v>
      </c>
      <c r="Q997" t="s">
        <v>2777</v>
      </c>
      <c r="R997" t="s">
        <v>2777</v>
      </c>
    </row>
    <row r="998" spans="1:18" x14ac:dyDescent="0.3">
      <c r="A998" s="2" t="str">
        <f>HYPERLINK(B998,"Oppna PDF")</f>
        <v>Oppna PDF</v>
      </c>
      <c r="B998" t="s">
        <v>2789</v>
      </c>
      <c r="C998" t="s">
        <v>2793</v>
      </c>
      <c r="D998" t="s">
        <v>2186</v>
      </c>
      <c r="E998" t="s">
        <v>2791</v>
      </c>
      <c r="F998" t="e">
        <f t="shared" si="0"/>
        <v>#NAME?</v>
      </c>
      <c r="G998" t="e">
        <f>-- Arvidsjaurs kommun</f>
        <v>#NAME?</v>
      </c>
      <c r="H998" t="s">
        <v>25</v>
      </c>
      <c r="I998" t="s">
        <v>2188</v>
      </c>
      <c r="J998" t="s">
        <v>87</v>
      </c>
      <c r="K998" t="s">
        <v>88</v>
      </c>
      <c r="L998" t="s">
        <v>29</v>
      </c>
      <c r="M998" t="s">
        <v>30</v>
      </c>
      <c r="N998" t="s">
        <v>31</v>
      </c>
      <c r="Q998" t="s">
        <v>2779</v>
      </c>
      <c r="R998" t="s">
        <v>2779</v>
      </c>
    </row>
    <row r="999" spans="1:18" x14ac:dyDescent="0.3">
      <c r="A999" s="2" t="str">
        <f>HYPERLINK(B999,"Oppna PDF")</f>
        <v>Oppna PDF</v>
      </c>
      <c r="B999" t="s">
        <v>2794</v>
      </c>
      <c r="C999" t="s">
        <v>2795</v>
      </c>
      <c r="D999" t="s">
        <v>2186</v>
      </c>
      <c r="E999" t="s">
        <v>2796</v>
      </c>
      <c r="F999" t="e">
        <f t="shared" si="0"/>
        <v>#NAME?</v>
      </c>
      <c r="G999" t="e">
        <f>-- Arvidsjaurs kommun</f>
        <v>#NAME?</v>
      </c>
      <c r="H999" t="s">
        <v>25</v>
      </c>
      <c r="I999" t="s">
        <v>2188</v>
      </c>
      <c r="J999" t="s">
        <v>38</v>
      </c>
      <c r="K999" t="s">
        <v>39</v>
      </c>
      <c r="L999" t="s">
        <v>142</v>
      </c>
      <c r="M999" t="s">
        <v>30</v>
      </c>
      <c r="N999" t="s">
        <v>31</v>
      </c>
      <c r="Q999" t="s">
        <v>2162</v>
      </c>
      <c r="R999" t="s">
        <v>2162</v>
      </c>
    </row>
    <row r="1000" spans="1:18" x14ac:dyDescent="0.3">
      <c r="A1000" s="2" t="str">
        <f>HYPERLINK(B1000,"Oppna PDF")</f>
        <v>Oppna PDF</v>
      </c>
      <c r="B1000" t="s">
        <v>2794</v>
      </c>
      <c r="C1000" t="s">
        <v>2797</v>
      </c>
      <c r="D1000" t="s">
        <v>2186</v>
      </c>
      <c r="E1000" t="s">
        <v>2796</v>
      </c>
      <c r="F1000" t="e">
        <f t="shared" si="0"/>
        <v>#NAME?</v>
      </c>
      <c r="G1000" t="e">
        <f>-- Arvidsjaurs kommun</f>
        <v>#NAME?</v>
      </c>
      <c r="H1000" t="s">
        <v>25</v>
      </c>
      <c r="I1000" t="s">
        <v>2188</v>
      </c>
      <c r="J1000" t="s">
        <v>34</v>
      </c>
      <c r="K1000" t="s">
        <v>35</v>
      </c>
      <c r="L1000" t="s">
        <v>142</v>
      </c>
      <c r="M1000" t="s">
        <v>30</v>
      </c>
      <c r="N1000" t="s">
        <v>31</v>
      </c>
      <c r="Q1000" t="s">
        <v>2164</v>
      </c>
      <c r="R1000" t="s">
        <v>2164</v>
      </c>
    </row>
    <row r="1001" spans="1:18" x14ac:dyDescent="0.3">
      <c r="A1001" s="2" t="str">
        <f>HYPERLINK(B1001,"Oppna PDF")</f>
        <v>Oppna PDF</v>
      </c>
      <c r="B1001" t="s">
        <v>2798</v>
      </c>
      <c r="C1001" t="s">
        <v>2799</v>
      </c>
      <c r="D1001" t="s">
        <v>2186</v>
      </c>
      <c r="E1001" t="s">
        <v>2800</v>
      </c>
      <c r="F1001" t="e">
        <f t="shared" si="0"/>
        <v>#NAME?</v>
      </c>
      <c r="G1001" t="e">
        <f>-- Arvidsjaurs kommun</f>
        <v>#NAME?</v>
      </c>
      <c r="H1001" t="s">
        <v>25</v>
      </c>
      <c r="I1001" t="s">
        <v>2188</v>
      </c>
      <c r="J1001" t="s">
        <v>87</v>
      </c>
      <c r="K1001" t="s">
        <v>88</v>
      </c>
      <c r="L1001" t="s">
        <v>29</v>
      </c>
      <c r="M1001" t="s">
        <v>30</v>
      </c>
      <c r="N1001" t="s">
        <v>31</v>
      </c>
      <c r="Q1001" t="s">
        <v>2172</v>
      </c>
      <c r="R1001" t="s">
        <v>2172</v>
      </c>
    </row>
    <row r="1002" spans="1:18" x14ac:dyDescent="0.3">
      <c r="A1002" s="2" t="str">
        <f>HYPERLINK(B1002,"Oppna PDF")</f>
        <v>Oppna PDF</v>
      </c>
      <c r="B1002" t="s">
        <v>2798</v>
      </c>
      <c r="C1002" t="s">
        <v>2801</v>
      </c>
      <c r="D1002" t="s">
        <v>2186</v>
      </c>
      <c r="E1002" t="s">
        <v>2800</v>
      </c>
      <c r="F1002" t="e">
        <f t="shared" si="0"/>
        <v>#NAME?</v>
      </c>
      <c r="G1002" t="e">
        <f>-- Arvidsjaurs kommun</f>
        <v>#NAME?</v>
      </c>
      <c r="H1002" t="s">
        <v>25</v>
      </c>
      <c r="I1002" t="s">
        <v>2188</v>
      </c>
      <c r="J1002" t="s">
        <v>34</v>
      </c>
      <c r="K1002" t="s">
        <v>35</v>
      </c>
      <c r="L1002" t="s">
        <v>142</v>
      </c>
      <c r="M1002" t="s">
        <v>30</v>
      </c>
      <c r="N1002" t="s">
        <v>31</v>
      </c>
      <c r="Q1002" t="s">
        <v>2802</v>
      </c>
      <c r="R1002" t="s">
        <v>2803</v>
      </c>
    </row>
    <row r="1003" spans="1:18" x14ac:dyDescent="0.3">
      <c r="A1003" s="2" t="str">
        <f>HYPERLINK(B1003,"Oppna PDF")</f>
        <v>Oppna PDF</v>
      </c>
      <c r="B1003" t="s">
        <v>2798</v>
      </c>
      <c r="C1003" t="s">
        <v>2804</v>
      </c>
      <c r="D1003" t="s">
        <v>2186</v>
      </c>
      <c r="E1003" t="s">
        <v>2800</v>
      </c>
      <c r="F1003" t="e">
        <f t="shared" si="0"/>
        <v>#NAME?</v>
      </c>
      <c r="G1003" t="e">
        <f>-- Arvidsjaurs kommun</f>
        <v>#NAME?</v>
      </c>
      <c r="H1003" t="s">
        <v>25</v>
      </c>
      <c r="I1003" t="s">
        <v>2188</v>
      </c>
      <c r="J1003" t="s">
        <v>27</v>
      </c>
      <c r="K1003" t="s">
        <v>28</v>
      </c>
      <c r="L1003" t="s">
        <v>29</v>
      </c>
      <c r="M1003" t="s">
        <v>30</v>
      </c>
      <c r="N1003" t="s">
        <v>31</v>
      </c>
      <c r="Q1003" t="s">
        <v>2177</v>
      </c>
      <c r="R1003" t="s">
        <v>2177</v>
      </c>
    </row>
    <row r="1004" spans="1:18" x14ac:dyDescent="0.3">
      <c r="A1004" s="2" t="str">
        <f>HYPERLINK(B1004,"Oppna PDF")</f>
        <v>Oppna PDF</v>
      </c>
      <c r="B1004" t="s">
        <v>2805</v>
      </c>
      <c r="C1004" t="s">
        <v>2806</v>
      </c>
      <c r="D1004" t="s">
        <v>2807</v>
      </c>
      <c r="E1004" t="s">
        <v>2808</v>
      </c>
      <c r="H1004" t="s">
        <v>25</v>
      </c>
      <c r="I1004" t="s">
        <v>2200</v>
      </c>
      <c r="J1004" t="s">
        <v>34</v>
      </c>
      <c r="K1004" t="s">
        <v>35</v>
      </c>
      <c r="L1004" t="s">
        <v>29</v>
      </c>
      <c r="M1004" t="s">
        <v>30</v>
      </c>
      <c r="N1004" t="s">
        <v>31</v>
      </c>
      <c r="Q1004" t="s">
        <v>2201</v>
      </c>
      <c r="R1004" t="s">
        <v>2202</v>
      </c>
    </row>
    <row r="1005" spans="1:18" x14ac:dyDescent="0.3">
      <c r="A1005" s="2" t="str">
        <f>HYPERLINK(B1005,"Oppna PDF")</f>
        <v>Oppna PDF</v>
      </c>
      <c r="B1005" t="s">
        <v>2805</v>
      </c>
      <c r="C1005" t="s">
        <v>2809</v>
      </c>
      <c r="D1005" t="s">
        <v>2807</v>
      </c>
      <c r="E1005" t="s">
        <v>2808</v>
      </c>
      <c r="H1005" t="s">
        <v>25</v>
      </c>
      <c r="I1005" t="s">
        <v>2200</v>
      </c>
      <c r="J1005" t="s">
        <v>34</v>
      </c>
      <c r="K1005" t="s">
        <v>35</v>
      </c>
      <c r="L1005" t="s">
        <v>29</v>
      </c>
      <c r="M1005" t="s">
        <v>30</v>
      </c>
      <c r="N1005" t="s">
        <v>31</v>
      </c>
      <c r="Q1005" t="s">
        <v>2204</v>
      </c>
      <c r="R1005" t="s">
        <v>2205</v>
      </c>
    </row>
    <row r="1006" spans="1:18" x14ac:dyDescent="0.3">
      <c r="A1006" s="2" t="str">
        <f>HYPERLINK(B1006,"Oppna PDF")</f>
        <v>Oppna PDF</v>
      </c>
      <c r="B1006" t="s">
        <v>2810</v>
      </c>
      <c r="C1006" t="s">
        <v>2811</v>
      </c>
      <c r="D1006" t="s">
        <v>2219</v>
      </c>
      <c r="E1006" t="s">
        <v>2812</v>
      </c>
      <c r="H1006" t="s">
        <v>25</v>
      </c>
      <c r="I1006" t="s">
        <v>2221</v>
      </c>
      <c r="J1006" t="s">
        <v>38</v>
      </c>
      <c r="K1006" t="s">
        <v>39</v>
      </c>
      <c r="L1006" t="s">
        <v>29</v>
      </c>
      <c r="M1006" t="s">
        <v>30</v>
      </c>
      <c r="N1006" t="s">
        <v>31</v>
      </c>
      <c r="Q1006" t="s">
        <v>2235</v>
      </c>
      <c r="R1006" t="s">
        <v>2235</v>
      </c>
    </row>
    <row r="1007" spans="1:18" x14ac:dyDescent="0.3">
      <c r="A1007" s="2" t="str">
        <f>HYPERLINK(B1007,"Oppna PDF")</f>
        <v>Oppna PDF</v>
      </c>
      <c r="B1007" t="s">
        <v>2810</v>
      </c>
      <c r="C1007" t="s">
        <v>2813</v>
      </c>
      <c r="D1007" t="s">
        <v>2219</v>
      </c>
      <c r="E1007" t="s">
        <v>2812</v>
      </c>
      <c r="H1007" t="s">
        <v>25</v>
      </c>
      <c r="I1007" t="s">
        <v>2221</v>
      </c>
      <c r="J1007" t="s">
        <v>48</v>
      </c>
      <c r="K1007" t="s">
        <v>49</v>
      </c>
      <c r="L1007" t="s">
        <v>29</v>
      </c>
      <c r="M1007" t="s">
        <v>30</v>
      </c>
      <c r="N1007" t="s">
        <v>31</v>
      </c>
      <c r="Q1007" t="s">
        <v>2237</v>
      </c>
      <c r="R1007" t="s">
        <v>2237</v>
      </c>
    </row>
    <row r="1008" spans="1:18" x14ac:dyDescent="0.3">
      <c r="A1008" s="2" t="str">
        <f>HYPERLINK(B1008,"Oppna PDF")</f>
        <v>Oppna PDF</v>
      </c>
      <c r="B1008" t="s">
        <v>2810</v>
      </c>
      <c r="C1008" t="s">
        <v>2814</v>
      </c>
      <c r="D1008" t="s">
        <v>2219</v>
      </c>
      <c r="E1008" t="s">
        <v>2812</v>
      </c>
      <c r="H1008" t="s">
        <v>25</v>
      </c>
      <c r="I1008" t="s">
        <v>2221</v>
      </c>
      <c r="J1008" t="s">
        <v>48</v>
      </c>
      <c r="K1008" t="s">
        <v>49</v>
      </c>
      <c r="L1008" t="s">
        <v>29</v>
      </c>
      <c r="M1008" t="s">
        <v>30</v>
      </c>
      <c r="N1008" t="s">
        <v>31</v>
      </c>
      <c r="Q1008" t="s">
        <v>2239</v>
      </c>
      <c r="R1008" t="s">
        <v>2239</v>
      </c>
    </row>
    <row r="1009" spans="1:18" x14ac:dyDescent="0.3">
      <c r="A1009" s="2" t="str">
        <f>HYPERLINK(B1009,"Oppna PDF")</f>
        <v>Oppna PDF</v>
      </c>
      <c r="B1009" t="s">
        <v>2815</v>
      </c>
      <c r="C1009" t="s">
        <v>2816</v>
      </c>
      <c r="D1009" t="s">
        <v>2230</v>
      </c>
      <c r="E1009" t="s">
        <v>2817</v>
      </c>
      <c r="F1009" t="s">
        <v>2232</v>
      </c>
      <c r="G1009" t="s">
        <v>2233</v>
      </c>
      <c r="H1009" t="s">
        <v>61</v>
      </c>
      <c r="I1009" t="s">
        <v>2234</v>
      </c>
      <c r="J1009" t="s">
        <v>27</v>
      </c>
      <c r="K1009" t="s">
        <v>28</v>
      </c>
      <c r="L1009" t="s">
        <v>29</v>
      </c>
      <c r="M1009" t="s">
        <v>30</v>
      </c>
      <c r="N1009" t="s">
        <v>31</v>
      </c>
      <c r="Q1009" t="s">
        <v>2222</v>
      </c>
      <c r="R1009" t="s">
        <v>2222</v>
      </c>
    </row>
    <row r="1010" spans="1:18" x14ac:dyDescent="0.3">
      <c r="A1010" s="2" t="str">
        <f>HYPERLINK(B1010,"Oppna PDF")</f>
        <v>Oppna PDF</v>
      </c>
      <c r="B1010" t="s">
        <v>2815</v>
      </c>
      <c r="C1010" t="s">
        <v>2818</v>
      </c>
      <c r="D1010" t="s">
        <v>2230</v>
      </c>
      <c r="E1010" t="s">
        <v>2817</v>
      </c>
      <c r="F1010" t="s">
        <v>2232</v>
      </c>
      <c r="G1010" t="s">
        <v>2233</v>
      </c>
      <c r="H1010" t="s">
        <v>61</v>
      </c>
      <c r="I1010" t="s">
        <v>2234</v>
      </c>
      <c r="J1010" t="s">
        <v>27</v>
      </c>
      <c r="K1010" t="s">
        <v>28</v>
      </c>
      <c r="L1010" t="s">
        <v>29</v>
      </c>
      <c r="M1010" t="s">
        <v>30</v>
      </c>
      <c r="N1010" t="s">
        <v>31</v>
      </c>
      <c r="Q1010" t="s">
        <v>2224</v>
      </c>
      <c r="R1010" t="s">
        <v>2224</v>
      </c>
    </row>
    <row r="1011" spans="1:18" x14ac:dyDescent="0.3">
      <c r="A1011" s="2" t="str">
        <f>HYPERLINK(B1011,"Oppna PDF")</f>
        <v>Oppna PDF</v>
      </c>
      <c r="B1011" t="s">
        <v>2815</v>
      </c>
      <c r="C1011" t="s">
        <v>2819</v>
      </c>
      <c r="D1011" t="s">
        <v>2230</v>
      </c>
      <c r="E1011" t="s">
        <v>2817</v>
      </c>
      <c r="F1011" t="s">
        <v>2232</v>
      </c>
      <c r="G1011" t="s">
        <v>2233</v>
      </c>
      <c r="H1011" t="s">
        <v>61</v>
      </c>
      <c r="I1011" t="s">
        <v>2234</v>
      </c>
      <c r="J1011" t="s">
        <v>91</v>
      </c>
      <c r="K1011" t="s">
        <v>92</v>
      </c>
      <c r="L1011" t="s">
        <v>29</v>
      </c>
      <c r="M1011" t="s">
        <v>30</v>
      </c>
      <c r="N1011" t="s">
        <v>31</v>
      </c>
      <c r="Q1011" t="s">
        <v>2226</v>
      </c>
      <c r="R1011" t="s">
        <v>2227</v>
      </c>
    </row>
    <row r="1012" spans="1:18" x14ac:dyDescent="0.3">
      <c r="A1012" s="2" t="str">
        <f>HYPERLINK(B1012,"Oppna PDF")</f>
        <v>Oppna PDF</v>
      </c>
      <c r="B1012" t="s">
        <v>2820</v>
      </c>
      <c r="C1012" t="s">
        <v>2821</v>
      </c>
      <c r="D1012" t="s">
        <v>2242</v>
      </c>
      <c r="E1012" t="s">
        <v>2822</v>
      </c>
      <c r="F1012" t="e">
        <f t="shared" ref="F1012:F1020" si="1">-- Borgholms</f>
        <v>#NAME?</v>
      </c>
      <c r="G1012" t="e">
        <f>-- Borgholms kommun</f>
        <v>#NAME?</v>
      </c>
      <c r="H1012" t="s">
        <v>61</v>
      </c>
      <c r="I1012" t="s">
        <v>1073</v>
      </c>
      <c r="J1012" t="s">
        <v>38</v>
      </c>
      <c r="K1012" t="s">
        <v>39</v>
      </c>
      <c r="L1012" t="s">
        <v>29</v>
      </c>
      <c r="M1012" t="s">
        <v>30</v>
      </c>
      <c r="N1012" t="s">
        <v>31</v>
      </c>
      <c r="Q1012" t="s">
        <v>2823</v>
      </c>
      <c r="R1012" t="s">
        <v>2824</v>
      </c>
    </row>
    <row r="1013" spans="1:18" x14ac:dyDescent="0.3">
      <c r="A1013" s="2" t="str">
        <f>HYPERLINK(B1013,"Oppna PDF")</f>
        <v>Oppna PDF</v>
      </c>
      <c r="B1013" t="s">
        <v>2820</v>
      </c>
      <c r="C1013" t="s">
        <v>2825</v>
      </c>
      <c r="D1013" t="s">
        <v>2242</v>
      </c>
      <c r="E1013" t="s">
        <v>2822</v>
      </c>
      <c r="F1013" t="e">
        <f t="shared" si="1"/>
        <v>#NAME?</v>
      </c>
      <c r="G1013" t="e">
        <f>-- Borgholms kommun</f>
        <v>#NAME?</v>
      </c>
      <c r="H1013" t="s">
        <v>61</v>
      </c>
      <c r="I1013" t="s">
        <v>1073</v>
      </c>
      <c r="J1013" t="s">
        <v>27</v>
      </c>
      <c r="K1013" t="s">
        <v>28</v>
      </c>
      <c r="L1013" t="s">
        <v>29</v>
      </c>
      <c r="M1013" t="s">
        <v>30</v>
      </c>
      <c r="N1013" t="s">
        <v>31</v>
      </c>
      <c r="Q1013" t="s">
        <v>2826</v>
      </c>
      <c r="R1013" t="s">
        <v>2826</v>
      </c>
    </row>
    <row r="1014" spans="1:18" x14ac:dyDescent="0.3">
      <c r="A1014" s="2" t="str">
        <f>HYPERLINK(B1014,"Oppna PDF")</f>
        <v>Oppna PDF</v>
      </c>
      <c r="B1014" t="s">
        <v>2820</v>
      </c>
      <c r="C1014" t="s">
        <v>2827</v>
      </c>
      <c r="D1014" t="s">
        <v>2242</v>
      </c>
      <c r="E1014" t="s">
        <v>2822</v>
      </c>
      <c r="F1014" t="e">
        <f t="shared" si="1"/>
        <v>#NAME?</v>
      </c>
      <c r="G1014" t="e">
        <f>-- Borgholms kommun</f>
        <v>#NAME?</v>
      </c>
      <c r="H1014" t="s">
        <v>61</v>
      </c>
      <c r="I1014" t="s">
        <v>1073</v>
      </c>
      <c r="J1014" t="s">
        <v>87</v>
      </c>
      <c r="K1014" t="s">
        <v>88</v>
      </c>
      <c r="L1014" t="s">
        <v>29</v>
      </c>
      <c r="M1014" t="s">
        <v>30</v>
      </c>
      <c r="N1014" t="s">
        <v>31</v>
      </c>
      <c r="Q1014" t="s">
        <v>2828</v>
      </c>
      <c r="R1014" t="s">
        <v>2828</v>
      </c>
    </row>
    <row r="1015" spans="1:18" x14ac:dyDescent="0.3">
      <c r="A1015" s="2" t="str">
        <f>HYPERLINK(B1015,"Oppna PDF")</f>
        <v>Oppna PDF</v>
      </c>
      <c r="B1015" t="s">
        <v>2829</v>
      </c>
      <c r="C1015" t="s">
        <v>2830</v>
      </c>
      <c r="D1015" t="s">
        <v>1071</v>
      </c>
      <c r="E1015" t="s">
        <v>2831</v>
      </c>
      <c r="F1015" t="e">
        <f t="shared" si="1"/>
        <v>#NAME?</v>
      </c>
      <c r="G1015" t="e">
        <f>-- Borgholms kommun</f>
        <v>#NAME?</v>
      </c>
      <c r="H1015" t="s">
        <v>61</v>
      </c>
      <c r="I1015" t="s">
        <v>1073</v>
      </c>
      <c r="J1015" t="s">
        <v>27</v>
      </c>
      <c r="K1015" t="s">
        <v>28</v>
      </c>
      <c r="L1015" t="s">
        <v>29</v>
      </c>
      <c r="M1015" t="s">
        <v>30</v>
      </c>
      <c r="N1015" t="s">
        <v>31</v>
      </c>
      <c r="Q1015" t="s">
        <v>2250</v>
      </c>
      <c r="R1015" t="s">
        <v>2251</v>
      </c>
    </row>
    <row r="1016" spans="1:18" x14ac:dyDescent="0.3">
      <c r="A1016" s="2" t="str">
        <f>HYPERLINK(B1016,"Oppna PDF")</f>
        <v>Oppna PDF</v>
      </c>
      <c r="B1016" t="s">
        <v>2829</v>
      </c>
      <c r="C1016" t="s">
        <v>2832</v>
      </c>
      <c r="D1016" t="s">
        <v>1071</v>
      </c>
      <c r="E1016" t="s">
        <v>2831</v>
      </c>
      <c r="F1016" t="e">
        <f t="shared" si="1"/>
        <v>#NAME?</v>
      </c>
      <c r="G1016" t="e">
        <f>-- Borgholms kommun</f>
        <v>#NAME?</v>
      </c>
      <c r="H1016" t="s">
        <v>61</v>
      </c>
      <c r="I1016" t="s">
        <v>1073</v>
      </c>
      <c r="J1016" t="s">
        <v>34</v>
      </c>
      <c r="K1016" t="s">
        <v>35</v>
      </c>
      <c r="L1016" t="s">
        <v>29</v>
      </c>
      <c r="M1016" t="s">
        <v>30</v>
      </c>
      <c r="N1016" t="s">
        <v>31</v>
      </c>
      <c r="Q1016" t="s">
        <v>1077</v>
      </c>
      <c r="R1016" t="s">
        <v>1077</v>
      </c>
    </row>
    <row r="1017" spans="1:18" x14ac:dyDescent="0.3">
      <c r="A1017" s="2" t="str">
        <f>HYPERLINK(B1017,"Oppna PDF")</f>
        <v>Oppna PDF</v>
      </c>
      <c r="B1017" t="s">
        <v>2829</v>
      </c>
      <c r="C1017" t="s">
        <v>2833</v>
      </c>
      <c r="D1017" t="s">
        <v>1071</v>
      </c>
      <c r="E1017" t="s">
        <v>2831</v>
      </c>
      <c r="F1017" t="e">
        <f t="shared" si="1"/>
        <v>#NAME?</v>
      </c>
      <c r="G1017" t="e">
        <f>-- Borgholms kommun</f>
        <v>#NAME?</v>
      </c>
      <c r="H1017" t="s">
        <v>61</v>
      </c>
      <c r="I1017" t="s">
        <v>1073</v>
      </c>
      <c r="J1017" t="s">
        <v>34</v>
      </c>
      <c r="K1017" t="s">
        <v>35</v>
      </c>
      <c r="L1017" t="s">
        <v>29</v>
      </c>
      <c r="M1017" t="s">
        <v>30</v>
      </c>
      <c r="N1017" t="s">
        <v>31</v>
      </c>
      <c r="Q1017" t="s">
        <v>2254</v>
      </c>
      <c r="R1017" t="s">
        <v>2255</v>
      </c>
    </row>
    <row r="1018" spans="1:18" x14ac:dyDescent="0.3">
      <c r="A1018" s="2" t="str">
        <f>HYPERLINK(B1018,"Oppna PDF")</f>
        <v>Oppna PDF</v>
      </c>
      <c r="B1018" t="s">
        <v>2834</v>
      </c>
      <c r="C1018" t="s">
        <v>2835</v>
      </c>
      <c r="D1018" t="s">
        <v>1071</v>
      </c>
      <c r="E1018" t="s">
        <v>2836</v>
      </c>
      <c r="F1018" t="e">
        <f t="shared" si="1"/>
        <v>#NAME?</v>
      </c>
      <c r="G1018" t="e">
        <f>-- Borgholms kommun</f>
        <v>#NAME?</v>
      </c>
      <c r="H1018" t="s">
        <v>61</v>
      </c>
      <c r="I1018" t="s">
        <v>1073</v>
      </c>
      <c r="J1018" t="s">
        <v>38</v>
      </c>
      <c r="K1018" t="s">
        <v>39</v>
      </c>
      <c r="L1018" t="s">
        <v>29</v>
      </c>
      <c r="M1018" t="s">
        <v>30</v>
      </c>
      <c r="N1018" t="s">
        <v>31</v>
      </c>
      <c r="Q1018" t="s">
        <v>2823</v>
      </c>
      <c r="R1018" t="s">
        <v>2824</v>
      </c>
    </row>
    <row r="1019" spans="1:18" x14ac:dyDescent="0.3">
      <c r="A1019" s="2" t="str">
        <f>HYPERLINK(B1019,"Oppna PDF")</f>
        <v>Oppna PDF</v>
      </c>
      <c r="B1019" t="s">
        <v>2834</v>
      </c>
      <c r="C1019" t="s">
        <v>2837</v>
      </c>
      <c r="D1019" t="s">
        <v>1071</v>
      </c>
      <c r="E1019" t="s">
        <v>2836</v>
      </c>
      <c r="F1019" t="e">
        <f t="shared" si="1"/>
        <v>#NAME?</v>
      </c>
      <c r="G1019" t="e">
        <f>-- Borgholms kommun</f>
        <v>#NAME?</v>
      </c>
      <c r="H1019" t="s">
        <v>61</v>
      </c>
      <c r="I1019" t="s">
        <v>1073</v>
      </c>
      <c r="J1019" t="s">
        <v>27</v>
      </c>
      <c r="K1019" t="s">
        <v>28</v>
      </c>
      <c r="L1019" t="s">
        <v>29</v>
      </c>
      <c r="M1019" t="s">
        <v>30</v>
      </c>
      <c r="N1019" t="s">
        <v>31</v>
      </c>
      <c r="Q1019" t="s">
        <v>2826</v>
      </c>
      <c r="R1019" t="s">
        <v>2826</v>
      </c>
    </row>
    <row r="1020" spans="1:18" x14ac:dyDescent="0.3">
      <c r="A1020" s="2" t="str">
        <f>HYPERLINK(B1020,"Oppna PDF")</f>
        <v>Oppna PDF</v>
      </c>
      <c r="B1020" t="s">
        <v>2834</v>
      </c>
      <c r="C1020" t="s">
        <v>2838</v>
      </c>
      <c r="D1020" t="s">
        <v>1071</v>
      </c>
      <c r="E1020" t="s">
        <v>2836</v>
      </c>
      <c r="F1020" t="e">
        <f t="shared" si="1"/>
        <v>#NAME?</v>
      </c>
      <c r="G1020" t="e">
        <f>-- Borgholms kommun</f>
        <v>#NAME?</v>
      </c>
      <c r="H1020" t="s">
        <v>61</v>
      </c>
      <c r="I1020" t="s">
        <v>1073</v>
      </c>
      <c r="J1020" t="s">
        <v>87</v>
      </c>
      <c r="K1020" t="s">
        <v>88</v>
      </c>
      <c r="L1020" t="s">
        <v>29</v>
      </c>
      <c r="M1020" t="s">
        <v>30</v>
      </c>
      <c r="N1020" t="s">
        <v>31</v>
      </c>
      <c r="Q1020" t="s">
        <v>2828</v>
      </c>
      <c r="R1020" t="s">
        <v>2828</v>
      </c>
    </row>
    <row r="1021" spans="1:18" x14ac:dyDescent="0.3">
      <c r="A1021" s="2" t="str">
        <f>HYPERLINK(B1021,"Oppna PDF")</f>
        <v>Oppna PDF</v>
      </c>
      <c r="B1021" t="s">
        <v>2839</v>
      </c>
      <c r="C1021" t="s">
        <v>2840</v>
      </c>
      <c r="D1021" t="s">
        <v>2841</v>
      </c>
      <c r="E1021" t="s">
        <v>2842</v>
      </c>
      <c r="F1021" t="s">
        <v>266</v>
      </c>
      <c r="G1021" t="s">
        <v>267</v>
      </c>
      <c r="H1021" t="s">
        <v>268</v>
      </c>
      <c r="I1021" t="s">
        <v>2265</v>
      </c>
      <c r="J1021" t="s">
        <v>27</v>
      </c>
      <c r="K1021" t="s">
        <v>28</v>
      </c>
      <c r="L1021" t="s">
        <v>29</v>
      </c>
      <c r="M1021" t="s">
        <v>30</v>
      </c>
      <c r="N1021" t="s">
        <v>31</v>
      </c>
      <c r="Q1021" t="s">
        <v>2266</v>
      </c>
      <c r="R1021" t="s">
        <v>2266</v>
      </c>
    </row>
    <row r="1022" spans="1:18" x14ac:dyDescent="0.3">
      <c r="A1022" s="2" t="str">
        <f>HYPERLINK(B1022,"Oppna PDF")</f>
        <v>Oppna PDF</v>
      </c>
      <c r="B1022" t="s">
        <v>2843</v>
      </c>
      <c r="C1022" t="s">
        <v>2844</v>
      </c>
      <c r="D1022" t="s">
        <v>2841</v>
      </c>
      <c r="E1022" t="s">
        <v>2845</v>
      </c>
      <c r="F1022" t="s">
        <v>266</v>
      </c>
      <c r="G1022" t="s">
        <v>267</v>
      </c>
      <c r="H1022" t="s">
        <v>268</v>
      </c>
      <c r="I1022" t="s">
        <v>2265</v>
      </c>
      <c r="J1022" t="s">
        <v>91</v>
      </c>
      <c r="K1022" t="s">
        <v>92</v>
      </c>
      <c r="L1022" t="s">
        <v>29</v>
      </c>
      <c r="M1022" t="s">
        <v>30</v>
      </c>
      <c r="N1022" t="s">
        <v>31</v>
      </c>
      <c r="Q1022" t="s">
        <v>2270</v>
      </c>
      <c r="R1022" t="s">
        <v>2270</v>
      </c>
    </row>
    <row r="1023" spans="1:18" x14ac:dyDescent="0.3">
      <c r="A1023" s="2" t="str">
        <f>HYPERLINK(B1023,"Oppna PDF")</f>
        <v>Oppna PDF</v>
      </c>
      <c r="B1023" t="s">
        <v>2843</v>
      </c>
      <c r="C1023" t="s">
        <v>2846</v>
      </c>
      <c r="D1023" t="s">
        <v>2841</v>
      </c>
      <c r="E1023" t="s">
        <v>2845</v>
      </c>
      <c r="F1023" t="s">
        <v>266</v>
      </c>
      <c r="G1023" t="s">
        <v>267</v>
      </c>
      <c r="H1023" t="s">
        <v>268</v>
      </c>
      <c r="I1023" t="s">
        <v>2265</v>
      </c>
      <c r="J1023" t="s">
        <v>48</v>
      </c>
      <c r="K1023" t="s">
        <v>49</v>
      </c>
      <c r="L1023" t="s">
        <v>29</v>
      </c>
      <c r="M1023" t="s">
        <v>30</v>
      </c>
      <c r="N1023" t="s">
        <v>31</v>
      </c>
      <c r="Q1023" t="s">
        <v>2272</v>
      </c>
      <c r="R1023" t="s">
        <v>2272</v>
      </c>
    </row>
    <row r="1024" spans="1:18" x14ac:dyDescent="0.3">
      <c r="A1024" s="2" t="str">
        <f>HYPERLINK(B1024,"Oppna PDF")</f>
        <v>Oppna PDF</v>
      </c>
      <c r="B1024" t="s">
        <v>2843</v>
      </c>
      <c r="C1024" t="s">
        <v>2847</v>
      </c>
      <c r="D1024" t="s">
        <v>2841</v>
      </c>
      <c r="E1024" t="s">
        <v>2845</v>
      </c>
      <c r="F1024" t="s">
        <v>266</v>
      </c>
      <c r="G1024" t="s">
        <v>267</v>
      </c>
      <c r="H1024" t="s">
        <v>268</v>
      </c>
      <c r="I1024" t="s">
        <v>2265</v>
      </c>
      <c r="J1024" t="s">
        <v>87</v>
      </c>
      <c r="K1024" t="s">
        <v>88</v>
      </c>
      <c r="L1024" t="s">
        <v>29</v>
      </c>
      <c r="M1024" t="s">
        <v>30</v>
      </c>
      <c r="N1024" t="s">
        <v>31</v>
      </c>
      <c r="Q1024" t="s">
        <v>1025</v>
      </c>
      <c r="R1024" t="s">
        <v>1025</v>
      </c>
    </row>
    <row r="1025" spans="1:18" x14ac:dyDescent="0.3">
      <c r="A1025" s="2" t="str">
        <f>HYPERLINK(B1025,"Oppna PDF")</f>
        <v>Oppna PDF</v>
      </c>
      <c r="B1025" t="s">
        <v>2848</v>
      </c>
      <c r="C1025" t="s">
        <v>2849</v>
      </c>
      <c r="D1025" t="s">
        <v>2276</v>
      </c>
      <c r="E1025" t="s">
        <v>2850</v>
      </c>
      <c r="F1025" t="s">
        <v>2278</v>
      </c>
      <c r="G1025" t="s">
        <v>2279</v>
      </c>
      <c r="H1025" t="s">
        <v>25</v>
      </c>
      <c r="I1025" t="s">
        <v>2280</v>
      </c>
      <c r="J1025" t="s">
        <v>91</v>
      </c>
      <c r="K1025" t="s">
        <v>92</v>
      </c>
      <c r="L1025" t="s">
        <v>29</v>
      </c>
      <c r="M1025" t="s">
        <v>30</v>
      </c>
      <c r="N1025" t="s">
        <v>31</v>
      </c>
      <c r="Q1025" t="s">
        <v>526</v>
      </c>
      <c r="R1025" t="s">
        <v>527</v>
      </c>
    </row>
    <row r="1026" spans="1:18" x14ac:dyDescent="0.3">
      <c r="A1026" s="2" t="str">
        <f>HYPERLINK(B1026,"Oppna PDF")</f>
        <v>Oppna PDF</v>
      </c>
      <c r="B1026" t="s">
        <v>2848</v>
      </c>
      <c r="C1026" t="s">
        <v>2851</v>
      </c>
      <c r="D1026" t="s">
        <v>2276</v>
      </c>
      <c r="E1026" t="s">
        <v>2850</v>
      </c>
      <c r="F1026" t="s">
        <v>2278</v>
      </c>
      <c r="G1026" t="s">
        <v>2279</v>
      </c>
      <c r="H1026" t="s">
        <v>25</v>
      </c>
      <c r="I1026" t="s">
        <v>2280</v>
      </c>
      <c r="J1026" t="s">
        <v>91</v>
      </c>
      <c r="K1026" t="s">
        <v>92</v>
      </c>
      <c r="L1026" t="s">
        <v>29</v>
      </c>
      <c r="M1026" t="s">
        <v>30</v>
      </c>
      <c r="N1026" t="s">
        <v>31</v>
      </c>
      <c r="Q1026" t="s">
        <v>529</v>
      </c>
      <c r="R1026" t="s">
        <v>530</v>
      </c>
    </row>
    <row r="1027" spans="1:18" x14ac:dyDescent="0.3">
      <c r="A1027" s="2" t="str">
        <f>HYPERLINK(B1027,"Oppna PDF")</f>
        <v>Oppna PDF</v>
      </c>
      <c r="B1027" t="s">
        <v>2848</v>
      </c>
      <c r="C1027" t="s">
        <v>2852</v>
      </c>
      <c r="D1027" t="s">
        <v>2276</v>
      </c>
      <c r="E1027" t="s">
        <v>2850</v>
      </c>
      <c r="F1027" t="s">
        <v>2278</v>
      </c>
      <c r="G1027" t="s">
        <v>2279</v>
      </c>
      <c r="H1027" t="s">
        <v>25</v>
      </c>
      <c r="I1027" t="s">
        <v>2280</v>
      </c>
      <c r="J1027" t="s">
        <v>91</v>
      </c>
      <c r="K1027" t="s">
        <v>92</v>
      </c>
      <c r="L1027" t="s">
        <v>29</v>
      </c>
      <c r="M1027" t="s">
        <v>30</v>
      </c>
      <c r="N1027" t="s">
        <v>31</v>
      </c>
      <c r="Q1027" t="s">
        <v>532</v>
      </c>
      <c r="R1027" t="s">
        <v>533</v>
      </c>
    </row>
    <row r="1028" spans="1:18" x14ac:dyDescent="0.3">
      <c r="A1028" s="2" t="str">
        <f>HYPERLINK(B1028,"Oppna PDF")</f>
        <v>Oppna PDF</v>
      </c>
      <c r="B1028" t="s">
        <v>2853</v>
      </c>
      <c r="C1028" t="s">
        <v>2854</v>
      </c>
      <c r="D1028" t="s">
        <v>523</v>
      </c>
      <c r="E1028" t="s">
        <v>2855</v>
      </c>
      <c r="H1028" t="s">
        <v>61</v>
      </c>
      <c r="I1028" t="s">
        <v>525</v>
      </c>
      <c r="J1028" t="s">
        <v>87</v>
      </c>
      <c r="K1028" t="s">
        <v>88</v>
      </c>
      <c r="L1028" t="s">
        <v>29</v>
      </c>
      <c r="M1028" t="s">
        <v>30</v>
      </c>
      <c r="N1028" t="s">
        <v>31</v>
      </c>
      <c r="Q1028" t="s">
        <v>2281</v>
      </c>
      <c r="R1028" t="s">
        <v>2281</v>
      </c>
    </row>
    <row r="1029" spans="1:18" x14ac:dyDescent="0.3">
      <c r="A1029" s="2" t="str">
        <f>HYPERLINK(B1029,"Oppna PDF")</f>
        <v>Oppna PDF</v>
      </c>
      <c r="B1029" t="s">
        <v>2853</v>
      </c>
      <c r="C1029" t="s">
        <v>2856</v>
      </c>
      <c r="D1029" t="s">
        <v>523</v>
      </c>
      <c r="E1029" t="s">
        <v>2855</v>
      </c>
      <c r="H1029" t="s">
        <v>61</v>
      </c>
      <c r="I1029" t="s">
        <v>525</v>
      </c>
      <c r="J1029" t="s">
        <v>34</v>
      </c>
      <c r="K1029" t="s">
        <v>35</v>
      </c>
      <c r="L1029" t="s">
        <v>29</v>
      </c>
      <c r="M1029" t="s">
        <v>30</v>
      </c>
      <c r="N1029" t="s">
        <v>31</v>
      </c>
      <c r="Q1029" t="s">
        <v>2283</v>
      </c>
      <c r="R1029" t="s">
        <v>2283</v>
      </c>
    </row>
    <row r="1030" spans="1:18" x14ac:dyDescent="0.3">
      <c r="A1030" s="2" t="str">
        <f>HYPERLINK(B1030,"Oppna PDF")</f>
        <v>Oppna PDF</v>
      </c>
      <c r="B1030" t="s">
        <v>2853</v>
      </c>
      <c r="C1030" t="s">
        <v>2857</v>
      </c>
      <c r="D1030" t="s">
        <v>523</v>
      </c>
      <c r="E1030" t="s">
        <v>2855</v>
      </c>
      <c r="H1030" t="s">
        <v>61</v>
      </c>
      <c r="I1030" t="s">
        <v>525</v>
      </c>
      <c r="J1030" t="s">
        <v>27</v>
      </c>
      <c r="K1030" t="s">
        <v>28</v>
      </c>
      <c r="L1030" t="s">
        <v>29</v>
      </c>
      <c r="M1030" t="s">
        <v>30</v>
      </c>
      <c r="N1030" t="s">
        <v>31</v>
      </c>
      <c r="Q1030" t="s">
        <v>696</v>
      </c>
      <c r="R1030" t="s">
        <v>696</v>
      </c>
    </row>
    <row r="1031" spans="1:18" x14ac:dyDescent="0.3">
      <c r="A1031" s="2" t="str">
        <f>HYPERLINK(B1031,"Oppna PDF")</f>
        <v>Oppna PDF</v>
      </c>
      <c r="B1031" t="s">
        <v>2858</v>
      </c>
      <c r="C1031" t="s">
        <v>2859</v>
      </c>
      <c r="D1031" t="s">
        <v>523</v>
      </c>
      <c r="E1031" t="s">
        <v>2860</v>
      </c>
      <c r="H1031" t="s">
        <v>61</v>
      </c>
      <c r="I1031" t="s">
        <v>525</v>
      </c>
      <c r="J1031" t="s">
        <v>27</v>
      </c>
      <c r="K1031" t="s">
        <v>28</v>
      </c>
      <c r="L1031" t="s">
        <v>29</v>
      </c>
      <c r="M1031" t="s">
        <v>30</v>
      </c>
      <c r="N1031" t="s">
        <v>31</v>
      </c>
      <c r="Q1031" t="s">
        <v>2288</v>
      </c>
      <c r="R1031" t="s">
        <v>2288</v>
      </c>
    </row>
    <row r="1032" spans="1:18" x14ac:dyDescent="0.3">
      <c r="A1032" s="2" t="str">
        <f>HYPERLINK(B1032,"Oppna PDF")</f>
        <v>Oppna PDF</v>
      </c>
      <c r="B1032" t="s">
        <v>2861</v>
      </c>
      <c r="C1032" t="s">
        <v>2862</v>
      </c>
      <c r="D1032" t="s">
        <v>422</v>
      </c>
      <c r="E1032" t="s">
        <v>2863</v>
      </c>
      <c r="H1032" t="s">
        <v>61</v>
      </c>
      <c r="I1032" t="s">
        <v>424</v>
      </c>
      <c r="J1032" t="s">
        <v>87</v>
      </c>
      <c r="K1032" t="s">
        <v>88</v>
      </c>
      <c r="L1032" t="s">
        <v>29</v>
      </c>
      <c r="M1032" t="s">
        <v>30</v>
      </c>
      <c r="N1032" t="s">
        <v>31</v>
      </c>
      <c r="Q1032" t="s">
        <v>2516</v>
      </c>
      <c r="R1032" t="s">
        <v>2516</v>
      </c>
    </row>
    <row r="1033" spans="1:18" x14ac:dyDescent="0.3">
      <c r="A1033" s="2" t="str">
        <f>HYPERLINK(B1033,"Oppna PDF")</f>
        <v>Oppna PDF</v>
      </c>
      <c r="B1033" t="s">
        <v>2861</v>
      </c>
      <c r="C1033" t="s">
        <v>2864</v>
      </c>
      <c r="D1033" t="s">
        <v>422</v>
      </c>
      <c r="E1033" t="s">
        <v>2863</v>
      </c>
      <c r="H1033" t="s">
        <v>61</v>
      </c>
      <c r="I1033" t="s">
        <v>424</v>
      </c>
      <c r="J1033" t="s">
        <v>87</v>
      </c>
      <c r="K1033" t="s">
        <v>88</v>
      </c>
      <c r="L1033" t="s">
        <v>29</v>
      </c>
      <c r="M1033" t="s">
        <v>30</v>
      </c>
      <c r="N1033" t="s">
        <v>31</v>
      </c>
      <c r="Q1033" t="s">
        <v>2518</v>
      </c>
      <c r="R1033" t="s">
        <v>2519</v>
      </c>
    </row>
    <row r="1034" spans="1:18" x14ac:dyDescent="0.3">
      <c r="A1034" s="2" t="str">
        <f>HYPERLINK(B1034,"Oppna PDF")</f>
        <v>Oppna PDF</v>
      </c>
      <c r="B1034" t="s">
        <v>2861</v>
      </c>
      <c r="C1034" t="s">
        <v>2865</v>
      </c>
      <c r="D1034" t="s">
        <v>422</v>
      </c>
      <c r="E1034" t="s">
        <v>2863</v>
      </c>
      <c r="H1034" t="s">
        <v>61</v>
      </c>
      <c r="I1034" t="s">
        <v>424</v>
      </c>
      <c r="J1034" t="s">
        <v>48</v>
      </c>
      <c r="K1034" t="s">
        <v>49</v>
      </c>
      <c r="L1034" t="s">
        <v>29</v>
      </c>
      <c r="M1034" t="s">
        <v>30</v>
      </c>
      <c r="N1034" t="s">
        <v>31</v>
      </c>
      <c r="Q1034" t="s">
        <v>2521</v>
      </c>
      <c r="R1034" t="s">
        <v>2521</v>
      </c>
    </row>
    <row r="1035" spans="1:18" x14ac:dyDescent="0.3">
      <c r="A1035" s="2" t="str">
        <f>HYPERLINK(B1035,"Oppna PDF")</f>
        <v>Oppna PDF</v>
      </c>
      <c r="B1035" t="s">
        <v>2866</v>
      </c>
      <c r="C1035" t="s">
        <v>2867</v>
      </c>
      <c r="D1035" t="s">
        <v>422</v>
      </c>
      <c r="E1035" t="s">
        <v>2868</v>
      </c>
      <c r="H1035" t="s">
        <v>61</v>
      </c>
      <c r="I1035" t="s">
        <v>424</v>
      </c>
      <c r="J1035" t="s">
        <v>87</v>
      </c>
      <c r="K1035" t="s">
        <v>88</v>
      </c>
      <c r="L1035" t="s">
        <v>29</v>
      </c>
      <c r="M1035" t="s">
        <v>30</v>
      </c>
      <c r="N1035" t="s">
        <v>31</v>
      </c>
      <c r="Q1035" t="s">
        <v>425</v>
      </c>
      <c r="R1035" t="s">
        <v>426</v>
      </c>
    </row>
    <row r="1036" spans="1:18" x14ac:dyDescent="0.3">
      <c r="A1036" s="2" t="str">
        <f>HYPERLINK(B1036,"Oppna PDF")</f>
        <v>Oppna PDF</v>
      </c>
      <c r="B1036" t="s">
        <v>2866</v>
      </c>
      <c r="C1036" t="s">
        <v>2869</v>
      </c>
      <c r="D1036" t="s">
        <v>422</v>
      </c>
      <c r="E1036" t="s">
        <v>2868</v>
      </c>
      <c r="H1036" t="s">
        <v>61</v>
      </c>
      <c r="I1036" t="s">
        <v>424</v>
      </c>
      <c r="J1036" t="s">
        <v>87</v>
      </c>
      <c r="K1036" t="s">
        <v>88</v>
      </c>
      <c r="L1036" t="s">
        <v>300</v>
      </c>
      <c r="M1036" t="s">
        <v>30</v>
      </c>
      <c r="N1036" t="s">
        <v>31</v>
      </c>
      <c r="Q1036" t="s">
        <v>428</v>
      </c>
      <c r="R1036" t="s">
        <v>428</v>
      </c>
    </row>
    <row r="1037" spans="1:18" x14ac:dyDescent="0.3">
      <c r="A1037" s="2" t="str">
        <f>HYPERLINK(B1037,"Oppna PDF")</f>
        <v>Oppna PDF</v>
      </c>
      <c r="B1037" t="s">
        <v>2866</v>
      </c>
      <c r="C1037" t="s">
        <v>2870</v>
      </c>
      <c r="D1037" t="s">
        <v>422</v>
      </c>
      <c r="E1037" t="s">
        <v>2868</v>
      </c>
      <c r="H1037" t="s">
        <v>61</v>
      </c>
      <c r="I1037" t="s">
        <v>424</v>
      </c>
      <c r="J1037" t="s">
        <v>87</v>
      </c>
      <c r="K1037" t="s">
        <v>88</v>
      </c>
      <c r="L1037" t="s">
        <v>29</v>
      </c>
      <c r="M1037" t="s">
        <v>30</v>
      </c>
      <c r="N1037" t="s">
        <v>31</v>
      </c>
      <c r="Q1037" t="s">
        <v>430</v>
      </c>
      <c r="R1037" t="s">
        <v>430</v>
      </c>
    </row>
    <row r="1038" spans="1:18" x14ac:dyDescent="0.3">
      <c r="A1038" s="2" t="str">
        <f>HYPERLINK(B1038,"Oppna PDF")</f>
        <v>Oppna PDF</v>
      </c>
      <c r="B1038" t="s">
        <v>2871</v>
      </c>
      <c r="C1038" t="s">
        <v>2872</v>
      </c>
      <c r="D1038" t="s">
        <v>422</v>
      </c>
      <c r="E1038" t="s">
        <v>2873</v>
      </c>
      <c r="H1038" t="s">
        <v>61</v>
      </c>
      <c r="I1038" t="s">
        <v>424</v>
      </c>
      <c r="J1038" t="s">
        <v>87</v>
      </c>
      <c r="K1038" t="s">
        <v>88</v>
      </c>
      <c r="L1038" t="s">
        <v>29</v>
      </c>
      <c r="M1038" t="s">
        <v>30</v>
      </c>
      <c r="N1038" t="s">
        <v>31</v>
      </c>
      <c r="Q1038" t="s">
        <v>2516</v>
      </c>
      <c r="R1038" t="s">
        <v>2516</v>
      </c>
    </row>
    <row r="1039" spans="1:18" x14ac:dyDescent="0.3">
      <c r="A1039" s="2" t="str">
        <f>HYPERLINK(B1039,"Oppna PDF")</f>
        <v>Oppna PDF</v>
      </c>
      <c r="B1039" t="s">
        <v>2871</v>
      </c>
      <c r="C1039" t="s">
        <v>2874</v>
      </c>
      <c r="D1039" t="s">
        <v>422</v>
      </c>
      <c r="E1039" t="s">
        <v>2873</v>
      </c>
      <c r="H1039" t="s">
        <v>61</v>
      </c>
      <c r="I1039" t="s">
        <v>424</v>
      </c>
      <c r="J1039" t="s">
        <v>87</v>
      </c>
      <c r="K1039" t="s">
        <v>88</v>
      </c>
      <c r="L1039" t="s">
        <v>29</v>
      </c>
      <c r="M1039" t="s">
        <v>30</v>
      </c>
      <c r="N1039" t="s">
        <v>31</v>
      </c>
      <c r="Q1039" t="s">
        <v>2531</v>
      </c>
      <c r="R1039" t="s">
        <v>2532</v>
      </c>
    </row>
    <row r="1040" spans="1:18" x14ac:dyDescent="0.3">
      <c r="A1040" s="2" t="str">
        <f>HYPERLINK(B1040,"Oppna PDF")</f>
        <v>Oppna PDF</v>
      </c>
      <c r="B1040" t="s">
        <v>2871</v>
      </c>
      <c r="C1040" t="s">
        <v>2875</v>
      </c>
      <c r="D1040" t="s">
        <v>422</v>
      </c>
      <c r="E1040" t="s">
        <v>2873</v>
      </c>
      <c r="H1040" t="s">
        <v>61</v>
      </c>
      <c r="I1040" t="s">
        <v>424</v>
      </c>
      <c r="J1040" t="s">
        <v>34</v>
      </c>
      <c r="K1040" t="s">
        <v>35</v>
      </c>
      <c r="L1040" t="s">
        <v>29</v>
      </c>
      <c r="M1040" t="s">
        <v>30</v>
      </c>
      <c r="N1040" t="s">
        <v>31</v>
      </c>
      <c r="Q1040" t="s">
        <v>2534</v>
      </c>
      <c r="R1040" t="s">
        <v>2535</v>
      </c>
    </row>
    <row r="1041" spans="1:18" x14ac:dyDescent="0.3">
      <c r="A1041" s="2" t="str">
        <f>HYPERLINK(B1041,"Oppna PDF")</f>
        <v>Oppna PDF</v>
      </c>
      <c r="B1041" t="s">
        <v>2876</v>
      </c>
      <c r="C1041" t="s">
        <v>2877</v>
      </c>
      <c r="D1041" t="s">
        <v>422</v>
      </c>
      <c r="E1041" t="s">
        <v>2878</v>
      </c>
      <c r="H1041" t="s">
        <v>61</v>
      </c>
      <c r="I1041" t="s">
        <v>424</v>
      </c>
      <c r="J1041" t="s">
        <v>87</v>
      </c>
      <c r="K1041" t="s">
        <v>88</v>
      </c>
      <c r="L1041" t="s">
        <v>29</v>
      </c>
      <c r="M1041" t="s">
        <v>30</v>
      </c>
      <c r="N1041" t="s">
        <v>31</v>
      </c>
      <c r="Q1041" t="s">
        <v>625</v>
      </c>
      <c r="R1041" t="s">
        <v>625</v>
      </c>
    </row>
    <row r="1042" spans="1:18" x14ac:dyDescent="0.3">
      <c r="A1042" s="2" t="str">
        <f>HYPERLINK(B1042,"Oppna PDF")</f>
        <v>Oppna PDF</v>
      </c>
      <c r="B1042" t="s">
        <v>2876</v>
      </c>
      <c r="C1042" t="s">
        <v>2879</v>
      </c>
      <c r="D1042" t="s">
        <v>422</v>
      </c>
      <c r="E1042" t="s">
        <v>2878</v>
      </c>
      <c r="H1042" t="s">
        <v>61</v>
      </c>
      <c r="I1042" t="s">
        <v>424</v>
      </c>
      <c r="J1042" t="s">
        <v>34</v>
      </c>
      <c r="K1042" t="s">
        <v>35</v>
      </c>
      <c r="L1042" t="s">
        <v>29</v>
      </c>
      <c r="M1042" t="s">
        <v>30</v>
      </c>
      <c r="N1042" t="s">
        <v>31</v>
      </c>
      <c r="Q1042" t="s">
        <v>627</v>
      </c>
      <c r="R1042" t="s">
        <v>627</v>
      </c>
    </row>
    <row r="1043" spans="1:18" x14ac:dyDescent="0.3">
      <c r="A1043" s="2" t="str">
        <f>HYPERLINK(B1043,"Oppna PDF")</f>
        <v>Oppna PDF</v>
      </c>
      <c r="B1043" t="s">
        <v>2876</v>
      </c>
      <c r="C1043" t="s">
        <v>2880</v>
      </c>
      <c r="D1043" t="s">
        <v>422</v>
      </c>
      <c r="E1043" t="s">
        <v>2878</v>
      </c>
      <c r="H1043" t="s">
        <v>61</v>
      </c>
      <c r="I1043" t="s">
        <v>424</v>
      </c>
      <c r="J1043" t="s">
        <v>87</v>
      </c>
      <c r="K1043" t="s">
        <v>88</v>
      </c>
      <c r="L1043" t="s">
        <v>29</v>
      </c>
      <c r="M1043" t="s">
        <v>30</v>
      </c>
      <c r="N1043" t="s">
        <v>31</v>
      </c>
      <c r="Q1043" t="s">
        <v>629</v>
      </c>
      <c r="R1043" t="s">
        <v>629</v>
      </c>
    </row>
    <row r="1044" spans="1:18" x14ac:dyDescent="0.3">
      <c r="A1044" s="2" t="str">
        <f>HYPERLINK(B1044,"Oppna PDF")</f>
        <v>Oppna PDF</v>
      </c>
      <c r="B1044" t="s">
        <v>2881</v>
      </c>
      <c r="C1044" t="s">
        <v>2882</v>
      </c>
      <c r="D1044" t="s">
        <v>422</v>
      </c>
      <c r="E1044" t="s">
        <v>2883</v>
      </c>
      <c r="H1044" t="s">
        <v>61</v>
      </c>
      <c r="I1044" t="s">
        <v>424</v>
      </c>
      <c r="J1044" t="s">
        <v>34</v>
      </c>
      <c r="K1044" t="s">
        <v>35</v>
      </c>
      <c r="L1044" t="s">
        <v>29</v>
      </c>
      <c r="M1044" t="s">
        <v>30</v>
      </c>
      <c r="N1044" t="s">
        <v>31</v>
      </c>
      <c r="Q1044" t="s">
        <v>2500</v>
      </c>
      <c r="R1044" t="s">
        <v>2500</v>
      </c>
    </row>
    <row r="1045" spans="1:18" x14ac:dyDescent="0.3">
      <c r="A1045" s="2" t="str">
        <f>HYPERLINK(B1045,"Oppna PDF")</f>
        <v>Oppna PDF</v>
      </c>
      <c r="B1045" t="s">
        <v>2881</v>
      </c>
      <c r="C1045" t="s">
        <v>2884</v>
      </c>
      <c r="D1045" t="s">
        <v>422</v>
      </c>
      <c r="E1045" t="s">
        <v>2883</v>
      </c>
      <c r="H1045" t="s">
        <v>61</v>
      </c>
      <c r="I1045" t="s">
        <v>424</v>
      </c>
      <c r="J1045" t="s">
        <v>38</v>
      </c>
      <c r="K1045" t="s">
        <v>39</v>
      </c>
      <c r="L1045" t="s">
        <v>29</v>
      </c>
      <c r="M1045" t="s">
        <v>30</v>
      </c>
      <c r="N1045" t="s">
        <v>31</v>
      </c>
      <c r="Q1045" t="s">
        <v>2502</v>
      </c>
      <c r="R1045" t="s">
        <v>2502</v>
      </c>
    </row>
    <row r="1046" spans="1:18" x14ac:dyDescent="0.3">
      <c r="A1046" s="2" t="str">
        <f>HYPERLINK(B1046,"Oppna PDF")</f>
        <v>Oppna PDF</v>
      </c>
      <c r="B1046" t="s">
        <v>2881</v>
      </c>
      <c r="C1046" t="s">
        <v>2885</v>
      </c>
      <c r="D1046" t="s">
        <v>422</v>
      </c>
      <c r="E1046" t="s">
        <v>2883</v>
      </c>
      <c r="H1046" t="s">
        <v>61</v>
      </c>
      <c r="I1046" t="s">
        <v>424</v>
      </c>
      <c r="J1046" t="s">
        <v>48</v>
      </c>
      <c r="K1046" t="s">
        <v>49</v>
      </c>
      <c r="L1046" t="s">
        <v>29</v>
      </c>
      <c r="M1046" t="s">
        <v>30</v>
      </c>
      <c r="N1046" t="s">
        <v>31</v>
      </c>
      <c r="Q1046" t="s">
        <v>2504</v>
      </c>
      <c r="R1046" t="s">
        <v>2504</v>
      </c>
    </row>
    <row r="1047" spans="1:18" x14ac:dyDescent="0.3">
      <c r="A1047" s="2" t="str">
        <f>HYPERLINK(B1047,"Oppna PDF")</f>
        <v>Oppna PDF</v>
      </c>
      <c r="B1047" t="s">
        <v>2886</v>
      </c>
      <c r="C1047" t="s">
        <v>2887</v>
      </c>
      <c r="D1047" t="s">
        <v>422</v>
      </c>
      <c r="E1047" t="s">
        <v>2888</v>
      </c>
      <c r="H1047" t="s">
        <v>61</v>
      </c>
      <c r="I1047" t="s">
        <v>424</v>
      </c>
      <c r="J1047" t="s">
        <v>38</v>
      </c>
      <c r="K1047" t="s">
        <v>39</v>
      </c>
      <c r="L1047" t="s">
        <v>142</v>
      </c>
      <c r="M1047" t="s">
        <v>30</v>
      </c>
      <c r="N1047" t="s">
        <v>31</v>
      </c>
      <c r="Q1047" t="s">
        <v>2636</v>
      </c>
      <c r="R1047" t="s">
        <v>2637</v>
      </c>
    </row>
    <row r="1048" spans="1:18" x14ac:dyDescent="0.3">
      <c r="A1048" s="2" t="str">
        <f>HYPERLINK(B1048,"Oppna PDF")</f>
        <v>Oppna PDF</v>
      </c>
      <c r="B1048" t="s">
        <v>2886</v>
      </c>
      <c r="C1048" t="s">
        <v>2889</v>
      </c>
      <c r="D1048" t="s">
        <v>422</v>
      </c>
      <c r="E1048" t="s">
        <v>2888</v>
      </c>
      <c r="H1048" t="s">
        <v>61</v>
      </c>
      <c r="I1048" t="s">
        <v>424</v>
      </c>
      <c r="J1048" t="s">
        <v>38</v>
      </c>
      <c r="K1048" t="s">
        <v>39</v>
      </c>
      <c r="L1048" t="s">
        <v>29</v>
      </c>
      <c r="M1048" t="s">
        <v>30</v>
      </c>
      <c r="N1048" t="s">
        <v>31</v>
      </c>
      <c r="Q1048" t="s">
        <v>2639</v>
      </c>
      <c r="R1048" t="s">
        <v>2639</v>
      </c>
    </row>
    <row r="1049" spans="1:18" x14ac:dyDescent="0.3">
      <c r="A1049" s="2" t="str">
        <f>HYPERLINK(B1049,"Oppna PDF")</f>
        <v>Oppna PDF</v>
      </c>
      <c r="B1049" t="s">
        <v>2886</v>
      </c>
      <c r="C1049" t="s">
        <v>2890</v>
      </c>
      <c r="D1049" t="s">
        <v>422</v>
      </c>
      <c r="E1049" t="s">
        <v>2888</v>
      </c>
      <c r="H1049" t="s">
        <v>61</v>
      </c>
      <c r="I1049" t="s">
        <v>424</v>
      </c>
      <c r="J1049" t="s">
        <v>38</v>
      </c>
      <c r="K1049" t="s">
        <v>39</v>
      </c>
      <c r="L1049" t="s">
        <v>142</v>
      </c>
      <c r="M1049" t="s">
        <v>30</v>
      </c>
      <c r="N1049" t="s">
        <v>31</v>
      </c>
      <c r="Q1049" t="s">
        <v>2641</v>
      </c>
      <c r="R1049" t="s">
        <v>2642</v>
      </c>
    </row>
    <row r="1050" spans="1:18" x14ac:dyDescent="0.3">
      <c r="A1050" s="2" t="str">
        <f>HYPERLINK(B1050,"Oppna PDF")</f>
        <v>Oppna PDF</v>
      </c>
      <c r="B1050" t="s">
        <v>2891</v>
      </c>
      <c r="C1050" t="s">
        <v>2892</v>
      </c>
      <c r="D1050" t="s">
        <v>2296</v>
      </c>
      <c r="E1050" t="s">
        <v>2893</v>
      </c>
      <c r="H1050" t="s">
        <v>25</v>
      </c>
      <c r="I1050" t="s">
        <v>584</v>
      </c>
      <c r="J1050" t="s">
        <v>91</v>
      </c>
      <c r="K1050" t="s">
        <v>92</v>
      </c>
      <c r="L1050" t="s">
        <v>29</v>
      </c>
      <c r="M1050" t="s">
        <v>30</v>
      </c>
      <c r="N1050" t="s">
        <v>31</v>
      </c>
      <c r="Q1050" t="s">
        <v>2894</v>
      </c>
      <c r="R1050" t="s">
        <v>2894</v>
      </c>
    </row>
    <row r="1051" spans="1:18" x14ac:dyDescent="0.3">
      <c r="A1051" s="2" t="str">
        <f>HYPERLINK(B1051,"Oppna PDF")</f>
        <v>Oppna PDF</v>
      </c>
      <c r="B1051" t="s">
        <v>2895</v>
      </c>
      <c r="C1051" t="s">
        <v>2896</v>
      </c>
      <c r="D1051" t="s">
        <v>2296</v>
      </c>
      <c r="E1051" t="s">
        <v>2897</v>
      </c>
      <c r="H1051" t="s">
        <v>25</v>
      </c>
      <c r="I1051" t="s">
        <v>584</v>
      </c>
      <c r="J1051" t="s">
        <v>27</v>
      </c>
      <c r="K1051" t="s">
        <v>28</v>
      </c>
      <c r="L1051" t="s">
        <v>29</v>
      </c>
      <c r="M1051" t="s">
        <v>30</v>
      </c>
      <c r="N1051" t="s">
        <v>31</v>
      </c>
      <c r="Q1051" t="s">
        <v>2898</v>
      </c>
      <c r="R1051" t="s">
        <v>2898</v>
      </c>
    </row>
    <row r="1052" spans="1:18" x14ac:dyDescent="0.3">
      <c r="A1052" s="2" t="str">
        <f>HYPERLINK(B1052,"Oppna PDF")</f>
        <v>Oppna PDF</v>
      </c>
      <c r="B1052" t="s">
        <v>2899</v>
      </c>
      <c r="C1052" t="s">
        <v>2900</v>
      </c>
      <c r="D1052" t="s">
        <v>2901</v>
      </c>
      <c r="E1052" t="s">
        <v>2902</v>
      </c>
      <c r="H1052" t="s">
        <v>61</v>
      </c>
      <c r="I1052" t="s">
        <v>2903</v>
      </c>
      <c r="J1052" t="s">
        <v>91</v>
      </c>
      <c r="K1052" t="s">
        <v>92</v>
      </c>
      <c r="L1052" t="s">
        <v>29</v>
      </c>
      <c r="M1052" t="s">
        <v>30</v>
      </c>
      <c r="N1052" t="s">
        <v>31</v>
      </c>
      <c r="Q1052" t="s">
        <v>2894</v>
      </c>
      <c r="R1052" t="s">
        <v>2894</v>
      </c>
    </row>
    <row r="1053" spans="1:18" x14ac:dyDescent="0.3">
      <c r="A1053" s="2" t="str">
        <f>HYPERLINK(B1053,"Oppna PDF")</f>
        <v>Oppna PDF</v>
      </c>
      <c r="B1053" t="s">
        <v>2904</v>
      </c>
      <c r="C1053" t="s">
        <v>2905</v>
      </c>
      <c r="D1053" t="s">
        <v>2901</v>
      </c>
      <c r="E1053" t="s">
        <v>2906</v>
      </c>
      <c r="H1053" t="s">
        <v>61</v>
      </c>
      <c r="I1053" t="s">
        <v>2903</v>
      </c>
      <c r="J1053" t="s">
        <v>27</v>
      </c>
      <c r="K1053" t="s">
        <v>28</v>
      </c>
      <c r="L1053" t="s">
        <v>29</v>
      </c>
      <c r="M1053" t="s">
        <v>30</v>
      </c>
      <c r="N1053" t="s">
        <v>31</v>
      </c>
      <c r="Q1053" t="s">
        <v>2898</v>
      </c>
      <c r="R1053" t="s">
        <v>2898</v>
      </c>
    </row>
    <row r="1054" spans="1:18" x14ac:dyDescent="0.3">
      <c r="A1054" s="2" t="str">
        <f>HYPERLINK(B1054,"Oppna PDF")</f>
        <v>Oppna PDF</v>
      </c>
      <c r="B1054" t="s">
        <v>2907</v>
      </c>
      <c r="C1054" t="s">
        <v>2908</v>
      </c>
      <c r="D1054" t="s">
        <v>2901</v>
      </c>
      <c r="E1054" t="s">
        <v>2909</v>
      </c>
      <c r="H1054" t="s">
        <v>61</v>
      </c>
      <c r="I1054" t="s">
        <v>2903</v>
      </c>
      <c r="J1054" t="s">
        <v>34</v>
      </c>
      <c r="K1054" t="s">
        <v>35</v>
      </c>
      <c r="L1054" t="s">
        <v>29</v>
      </c>
      <c r="M1054" t="s">
        <v>30</v>
      </c>
      <c r="N1054" t="s">
        <v>31</v>
      </c>
      <c r="Q1054" t="s">
        <v>2298</v>
      </c>
      <c r="R1054" t="s">
        <v>2298</v>
      </c>
    </row>
    <row r="1055" spans="1:18" x14ac:dyDescent="0.3">
      <c r="A1055" s="2" t="str">
        <f>HYPERLINK(B1055,"Oppna PDF")</f>
        <v>Oppna PDF</v>
      </c>
      <c r="B1055" t="s">
        <v>2907</v>
      </c>
      <c r="C1055" t="s">
        <v>2910</v>
      </c>
      <c r="D1055" t="s">
        <v>2901</v>
      </c>
      <c r="E1055" t="s">
        <v>2909</v>
      </c>
      <c r="H1055" t="s">
        <v>61</v>
      </c>
      <c r="I1055" t="s">
        <v>2903</v>
      </c>
      <c r="J1055" t="s">
        <v>87</v>
      </c>
      <c r="K1055" t="s">
        <v>88</v>
      </c>
      <c r="L1055" t="s">
        <v>29</v>
      </c>
      <c r="M1055" t="s">
        <v>30</v>
      </c>
      <c r="N1055" t="s">
        <v>31</v>
      </c>
      <c r="Q1055" t="s">
        <v>2300</v>
      </c>
      <c r="R1055" t="s">
        <v>2300</v>
      </c>
    </row>
    <row r="1056" spans="1:18" x14ac:dyDescent="0.3">
      <c r="A1056" s="2" t="str">
        <f>HYPERLINK(B1056,"Oppna PDF")</f>
        <v>Oppna PDF</v>
      </c>
      <c r="B1056" t="s">
        <v>2907</v>
      </c>
      <c r="C1056" t="s">
        <v>2911</v>
      </c>
      <c r="D1056" t="s">
        <v>2901</v>
      </c>
      <c r="E1056" t="s">
        <v>2909</v>
      </c>
      <c r="H1056" t="s">
        <v>61</v>
      </c>
      <c r="I1056" t="s">
        <v>2903</v>
      </c>
      <c r="J1056" t="s">
        <v>27</v>
      </c>
      <c r="K1056" t="s">
        <v>28</v>
      </c>
      <c r="L1056" t="s">
        <v>29</v>
      </c>
      <c r="M1056" t="s">
        <v>30</v>
      </c>
      <c r="N1056" t="s">
        <v>31</v>
      </c>
      <c r="Q1056" t="s">
        <v>2302</v>
      </c>
      <c r="R1056" t="s">
        <v>2302</v>
      </c>
    </row>
    <row r="1057" spans="1:18" x14ac:dyDescent="0.3">
      <c r="A1057" s="2" t="str">
        <f>HYPERLINK(B1057,"Oppna PDF")</f>
        <v>Oppna PDF</v>
      </c>
      <c r="B1057" t="s">
        <v>2912</v>
      </c>
      <c r="C1057" t="s">
        <v>2913</v>
      </c>
      <c r="D1057" t="s">
        <v>2914</v>
      </c>
      <c r="E1057" t="s">
        <v>2915</v>
      </c>
      <c r="F1057" t="s">
        <v>2916</v>
      </c>
      <c r="G1057" t="s">
        <v>2917</v>
      </c>
      <c r="H1057" t="s">
        <v>268</v>
      </c>
      <c r="I1057" t="s">
        <v>2918</v>
      </c>
      <c r="J1057" t="s">
        <v>27</v>
      </c>
      <c r="K1057" t="s">
        <v>28</v>
      </c>
      <c r="L1057" t="s">
        <v>142</v>
      </c>
      <c r="M1057" t="s">
        <v>30</v>
      </c>
      <c r="N1057" t="s">
        <v>31</v>
      </c>
      <c r="Q1057" t="s">
        <v>2919</v>
      </c>
      <c r="R1057" t="s">
        <v>2919</v>
      </c>
    </row>
    <row r="1058" spans="1:18" x14ac:dyDescent="0.3">
      <c r="A1058" s="2" t="str">
        <f>HYPERLINK(B1058,"Oppna PDF")</f>
        <v>Oppna PDF</v>
      </c>
      <c r="B1058" t="s">
        <v>2912</v>
      </c>
      <c r="C1058" t="s">
        <v>2920</v>
      </c>
      <c r="D1058" t="s">
        <v>2914</v>
      </c>
      <c r="E1058" t="s">
        <v>2915</v>
      </c>
      <c r="F1058" t="s">
        <v>2916</v>
      </c>
      <c r="G1058" t="s">
        <v>2917</v>
      </c>
      <c r="H1058" t="s">
        <v>268</v>
      </c>
      <c r="I1058" t="s">
        <v>2918</v>
      </c>
      <c r="J1058" t="s">
        <v>27</v>
      </c>
      <c r="K1058" t="s">
        <v>28</v>
      </c>
      <c r="L1058" t="s">
        <v>29</v>
      </c>
      <c r="M1058" t="s">
        <v>30</v>
      </c>
      <c r="N1058" t="s">
        <v>31</v>
      </c>
      <c r="Q1058" t="s">
        <v>2921</v>
      </c>
      <c r="R1058" t="s">
        <v>2921</v>
      </c>
    </row>
    <row r="1059" spans="1:18" x14ac:dyDescent="0.3">
      <c r="A1059" s="2" t="str">
        <f>HYPERLINK(B1059,"Oppna PDF")</f>
        <v>Oppna PDF</v>
      </c>
      <c r="B1059" t="s">
        <v>2912</v>
      </c>
      <c r="C1059" t="s">
        <v>2922</v>
      </c>
      <c r="D1059" t="s">
        <v>2914</v>
      </c>
      <c r="E1059" t="s">
        <v>2915</v>
      </c>
      <c r="F1059" t="s">
        <v>2916</v>
      </c>
      <c r="G1059" t="s">
        <v>2917</v>
      </c>
      <c r="H1059" t="s">
        <v>268</v>
      </c>
      <c r="I1059" t="s">
        <v>2918</v>
      </c>
      <c r="J1059" t="s">
        <v>87</v>
      </c>
      <c r="K1059" t="s">
        <v>88</v>
      </c>
      <c r="L1059" t="s">
        <v>29</v>
      </c>
      <c r="M1059" t="s">
        <v>30</v>
      </c>
      <c r="N1059" t="s">
        <v>31</v>
      </c>
      <c r="Q1059" t="s">
        <v>2923</v>
      </c>
      <c r="R1059" t="s">
        <v>2923</v>
      </c>
    </row>
    <row r="1060" spans="1:18" x14ac:dyDescent="0.3">
      <c r="A1060" s="2" t="str">
        <f>HYPERLINK(B1060,"Oppna PDF")</f>
        <v>Oppna PDF</v>
      </c>
      <c r="B1060" t="s">
        <v>2924</v>
      </c>
      <c r="C1060" t="s">
        <v>2925</v>
      </c>
      <c r="D1060" t="s">
        <v>2926</v>
      </c>
      <c r="E1060" t="s">
        <v>2927</v>
      </c>
      <c r="F1060" t="s">
        <v>2916</v>
      </c>
      <c r="G1060" t="s">
        <v>2917</v>
      </c>
      <c r="H1060" t="s">
        <v>268</v>
      </c>
      <c r="I1060" t="s">
        <v>2918</v>
      </c>
      <c r="J1060" t="s">
        <v>27</v>
      </c>
      <c r="K1060" t="s">
        <v>28</v>
      </c>
      <c r="L1060" t="s">
        <v>142</v>
      </c>
      <c r="M1060" t="s">
        <v>30</v>
      </c>
      <c r="N1060" t="s">
        <v>31</v>
      </c>
      <c r="Q1060" t="s">
        <v>2919</v>
      </c>
      <c r="R1060" t="s">
        <v>2919</v>
      </c>
    </row>
    <row r="1061" spans="1:18" x14ac:dyDescent="0.3">
      <c r="A1061" s="2" t="str">
        <f>HYPERLINK(B1061,"Oppna PDF")</f>
        <v>Oppna PDF</v>
      </c>
      <c r="B1061" t="s">
        <v>2924</v>
      </c>
      <c r="C1061" t="s">
        <v>2928</v>
      </c>
      <c r="D1061" t="s">
        <v>2926</v>
      </c>
      <c r="E1061" t="s">
        <v>2927</v>
      </c>
      <c r="F1061" t="s">
        <v>2916</v>
      </c>
      <c r="G1061" t="s">
        <v>2917</v>
      </c>
      <c r="H1061" t="s">
        <v>268</v>
      </c>
      <c r="I1061" t="s">
        <v>2918</v>
      </c>
      <c r="J1061" t="s">
        <v>27</v>
      </c>
      <c r="K1061" t="s">
        <v>28</v>
      </c>
      <c r="L1061" t="s">
        <v>29</v>
      </c>
      <c r="M1061" t="s">
        <v>30</v>
      </c>
      <c r="N1061" t="s">
        <v>31</v>
      </c>
      <c r="Q1061" t="s">
        <v>2921</v>
      </c>
      <c r="R1061" t="s">
        <v>2921</v>
      </c>
    </row>
    <row r="1062" spans="1:18" x14ac:dyDescent="0.3">
      <c r="A1062" s="2" t="str">
        <f>HYPERLINK(B1062,"Oppna PDF")</f>
        <v>Oppna PDF</v>
      </c>
      <c r="B1062" t="s">
        <v>2924</v>
      </c>
      <c r="C1062" t="s">
        <v>2929</v>
      </c>
      <c r="D1062" t="s">
        <v>2926</v>
      </c>
      <c r="E1062" t="s">
        <v>2927</v>
      </c>
      <c r="F1062" t="s">
        <v>2916</v>
      </c>
      <c r="G1062" t="s">
        <v>2917</v>
      </c>
      <c r="H1062" t="s">
        <v>268</v>
      </c>
      <c r="I1062" t="s">
        <v>2918</v>
      </c>
      <c r="J1062" t="s">
        <v>87</v>
      </c>
      <c r="K1062" t="s">
        <v>88</v>
      </c>
      <c r="L1062" t="s">
        <v>29</v>
      </c>
      <c r="M1062" t="s">
        <v>30</v>
      </c>
      <c r="N1062" t="s">
        <v>31</v>
      </c>
      <c r="Q1062" t="s">
        <v>2923</v>
      </c>
      <c r="R1062" t="s">
        <v>2923</v>
      </c>
    </row>
    <row r="1063" spans="1:18" x14ac:dyDescent="0.3">
      <c r="A1063" s="2" t="str">
        <f>HYPERLINK(B1063,"Oppna PDF")</f>
        <v>Oppna PDF</v>
      </c>
      <c r="B1063" t="s">
        <v>2930</v>
      </c>
      <c r="C1063" t="s">
        <v>2931</v>
      </c>
      <c r="D1063" t="s">
        <v>2932</v>
      </c>
      <c r="E1063" t="s">
        <v>2933</v>
      </c>
      <c r="H1063" t="s">
        <v>61</v>
      </c>
      <c r="I1063" t="s">
        <v>2934</v>
      </c>
      <c r="J1063" t="s">
        <v>27</v>
      </c>
      <c r="K1063" t="s">
        <v>28</v>
      </c>
      <c r="L1063" t="s">
        <v>300</v>
      </c>
      <c r="M1063" t="s">
        <v>30</v>
      </c>
      <c r="N1063" t="s">
        <v>31</v>
      </c>
      <c r="Q1063" t="s">
        <v>2935</v>
      </c>
      <c r="R1063" t="s">
        <v>2935</v>
      </c>
    </row>
    <row r="1064" spans="1:18" x14ac:dyDescent="0.3">
      <c r="A1064" s="2" t="str">
        <f>HYPERLINK(B1064,"Oppna PDF")</f>
        <v>Oppna PDF</v>
      </c>
      <c r="B1064" t="s">
        <v>2936</v>
      </c>
      <c r="C1064" t="s">
        <v>2937</v>
      </c>
      <c r="D1064" t="s">
        <v>2932</v>
      </c>
      <c r="E1064" t="s">
        <v>2938</v>
      </c>
      <c r="H1064" t="s">
        <v>61</v>
      </c>
      <c r="I1064" t="s">
        <v>2934</v>
      </c>
      <c r="J1064" t="s">
        <v>91</v>
      </c>
      <c r="K1064" t="s">
        <v>92</v>
      </c>
      <c r="L1064" t="s">
        <v>29</v>
      </c>
      <c r="M1064" t="s">
        <v>30</v>
      </c>
      <c r="N1064" t="s">
        <v>31</v>
      </c>
      <c r="Q1064" t="s">
        <v>2939</v>
      </c>
      <c r="R1064" t="s">
        <v>2940</v>
      </c>
    </row>
    <row r="1065" spans="1:18" x14ac:dyDescent="0.3">
      <c r="A1065" s="2" t="str">
        <f>HYPERLINK(B1065,"Oppna PDF")</f>
        <v>Oppna PDF</v>
      </c>
      <c r="B1065" t="s">
        <v>2941</v>
      </c>
      <c r="C1065" t="s">
        <v>2942</v>
      </c>
      <c r="D1065" t="s">
        <v>2932</v>
      </c>
      <c r="E1065" t="s">
        <v>2943</v>
      </c>
      <c r="H1065" t="s">
        <v>61</v>
      </c>
      <c r="I1065" t="s">
        <v>2934</v>
      </c>
      <c r="J1065" t="s">
        <v>48</v>
      </c>
      <c r="K1065" t="s">
        <v>49</v>
      </c>
      <c r="L1065" t="s">
        <v>29</v>
      </c>
      <c r="M1065" t="s">
        <v>30</v>
      </c>
      <c r="N1065" t="s">
        <v>31</v>
      </c>
      <c r="Q1065" t="s">
        <v>2944</v>
      </c>
      <c r="R1065" t="s">
        <v>2945</v>
      </c>
    </row>
    <row r="1066" spans="1:18" x14ac:dyDescent="0.3">
      <c r="A1066" s="2" t="str">
        <f>HYPERLINK(B1066,"Oppna PDF")</f>
        <v>Oppna PDF</v>
      </c>
      <c r="B1066" t="s">
        <v>2941</v>
      </c>
      <c r="C1066" t="s">
        <v>2946</v>
      </c>
      <c r="D1066" t="s">
        <v>2932</v>
      </c>
      <c r="E1066" t="s">
        <v>2943</v>
      </c>
      <c r="H1066" t="s">
        <v>61</v>
      </c>
      <c r="I1066" t="s">
        <v>2934</v>
      </c>
      <c r="J1066" t="s">
        <v>48</v>
      </c>
      <c r="K1066" t="s">
        <v>49</v>
      </c>
      <c r="L1066" t="s">
        <v>29</v>
      </c>
      <c r="M1066" t="s">
        <v>30</v>
      </c>
      <c r="N1066" t="s">
        <v>31</v>
      </c>
      <c r="Q1066" t="s">
        <v>2947</v>
      </c>
      <c r="R1066" t="s">
        <v>2947</v>
      </c>
    </row>
    <row r="1067" spans="1:18" x14ac:dyDescent="0.3">
      <c r="A1067" s="2" t="str">
        <f>HYPERLINK(B1067,"Oppna PDF")</f>
        <v>Oppna PDF</v>
      </c>
      <c r="B1067" t="s">
        <v>2941</v>
      </c>
      <c r="C1067" t="s">
        <v>2948</v>
      </c>
      <c r="D1067" t="s">
        <v>2932</v>
      </c>
      <c r="E1067" t="s">
        <v>2943</v>
      </c>
      <c r="H1067" t="s">
        <v>61</v>
      </c>
      <c r="I1067" t="s">
        <v>2934</v>
      </c>
      <c r="J1067" t="s">
        <v>87</v>
      </c>
      <c r="K1067" t="s">
        <v>88</v>
      </c>
      <c r="L1067" t="s">
        <v>29</v>
      </c>
      <c r="M1067" t="s">
        <v>30</v>
      </c>
      <c r="N1067" t="s">
        <v>31</v>
      </c>
      <c r="Q1067" t="s">
        <v>2949</v>
      </c>
      <c r="R1067" t="s">
        <v>2949</v>
      </c>
    </row>
    <row r="1068" spans="1:18" x14ac:dyDescent="0.3">
      <c r="A1068" s="2" t="str">
        <f>HYPERLINK(B1068,"Oppna PDF")</f>
        <v>Oppna PDF</v>
      </c>
      <c r="B1068" t="s">
        <v>2950</v>
      </c>
      <c r="C1068" t="s">
        <v>2951</v>
      </c>
      <c r="D1068" t="s">
        <v>2952</v>
      </c>
      <c r="E1068" t="s">
        <v>2953</v>
      </c>
      <c r="H1068" t="s">
        <v>61</v>
      </c>
      <c r="I1068" t="s">
        <v>2934</v>
      </c>
      <c r="J1068" t="s">
        <v>27</v>
      </c>
      <c r="K1068" t="s">
        <v>28</v>
      </c>
      <c r="L1068" t="s">
        <v>300</v>
      </c>
      <c r="M1068" t="s">
        <v>30</v>
      </c>
      <c r="N1068" t="s">
        <v>31</v>
      </c>
      <c r="Q1068" t="s">
        <v>2935</v>
      </c>
      <c r="R1068" t="s">
        <v>2935</v>
      </c>
    </row>
    <row r="1069" spans="1:18" x14ac:dyDescent="0.3">
      <c r="A1069" s="2" t="str">
        <f>HYPERLINK(B1069,"Oppna PDF")</f>
        <v>Oppna PDF</v>
      </c>
      <c r="B1069" t="s">
        <v>2954</v>
      </c>
      <c r="C1069" t="s">
        <v>2955</v>
      </c>
      <c r="D1069" t="s">
        <v>2952</v>
      </c>
      <c r="E1069" t="s">
        <v>2956</v>
      </c>
      <c r="H1069" t="s">
        <v>61</v>
      </c>
      <c r="I1069" t="s">
        <v>2934</v>
      </c>
      <c r="J1069" t="s">
        <v>91</v>
      </c>
      <c r="K1069" t="s">
        <v>92</v>
      </c>
      <c r="L1069" t="s">
        <v>29</v>
      </c>
      <c r="M1069" t="s">
        <v>30</v>
      </c>
      <c r="N1069" t="s">
        <v>31</v>
      </c>
      <c r="Q1069" t="s">
        <v>2939</v>
      </c>
      <c r="R1069" t="s">
        <v>2940</v>
      </c>
    </row>
    <row r="1070" spans="1:18" x14ac:dyDescent="0.3">
      <c r="A1070" s="2" t="str">
        <f>HYPERLINK(B1070,"Oppna PDF")</f>
        <v>Oppna PDF</v>
      </c>
      <c r="B1070" t="s">
        <v>2957</v>
      </c>
      <c r="C1070" t="s">
        <v>2958</v>
      </c>
      <c r="D1070" t="s">
        <v>2952</v>
      </c>
      <c r="E1070" t="s">
        <v>2959</v>
      </c>
      <c r="H1070" t="s">
        <v>61</v>
      </c>
      <c r="I1070" t="s">
        <v>2934</v>
      </c>
      <c r="J1070" t="s">
        <v>48</v>
      </c>
      <c r="K1070" t="s">
        <v>49</v>
      </c>
      <c r="L1070" t="s">
        <v>29</v>
      </c>
      <c r="M1070" t="s">
        <v>30</v>
      </c>
      <c r="N1070" t="s">
        <v>31</v>
      </c>
      <c r="Q1070" t="s">
        <v>2944</v>
      </c>
      <c r="R1070" t="s">
        <v>2945</v>
      </c>
    </row>
    <row r="1071" spans="1:18" x14ac:dyDescent="0.3">
      <c r="A1071" s="2" t="str">
        <f>HYPERLINK(B1071,"Oppna PDF")</f>
        <v>Oppna PDF</v>
      </c>
      <c r="B1071" t="s">
        <v>2957</v>
      </c>
      <c r="C1071" t="s">
        <v>2960</v>
      </c>
      <c r="D1071" t="s">
        <v>2952</v>
      </c>
      <c r="E1071" t="s">
        <v>2959</v>
      </c>
      <c r="H1071" t="s">
        <v>61</v>
      </c>
      <c r="I1071" t="s">
        <v>2934</v>
      </c>
      <c r="J1071" t="s">
        <v>48</v>
      </c>
      <c r="K1071" t="s">
        <v>49</v>
      </c>
      <c r="L1071" t="s">
        <v>29</v>
      </c>
      <c r="M1071" t="s">
        <v>30</v>
      </c>
      <c r="N1071" t="s">
        <v>31</v>
      </c>
      <c r="Q1071" t="s">
        <v>2947</v>
      </c>
      <c r="R1071" t="s">
        <v>2947</v>
      </c>
    </row>
    <row r="1072" spans="1:18" x14ac:dyDescent="0.3">
      <c r="A1072" s="2" t="str">
        <f>HYPERLINK(B1072,"Oppna PDF")</f>
        <v>Oppna PDF</v>
      </c>
      <c r="B1072" t="s">
        <v>2957</v>
      </c>
      <c r="C1072" t="s">
        <v>2961</v>
      </c>
      <c r="D1072" t="s">
        <v>2952</v>
      </c>
      <c r="E1072" t="s">
        <v>2959</v>
      </c>
      <c r="H1072" t="s">
        <v>61</v>
      </c>
      <c r="I1072" t="s">
        <v>2934</v>
      </c>
      <c r="J1072" t="s">
        <v>87</v>
      </c>
      <c r="K1072" t="s">
        <v>88</v>
      </c>
      <c r="L1072" t="s">
        <v>29</v>
      </c>
      <c r="M1072" t="s">
        <v>30</v>
      </c>
      <c r="N1072" t="s">
        <v>31</v>
      </c>
      <c r="Q1072" t="s">
        <v>2949</v>
      </c>
      <c r="R1072" t="s">
        <v>2949</v>
      </c>
    </row>
    <row r="1073" spans="1:18" x14ac:dyDescent="0.3">
      <c r="A1073" s="2" t="str">
        <f>HYPERLINK(B1073,"Oppna PDF")</f>
        <v>Oppna PDF</v>
      </c>
      <c r="B1073" t="s">
        <v>2962</v>
      </c>
      <c r="C1073" t="s">
        <v>2963</v>
      </c>
      <c r="D1073" t="s">
        <v>2964</v>
      </c>
      <c r="E1073" t="s">
        <v>2965</v>
      </c>
      <c r="H1073" t="s">
        <v>25</v>
      </c>
      <c r="I1073" t="s">
        <v>2966</v>
      </c>
      <c r="J1073" t="s">
        <v>38</v>
      </c>
      <c r="K1073" t="s">
        <v>39</v>
      </c>
      <c r="L1073" t="s">
        <v>29</v>
      </c>
      <c r="M1073" t="s">
        <v>30</v>
      </c>
      <c r="N1073" t="s">
        <v>31</v>
      </c>
      <c r="Q1073" t="s">
        <v>2967</v>
      </c>
      <c r="R1073" t="s">
        <v>2967</v>
      </c>
    </row>
    <row r="1074" spans="1:18" x14ac:dyDescent="0.3">
      <c r="A1074" s="2" t="str">
        <f>HYPERLINK(B1074,"Oppna PDF")</f>
        <v>Oppna PDF</v>
      </c>
      <c r="B1074" t="s">
        <v>2962</v>
      </c>
      <c r="C1074" t="s">
        <v>2968</v>
      </c>
      <c r="D1074" t="s">
        <v>2964</v>
      </c>
      <c r="E1074" t="s">
        <v>2965</v>
      </c>
      <c r="H1074" t="s">
        <v>25</v>
      </c>
      <c r="I1074" t="s">
        <v>2966</v>
      </c>
      <c r="J1074" t="s">
        <v>87</v>
      </c>
      <c r="K1074" t="s">
        <v>88</v>
      </c>
      <c r="L1074" t="s">
        <v>29</v>
      </c>
      <c r="M1074" t="s">
        <v>30</v>
      </c>
      <c r="N1074" t="s">
        <v>31</v>
      </c>
      <c r="Q1074" t="s">
        <v>2969</v>
      </c>
      <c r="R1074" t="s">
        <v>2969</v>
      </c>
    </row>
    <row r="1075" spans="1:18" x14ac:dyDescent="0.3">
      <c r="A1075" s="2" t="str">
        <f>HYPERLINK(B1075,"Oppna PDF")</f>
        <v>Oppna PDF</v>
      </c>
      <c r="B1075" t="s">
        <v>2962</v>
      </c>
      <c r="C1075" t="s">
        <v>2970</v>
      </c>
      <c r="D1075" t="s">
        <v>2964</v>
      </c>
      <c r="E1075" t="s">
        <v>2965</v>
      </c>
      <c r="H1075" t="s">
        <v>25</v>
      </c>
      <c r="I1075" t="s">
        <v>2966</v>
      </c>
      <c r="J1075" t="s">
        <v>38</v>
      </c>
      <c r="K1075" t="s">
        <v>39</v>
      </c>
      <c r="L1075" t="s">
        <v>29</v>
      </c>
      <c r="M1075" t="s">
        <v>30</v>
      </c>
      <c r="N1075" t="s">
        <v>31</v>
      </c>
      <c r="Q1075" t="s">
        <v>2971</v>
      </c>
      <c r="R1075" t="s">
        <v>2971</v>
      </c>
    </row>
    <row r="1076" spans="1:18" x14ac:dyDescent="0.3">
      <c r="A1076" s="2" t="str">
        <f>HYPERLINK(B1076,"Oppna PDF")</f>
        <v>Oppna PDF</v>
      </c>
      <c r="B1076" t="s">
        <v>2972</v>
      </c>
      <c r="C1076" t="s">
        <v>2973</v>
      </c>
      <c r="D1076" t="s">
        <v>2964</v>
      </c>
      <c r="E1076" t="s">
        <v>2974</v>
      </c>
      <c r="H1076" t="s">
        <v>25</v>
      </c>
      <c r="I1076" t="s">
        <v>2966</v>
      </c>
      <c r="J1076" t="s">
        <v>27</v>
      </c>
      <c r="K1076" t="s">
        <v>28</v>
      </c>
      <c r="L1076" t="s">
        <v>29</v>
      </c>
      <c r="M1076" t="s">
        <v>30</v>
      </c>
      <c r="N1076" t="s">
        <v>31</v>
      </c>
      <c r="Q1076" t="s">
        <v>2975</v>
      </c>
      <c r="R1076" t="s">
        <v>2975</v>
      </c>
    </row>
    <row r="1077" spans="1:18" x14ac:dyDescent="0.3">
      <c r="A1077" s="2" t="str">
        <f>HYPERLINK(B1077,"Oppna PDF")</f>
        <v>Oppna PDF</v>
      </c>
      <c r="B1077" t="s">
        <v>2976</v>
      </c>
      <c r="C1077" t="s">
        <v>2977</v>
      </c>
      <c r="D1077" t="s">
        <v>2964</v>
      </c>
      <c r="E1077" t="s">
        <v>2978</v>
      </c>
      <c r="H1077" t="s">
        <v>25</v>
      </c>
      <c r="I1077" t="s">
        <v>2966</v>
      </c>
      <c r="J1077" t="s">
        <v>91</v>
      </c>
      <c r="K1077" t="s">
        <v>92</v>
      </c>
      <c r="L1077" t="s">
        <v>300</v>
      </c>
      <c r="M1077" t="s">
        <v>30</v>
      </c>
      <c r="N1077" t="s">
        <v>31</v>
      </c>
      <c r="Q1077" t="s">
        <v>2979</v>
      </c>
      <c r="R1077" t="s">
        <v>2979</v>
      </c>
    </row>
    <row r="1078" spans="1:18" x14ac:dyDescent="0.3">
      <c r="A1078" s="2" t="str">
        <f>HYPERLINK(B1078,"Oppna PDF")</f>
        <v>Oppna PDF</v>
      </c>
      <c r="B1078" t="s">
        <v>2980</v>
      </c>
      <c r="C1078" t="s">
        <v>2981</v>
      </c>
      <c r="D1078" t="s">
        <v>2964</v>
      </c>
      <c r="E1078" t="s">
        <v>2982</v>
      </c>
      <c r="H1078" t="s">
        <v>25</v>
      </c>
      <c r="I1078" t="s">
        <v>2966</v>
      </c>
      <c r="J1078" t="s">
        <v>38</v>
      </c>
      <c r="K1078" t="s">
        <v>39</v>
      </c>
      <c r="L1078" t="s">
        <v>29</v>
      </c>
      <c r="M1078" t="s">
        <v>30</v>
      </c>
      <c r="N1078" t="s">
        <v>31</v>
      </c>
      <c r="Q1078" t="s">
        <v>2967</v>
      </c>
      <c r="R1078" t="s">
        <v>2967</v>
      </c>
    </row>
    <row r="1079" spans="1:18" x14ac:dyDescent="0.3">
      <c r="A1079" s="2" t="str">
        <f>HYPERLINK(B1079,"Oppna PDF")</f>
        <v>Oppna PDF</v>
      </c>
      <c r="B1079" t="s">
        <v>2980</v>
      </c>
      <c r="C1079" t="s">
        <v>2983</v>
      </c>
      <c r="D1079" t="s">
        <v>2964</v>
      </c>
      <c r="E1079" t="s">
        <v>2982</v>
      </c>
      <c r="H1079" t="s">
        <v>25</v>
      </c>
      <c r="I1079" t="s">
        <v>2966</v>
      </c>
      <c r="J1079" t="s">
        <v>1293</v>
      </c>
      <c r="K1079" t="s">
        <v>1294</v>
      </c>
      <c r="L1079" t="s">
        <v>29</v>
      </c>
      <c r="M1079" t="s">
        <v>30</v>
      </c>
      <c r="N1079" t="s">
        <v>31</v>
      </c>
      <c r="Q1079" t="s">
        <v>2984</v>
      </c>
      <c r="R1079" t="s">
        <v>2985</v>
      </c>
    </row>
    <row r="1080" spans="1:18" x14ac:dyDescent="0.3">
      <c r="A1080" s="2" t="str">
        <f>HYPERLINK(B1080,"Oppna PDF")</f>
        <v>Oppna PDF</v>
      </c>
      <c r="B1080" t="s">
        <v>2980</v>
      </c>
      <c r="C1080" t="s">
        <v>2986</v>
      </c>
      <c r="D1080" t="s">
        <v>2964</v>
      </c>
      <c r="E1080" t="s">
        <v>2982</v>
      </c>
      <c r="H1080" t="s">
        <v>25</v>
      </c>
      <c r="I1080" t="s">
        <v>2966</v>
      </c>
      <c r="J1080" t="s">
        <v>38</v>
      </c>
      <c r="K1080" t="s">
        <v>39</v>
      </c>
      <c r="L1080" t="s">
        <v>29</v>
      </c>
      <c r="M1080" t="s">
        <v>30</v>
      </c>
      <c r="N1080" t="s">
        <v>31</v>
      </c>
      <c r="Q1080" t="s">
        <v>2971</v>
      </c>
      <c r="R1080" t="s">
        <v>2971</v>
      </c>
    </row>
    <row r="1081" spans="1:18" x14ac:dyDescent="0.3">
      <c r="A1081" s="2" t="str">
        <f>HYPERLINK(B1081,"Oppna PDF")</f>
        <v>Oppna PDF</v>
      </c>
      <c r="B1081" t="s">
        <v>2987</v>
      </c>
      <c r="C1081" t="s">
        <v>2988</v>
      </c>
      <c r="D1081" t="s">
        <v>2964</v>
      </c>
      <c r="E1081" t="s">
        <v>2989</v>
      </c>
      <c r="H1081" t="s">
        <v>25</v>
      </c>
      <c r="I1081" t="s">
        <v>2966</v>
      </c>
      <c r="J1081" t="s">
        <v>38</v>
      </c>
      <c r="K1081" t="s">
        <v>39</v>
      </c>
      <c r="L1081" t="s">
        <v>29</v>
      </c>
      <c r="M1081" t="s">
        <v>30</v>
      </c>
      <c r="N1081" t="s">
        <v>31</v>
      </c>
      <c r="Q1081" t="s">
        <v>2990</v>
      </c>
      <c r="R1081" t="s">
        <v>2991</v>
      </c>
    </row>
    <row r="1082" spans="1:18" x14ac:dyDescent="0.3">
      <c r="A1082" s="2" t="str">
        <f>HYPERLINK(B1082,"Oppna PDF")</f>
        <v>Oppna PDF</v>
      </c>
      <c r="B1082" t="s">
        <v>2987</v>
      </c>
      <c r="C1082" t="s">
        <v>2992</v>
      </c>
      <c r="D1082" t="s">
        <v>2964</v>
      </c>
      <c r="E1082" t="s">
        <v>2989</v>
      </c>
      <c r="H1082" t="s">
        <v>25</v>
      </c>
      <c r="I1082" t="s">
        <v>2966</v>
      </c>
      <c r="J1082" t="s">
        <v>48</v>
      </c>
      <c r="K1082" t="s">
        <v>49</v>
      </c>
      <c r="L1082" t="s">
        <v>29</v>
      </c>
      <c r="M1082" t="s">
        <v>30</v>
      </c>
      <c r="N1082" t="s">
        <v>31</v>
      </c>
      <c r="Q1082" t="s">
        <v>2993</v>
      </c>
      <c r="R1082" t="s">
        <v>2993</v>
      </c>
    </row>
    <row r="1083" spans="1:18" x14ac:dyDescent="0.3">
      <c r="A1083" s="2" t="str">
        <f>HYPERLINK(B1083,"Oppna PDF")</f>
        <v>Oppna PDF</v>
      </c>
      <c r="B1083" t="s">
        <v>2987</v>
      </c>
      <c r="C1083" t="s">
        <v>2994</v>
      </c>
      <c r="D1083" t="s">
        <v>2964</v>
      </c>
      <c r="E1083" t="s">
        <v>2989</v>
      </c>
      <c r="H1083" t="s">
        <v>25</v>
      </c>
      <c r="I1083" t="s">
        <v>2966</v>
      </c>
      <c r="J1083" t="s">
        <v>87</v>
      </c>
      <c r="K1083" t="s">
        <v>88</v>
      </c>
      <c r="L1083" t="s">
        <v>29</v>
      </c>
      <c r="M1083" t="s">
        <v>30</v>
      </c>
      <c r="N1083" t="s">
        <v>31</v>
      </c>
      <c r="Q1083" t="s">
        <v>2995</v>
      </c>
      <c r="R1083" t="s">
        <v>2995</v>
      </c>
    </row>
    <row r="1084" spans="1:18" x14ac:dyDescent="0.3">
      <c r="A1084" s="2" t="str">
        <f>HYPERLINK(B1084,"Oppna PDF")</f>
        <v>Oppna PDF</v>
      </c>
      <c r="B1084" t="s">
        <v>2996</v>
      </c>
      <c r="C1084" t="s">
        <v>2997</v>
      </c>
      <c r="D1084" t="s">
        <v>2964</v>
      </c>
      <c r="E1084" t="s">
        <v>2998</v>
      </c>
      <c r="H1084" t="s">
        <v>25</v>
      </c>
      <c r="I1084" t="s">
        <v>2966</v>
      </c>
      <c r="J1084" t="s">
        <v>27</v>
      </c>
      <c r="K1084" t="s">
        <v>28</v>
      </c>
      <c r="L1084" t="s">
        <v>29</v>
      </c>
      <c r="M1084" t="s">
        <v>30</v>
      </c>
      <c r="N1084" t="s">
        <v>31</v>
      </c>
      <c r="Q1084" t="s">
        <v>2999</v>
      </c>
      <c r="R1084" t="s">
        <v>2999</v>
      </c>
    </row>
    <row r="1085" spans="1:18" x14ac:dyDescent="0.3">
      <c r="A1085" s="2" t="str">
        <f>HYPERLINK(B1085,"Oppna PDF")</f>
        <v>Oppna PDF</v>
      </c>
      <c r="B1085" t="s">
        <v>2996</v>
      </c>
      <c r="C1085" t="s">
        <v>3000</v>
      </c>
      <c r="D1085" t="s">
        <v>2964</v>
      </c>
      <c r="E1085" t="s">
        <v>2998</v>
      </c>
      <c r="H1085" t="s">
        <v>25</v>
      </c>
      <c r="I1085" t="s">
        <v>2966</v>
      </c>
      <c r="J1085" t="s">
        <v>48</v>
      </c>
      <c r="K1085" t="s">
        <v>49</v>
      </c>
      <c r="L1085" t="s">
        <v>29</v>
      </c>
      <c r="M1085" t="s">
        <v>30</v>
      </c>
      <c r="N1085" t="s">
        <v>31</v>
      </c>
      <c r="Q1085" t="s">
        <v>3001</v>
      </c>
      <c r="R1085" t="s">
        <v>3001</v>
      </c>
    </row>
    <row r="1086" spans="1:18" x14ac:dyDescent="0.3">
      <c r="A1086" s="2" t="str">
        <f>HYPERLINK(B1086,"Oppna PDF")</f>
        <v>Oppna PDF</v>
      </c>
      <c r="B1086" t="s">
        <v>2996</v>
      </c>
      <c r="C1086" t="s">
        <v>3002</v>
      </c>
      <c r="D1086" t="s">
        <v>2964</v>
      </c>
      <c r="E1086" t="s">
        <v>2998</v>
      </c>
      <c r="H1086" t="s">
        <v>25</v>
      </c>
      <c r="I1086" t="s">
        <v>2966</v>
      </c>
      <c r="J1086" t="s">
        <v>34</v>
      </c>
      <c r="K1086" t="s">
        <v>35</v>
      </c>
      <c r="L1086" t="s">
        <v>29</v>
      </c>
      <c r="M1086" t="s">
        <v>30</v>
      </c>
      <c r="N1086" t="s">
        <v>31</v>
      </c>
      <c r="Q1086" t="s">
        <v>3003</v>
      </c>
      <c r="R1086" t="s">
        <v>3003</v>
      </c>
    </row>
    <row r="1087" spans="1:18" x14ac:dyDescent="0.3">
      <c r="A1087" s="2" t="str">
        <f>HYPERLINK(B1087,"Oppna PDF")</f>
        <v>Oppna PDF</v>
      </c>
      <c r="B1087" t="s">
        <v>3004</v>
      </c>
      <c r="C1087" t="s">
        <v>3005</v>
      </c>
      <c r="D1087" t="s">
        <v>2964</v>
      </c>
      <c r="E1087" t="s">
        <v>3006</v>
      </c>
      <c r="H1087" t="s">
        <v>25</v>
      </c>
      <c r="I1087" t="s">
        <v>2966</v>
      </c>
      <c r="J1087" t="s">
        <v>48</v>
      </c>
      <c r="K1087" t="s">
        <v>49</v>
      </c>
      <c r="L1087" t="s">
        <v>29</v>
      </c>
      <c r="M1087" t="s">
        <v>30</v>
      </c>
      <c r="N1087" t="s">
        <v>31</v>
      </c>
      <c r="Q1087" t="s">
        <v>3007</v>
      </c>
      <c r="R1087" t="s">
        <v>3007</v>
      </c>
    </row>
    <row r="1088" spans="1:18" x14ac:dyDescent="0.3">
      <c r="A1088" s="2" t="str">
        <f>HYPERLINK(B1088,"Oppna PDF")</f>
        <v>Oppna PDF</v>
      </c>
      <c r="B1088" t="s">
        <v>3008</v>
      </c>
      <c r="C1088" t="s">
        <v>3009</v>
      </c>
      <c r="D1088" t="s">
        <v>2964</v>
      </c>
      <c r="E1088" t="s">
        <v>3010</v>
      </c>
      <c r="H1088" t="s">
        <v>25</v>
      </c>
      <c r="I1088" t="s">
        <v>2966</v>
      </c>
      <c r="J1088" t="s">
        <v>34</v>
      </c>
      <c r="K1088" t="s">
        <v>35</v>
      </c>
      <c r="L1088" t="s">
        <v>29</v>
      </c>
      <c r="M1088" t="s">
        <v>30</v>
      </c>
      <c r="N1088" t="s">
        <v>31</v>
      </c>
      <c r="Q1088" t="s">
        <v>3011</v>
      </c>
      <c r="R1088" t="s">
        <v>3011</v>
      </c>
    </row>
    <row r="1089" spans="1:18" x14ac:dyDescent="0.3">
      <c r="A1089" s="2" t="str">
        <f>HYPERLINK(B1089,"Oppna PDF")</f>
        <v>Oppna PDF</v>
      </c>
      <c r="B1089" t="s">
        <v>3008</v>
      </c>
      <c r="C1089" t="s">
        <v>3012</v>
      </c>
      <c r="D1089" t="s">
        <v>2964</v>
      </c>
      <c r="E1089" t="s">
        <v>3010</v>
      </c>
      <c r="H1089" t="s">
        <v>25</v>
      </c>
      <c r="I1089" t="s">
        <v>2966</v>
      </c>
      <c r="J1089" t="s">
        <v>34</v>
      </c>
      <c r="K1089" t="s">
        <v>35</v>
      </c>
      <c r="L1089" t="s">
        <v>29</v>
      </c>
      <c r="M1089" t="s">
        <v>30</v>
      </c>
      <c r="N1089" t="s">
        <v>31</v>
      </c>
      <c r="Q1089" t="s">
        <v>3013</v>
      </c>
      <c r="R1089" t="s">
        <v>3014</v>
      </c>
    </row>
    <row r="1090" spans="1:18" x14ac:dyDescent="0.3">
      <c r="A1090" s="2" t="str">
        <f>HYPERLINK(B1090,"Oppna PDF")</f>
        <v>Oppna PDF</v>
      </c>
      <c r="B1090" t="s">
        <v>3015</v>
      </c>
      <c r="C1090" t="s">
        <v>3016</v>
      </c>
      <c r="D1090" t="s">
        <v>2964</v>
      </c>
      <c r="E1090" t="s">
        <v>3017</v>
      </c>
      <c r="H1090" t="s">
        <v>25</v>
      </c>
      <c r="I1090" t="s">
        <v>2966</v>
      </c>
      <c r="J1090" t="s">
        <v>48</v>
      </c>
      <c r="K1090" t="s">
        <v>49</v>
      </c>
      <c r="L1090" t="s">
        <v>29</v>
      </c>
      <c r="M1090" t="s">
        <v>30</v>
      </c>
      <c r="N1090" t="s">
        <v>31</v>
      </c>
      <c r="Q1090" t="s">
        <v>3001</v>
      </c>
      <c r="R1090" t="s">
        <v>3001</v>
      </c>
    </row>
    <row r="1091" spans="1:18" x14ac:dyDescent="0.3">
      <c r="A1091" s="2" t="str">
        <f>HYPERLINK(B1091,"Oppna PDF")</f>
        <v>Oppna PDF</v>
      </c>
      <c r="B1091" t="s">
        <v>3015</v>
      </c>
      <c r="C1091" t="s">
        <v>3018</v>
      </c>
      <c r="D1091" t="s">
        <v>2964</v>
      </c>
      <c r="E1091" t="s">
        <v>3017</v>
      </c>
      <c r="H1091" t="s">
        <v>25</v>
      </c>
      <c r="I1091" t="s">
        <v>2966</v>
      </c>
      <c r="J1091" t="s">
        <v>38</v>
      </c>
      <c r="K1091" t="s">
        <v>39</v>
      </c>
      <c r="L1091" t="s">
        <v>29</v>
      </c>
      <c r="M1091" t="s">
        <v>30</v>
      </c>
      <c r="N1091" t="s">
        <v>31</v>
      </c>
      <c r="Q1091" t="s">
        <v>3019</v>
      </c>
      <c r="R1091" t="s">
        <v>3019</v>
      </c>
    </row>
    <row r="1092" spans="1:18" x14ac:dyDescent="0.3">
      <c r="A1092" s="2" t="str">
        <f>HYPERLINK(B1092,"Oppna PDF")</f>
        <v>Oppna PDF</v>
      </c>
      <c r="B1092" t="s">
        <v>3015</v>
      </c>
      <c r="C1092" t="s">
        <v>3020</v>
      </c>
      <c r="D1092" t="s">
        <v>2964</v>
      </c>
      <c r="E1092" t="s">
        <v>3017</v>
      </c>
      <c r="H1092" t="s">
        <v>25</v>
      </c>
      <c r="I1092" t="s">
        <v>2966</v>
      </c>
      <c r="J1092" t="s">
        <v>87</v>
      </c>
      <c r="K1092" t="s">
        <v>88</v>
      </c>
      <c r="L1092" t="s">
        <v>29</v>
      </c>
      <c r="M1092" t="s">
        <v>30</v>
      </c>
      <c r="N1092" t="s">
        <v>31</v>
      </c>
      <c r="Q1092" t="s">
        <v>3021</v>
      </c>
      <c r="R1092" t="s">
        <v>3021</v>
      </c>
    </row>
    <row r="1093" spans="1:18" x14ac:dyDescent="0.3">
      <c r="A1093" s="2" t="str">
        <f>HYPERLINK(B1093,"Oppna PDF")</f>
        <v>Oppna PDF</v>
      </c>
      <c r="B1093" t="s">
        <v>3022</v>
      </c>
      <c r="C1093" t="s">
        <v>3023</v>
      </c>
      <c r="D1093" t="s">
        <v>2964</v>
      </c>
      <c r="E1093" t="s">
        <v>3024</v>
      </c>
      <c r="H1093" t="s">
        <v>25</v>
      </c>
      <c r="I1093" t="s">
        <v>2966</v>
      </c>
      <c r="J1093" t="s">
        <v>27</v>
      </c>
      <c r="K1093" t="s">
        <v>28</v>
      </c>
      <c r="L1093" t="s">
        <v>29</v>
      </c>
      <c r="M1093" t="s">
        <v>30</v>
      </c>
      <c r="N1093" t="s">
        <v>31</v>
      </c>
      <c r="Q1093" t="s">
        <v>3025</v>
      </c>
      <c r="R1093" t="s">
        <v>3025</v>
      </c>
    </row>
    <row r="1094" spans="1:18" x14ac:dyDescent="0.3">
      <c r="A1094" s="2" t="str">
        <f>HYPERLINK(B1094,"Oppna PDF")</f>
        <v>Oppna PDF</v>
      </c>
      <c r="B1094" t="s">
        <v>3022</v>
      </c>
      <c r="C1094" t="s">
        <v>3026</v>
      </c>
      <c r="D1094" t="s">
        <v>2964</v>
      </c>
      <c r="E1094" t="s">
        <v>3024</v>
      </c>
      <c r="H1094" t="s">
        <v>25</v>
      </c>
      <c r="I1094" t="s">
        <v>2966</v>
      </c>
      <c r="J1094" t="s">
        <v>91</v>
      </c>
      <c r="K1094" t="s">
        <v>92</v>
      </c>
      <c r="L1094" t="s">
        <v>29</v>
      </c>
      <c r="M1094" t="s">
        <v>30</v>
      </c>
      <c r="N1094" t="s">
        <v>31</v>
      </c>
      <c r="Q1094" t="s">
        <v>3027</v>
      </c>
      <c r="R1094" t="s">
        <v>3027</v>
      </c>
    </row>
    <row r="1095" spans="1:18" x14ac:dyDescent="0.3">
      <c r="A1095" s="2" t="str">
        <f>HYPERLINK(B1095,"Oppna PDF")</f>
        <v>Oppna PDF</v>
      </c>
      <c r="B1095" t="s">
        <v>3022</v>
      </c>
      <c r="C1095" t="s">
        <v>3028</v>
      </c>
      <c r="D1095" t="s">
        <v>2964</v>
      </c>
      <c r="E1095" t="s">
        <v>3024</v>
      </c>
      <c r="H1095" t="s">
        <v>25</v>
      </c>
      <c r="I1095" t="s">
        <v>2966</v>
      </c>
      <c r="J1095" t="s">
        <v>34</v>
      </c>
      <c r="K1095" t="s">
        <v>35</v>
      </c>
      <c r="L1095" t="s">
        <v>29</v>
      </c>
      <c r="M1095" t="s">
        <v>30</v>
      </c>
      <c r="N1095" t="s">
        <v>31</v>
      </c>
      <c r="Q1095" t="s">
        <v>3029</v>
      </c>
      <c r="R1095" t="s">
        <v>3029</v>
      </c>
    </row>
    <row r="1096" spans="1:18" x14ac:dyDescent="0.3">
      <c r="A1096" s="2" t="str">
        <f>HYPERLINK(B1096,"Oppna PDF")</f>
        <v>Oppna PDF</v>
      </c>
      <c r="B1096" t="s">
        <v>3030</v>
      </c>
      <c r="C1096" t="s">
        <v>3031</v>
      </c>
      <c r="D1096" t="s">
        <v>2964</v>
      </c>
      <c r="E1096" t="s">
        <v>3032</v>
      </c>
      <c r="H1096" t="s">
        <v>25</v>
      </c>
      <c r="I1096" t="s">
        <v>2966</v>
      </c>
      <c r="J1096" t="s">
        <v>38</v>
      </c>
      <c r="K1096" t="s">
        <v>39</v>
      </c>
      <c r="L1096" t="s">
        <v>29</v>
      </c>
      <c r="M1096" t="s">
        <v>30</v>
      </c>
      <c r="N1096" t="s">
        <v>31</v>
      </c>
      <c r="Q1096" t="s">
        <v>2967</v>
      </c>
      <c r="R1096" t="s">
        <v>2967</v>
      </c>
    </row>
    <row r="1097" spans="1:18" x14ac:dyDescent="0.3">
      <c r="A1097" s="2" t="str">
        <f>HYPERLINK(B1097,"Oppna PDF")</f>
        <v>Oppna PDF</v>
      </c>
      <c r="B1097" t="s">
        <v>3030</v>
      </c>
      <c r="C1097" t="s">
        <v>3033</v>
      </c>
      <c r="D1097" t="s">
        <v>2964</v>
      </c>
      <c r="E1097" t="s">
        <v>3032</v>
      </c>
      <c r="H1097" t="s">
        <v>25</v>
      </c>
      <c r="I1097" t="s">
        <v>2966</v>
      </c>
      <c r="J1097" t="s">
        <v>87</v>
      </c>
      <c r="K1097" t="s">
        <v>88</v>
      </c>
      <c r="L1097" t="s">
        <v>29</v>
      </c>
      <c r="M1097" t="s">
        <v>30</v>
      </c>
      <c r="N1097" t="s">
        <v>31</v>
      </c>
      <c r="Q1097" t="s">
        <v>2969</v>
      </c>
      <c r="R1097" t="s">
        <v>2969</v>
      </c>
    </row>
    <row r="1098" spans="1:18" x14ac:dyDescent="0.3">
      <c r="A1098" s="2" t="str">
        <f>HYPERLINK(B1098,"Oppna PDF")</f>
        <v>Oppna PDF</v>
      </c>
      <c r="B1098" t="s">
        <v>3030</v>
      </c>
      <c r="C1098" t="s">
        <v>3034</v>
      </c>
      <c r="D1098" t="s">
        <v>2964</v>
      </c>
      <c r="E1098" t="s">
        <v>3032</v>
      </c>
      <c r="H1098" t="s">
        <v>25</v>
      </c>
      <c r="I1098" t="s">
        <v>2966</v>
      </c>
      <c r="J1098" t="s">
        <v>38</v>
      </c>
      <c r="K1098" t="s">
        <v>39</v>
      </c>
      <c r="L1098" t="s">
        <v>29</v>
      </c>
      <c r="M1098" t="s">
        <v>30</v>
      </c>
      <c r="N1098" t="s">
        <v>31</v>
      </c>
      <c r="Q1098" t="s">
        <v>2971</v>
      </c>
      <c r="R1098" t="s">
        <v>2971</v>
      </c>
    </row>
    <row r="1099" spans="1:18" x14ac:dyDescent="0.3">
      <c r="A1099" s="2" t="str">
        <f>HYPERLINK(B1099,"Oppna PDF")</f>
        <v>Oppna PDF</v>
      </c>
      <c r="B1099" t="s">
        <v>3035</v>
      </c>
      <c r="C1099" t="s">
        <v>3036</v>
      </c>
      <c r="D1099" t="s">
        <v>2964</v>
      </c>
      <c r="E1099" t="s">
        <v>3037</v>
      </c>
      <c r="H1099" t="s">
        <v>25</v>
      </c>
      <c r="I1099" t="s">
        <v>2966</v>
      </c>
      <c r="J1099" t="s">
        <v>34</v>
      </c>
      <c r="K1099" t="s">
        <v>35</v>
      </c>
      <c r="L1099" t="s">
        <v>29</v>
      </c>
      <c r="M1099" t="s">
        <v>30</v>
      </c>
      <c r="N1099" t="s">
        <v>31</v>
      </c>
      <c r="Q1099" t="s">
        <v>3038</v>
      </c>
      <c r="R1099" t="s">
        <v>3039</v>
      </c>
    </row>
    <row r="1100" spans="1:18" x14ac:dyDescent="0.3">
      <c r="A1100" s="2" t="str">
        <f>HYPERLINK(B1100,"Oppna PDF")</f>
        <v>Oppna PDF</v>
      </c>
      <c r="B1100" t="s">
        <v>3035</v>
      </c>
      <c r="C1100" t="s">
        <v>3040</v>
      </c>
      <c r="D1100" t="s">
        <v>2964</v>
      </c>
      <c r="E1100" t="s">
        <v>3037</v>
      </c>
      <c r="H1100" t="s">
        <v>25</v>
      </c>
      <c r="I1100" t="s">
        <v>2966</v>
      </c>
      <c r="J1100" t="s">
        <v>38</v>
      </c>
      <c r="K1100" t="s">
        <v>39</v>
      </c>
      <c r="L1100" t="s">
        <v>29</v>
      </c>
      <c r="M1100" t="s">
        <v>30</v>
      </c>
      <c r="N1100" t="s">
        <v>31</v>
      </c>
      <c r="Q1100" t="s">
        <v>3041</v>
      </c>
      <c r="R1100" t="s">
        <v>3041</v>
      </c>
    </row>
    <row r="1101" spans="1:18" x14ac:dyDescent="0.3">
      <c r="A1101" s="2" t="str">
        <f>HYPERLINK(B1101,"Oppna PDF")</f>
        <v>Oppna PDF</v>
      </c>
      <c r="B1101" t="s">
        <v>3035</v>
      </c>
      <c r="C1101" t="s">
        <v>3042</v>
      </c>
      <c r="D1101" t="s">
        <v>2964</v>
      </c>
      <c r="E1101" t="s">
        <v>3037</v>
      </c>
      <c r="H1101" t="s">
        <v>25</v>
      </c>
      <c r="I1101" t="s">
        <v>2966</v>
      </c>
      <c r="J1101" t="s">
        <v>38</v>
      </c>
      <c r="K1101" t="s">
        <v>39</v>
      </c>
      <c r="L1101" t="s">
        <v>29</v>
      </c>
      <c r="M1101" t="s">
        <v>30</v>
      </c>
      <c r="N1101" t="s">
        <v>31</v>
      </c>
      <c r="Q1101" t="s">
        <v>3043</v>
      </c>
      <c r="R1101" t="s">
        <v>3043</v>
      </c>
    </row>
    <row r="1102" spans="1:18" x14ac:dyDescent="0.3">
      <c r="A1102" s="2" t="str">
        <f>HYPERLINK(B1102,"Oppna PDF")</f>
        <v>Oppna PDF</v>
      </c>
      <c r="B1102" t="s">
        <v>3044</v>
      </c>
      <c r="C1102" t="s">
        <v>3045</v>
      </c>
      <c r="D1102" t="s">
        <v>2964</v>
      </c>
      <c r="E1102" t="s">
        <v>3046</v>
      </c>
      <c r="H1102" t="s">
        <v>25</v>
      </c>
      <c r="I1102" t="s">
        <v>2966</v>
      </c>
      <c r="J1102" t="s">
        <v>34</v>
      </c>
      <c r="K1102" t="s">
        <v>35</v>
      </c>
      <c r="L1102" t="s">
        <v>29</v>
      </c>
      <c r="M1102" t="s">
        <v>30</v>
      </c>
      <c r="N1102" t="s">
        <v>31</v>
      </c>
      <c r="Q1102" t="s">
        <v>3047</v>
      </c>
      <c r="R1102" t="s">
        <v>3048</v>
      </c>
    </row>
    <row r="1103" spans="1:18" x14ac:dyDescent="0.3">
      <c r="A1103" s="2" t="str">
        <f>HYPERLINK(B1103,"Oppna PDF")</f>
        <v>Oppna PDF</v>
      </c>
      <c r="B1103" t="s">
        <v>3044</v>
      </c>
      <c r="C1103" t="s">
        <v>3049</v>
      </c>
      <c r="D1103" t="s">
        <v>2964</v>
      </c>
      <c r="E1103" t="s">
        <v>3046</v>
      </c>
      <c r="H1103" t="s">
        <v>25</v>
      </c>
      <c r="I1103" t="s">
        <v>2966</v>
      </c>
      <c r="J1103" t="s">
        <v>87</v>
      </c>
      <c r="K1103" t="s">
        <v>88</v>
      </c>
      <c r="L1103" t="s">
        <v>29</v>
      </c>
      <c r="M1103" t="s">
        <v>30</v>
      </c>
      <c r="N1103" t="s">
        <v>31</v>
      </c>
      <c r="Q1103" t="s">
        <v>3050</v>
      </c>
      <c r="R1103" t="s">
        <v>3050</v>
      </c>
    </row>
    <row r="1104" spans="1:18" x14ac:dyDescent="0.3">
      <c r="A1104" s="2" t="str">
        <f>HYPERLINK(B1104,"Oppna PDF")</f>
        <v>Oppna PDF</v>
      </c>
      <c r="B1104" t="s">
        <v>3044</v>
      </c>
      <c r="C1104" t="s">
        <v>3051</v>
      </c>
      <c r="D1104" t="s">
        <v>2964</v>
      </c>
      <c r="E1104" t="s">
        <v>3046</v>
      </c>
      <c r="H1104" t="s">
        <v>25</v>
      </c>
      <c r="I1104" t="s">
        <v>2966</v>
      </c>
      <c r="J1104" t="s">
        <v>87</v>
      </c>
      <c r="K1104" t="s">
        <v>88</v>
      </c>
      <c r="L1104" t="s">
        <v>29</v>
      </c>
      <c r="M1104" t="s">
        <v>30</v>
      </c>
      <c r="N1104" t="s">
        <v>31</v>
      </c>
      <c r="Q1104" t="s">
        <v>3052</v>
      </c>
      <c r="R1104" t="s">
        <v>3052</v>
      </c>
    </row>
    <row r="1105" spans="1:18" x14ac:dyDescent="0.3">
      <c r="A1105" s="2" t="str">
        <f>HYPERLINK(B1105,"Oppna PDF")</f>
        <v>Oppna PDF</v>
      </c>
      <c r="B1105" t="s">
        <v>3053</v>
      </c>
      <c r="C1105" t="s">
        <v>3054</v>
      </c>
      <c r="D1105" t="s">
        <v>3055</v>
      </c>
      <c r="E1105" t="s">
        <v>3056</v>
      </c>
      <c r="H1105" t="s">
        <v>25</v>
      </c>
      <c r="I1105" t="s">
        <v>2966</v>
      </c>
      <c r="J1105" t="s">
        <v>38</v>
      </c>
      <c r="K1105" t="s">
        <v>39</v>
      </c>
      <c r="L1105" t="s">
        <v>29</v>
      </c>
      <c r="M1105" t="s">
        <v>30</v>
      </c>
      <c r="N1105" t="s">
        <v>31</v>
      </c>
      <c r="Q1105" t="s">
        <v>2967</v>
      </c>
      <c r="R1105" t="s">
        <v>2967</v>
      </c>
    </row>
    <row r="1106" spans="1:18" x14ac:dyDescent="0.3">
      <c r="A1106" s="2" t="str">
        <f>HYPERLINK(B1106,"Oppna PDF")</f>
        <v>Oppna PDF</v>
      </c>
      <c r="B1106" t="s">
        <v>3053</v>
      </c>
      <c r="C1106" t="s">
        <v>3057</v>
      </c>
      <c r="D1106" t="s">
        <v>3055</v>
      </c>
      <c r="E1106" t="s">
        <v>3056</v>
      </c>
      <c r="H1106" t="s">
        <v>25</v>
      </c>
      <c r="I1106" t="s">
        <v>2966</v>
      </c>
      <c r="J1106" t="s">
        <v>87</v>
      </c>
      <c r="K1106" t="s">
        <v>88</v>
      </c>
      <c r="L1106" t="s">
        <v>29</v>
      </c>
      <c r="M1106" t="s">
        <v>30</v>
      </c>
      <c r="N1106" t="s">
        <v>31</v>
      </c>
      <c r="Q1106" t="s">
        <v>2969</v>
      </c>
      <c r="R1106" t="s">
        <v>2969</v>
      </c>
    </row>
    <row r="1107" spans="1:18" x14ac:dyDescent="0.3">
      <c r="A1107" s="2" t="str">
        <f>HYPERLINK(B1107,"Oppna PDF")</f>
        <v>Oppna PDF</v>
      </c>
      <c r="B1107" t="s">
        <v>3053</v>
      </c>
      <c r="C1107" t="s">
        <v>3058</v>
      </c>
      <c r="D1107" t="s">
        <v>3055</v>
      </c>
      <c r="E1107" t="s">
        <v>3056</v>
      </c>
      <c r="H1107" t="s">
        <v>25</v>
      </c>
      <c r="I1107" t="s">
        <v>2966</v>
      </c>
      <c r="J1107" t="s">
        <v>38</v>
      </c>
      <c r="K1107" t="s">
        <v>39</v>
      </c>
      <c r="L1107" t="s">
        <v>29</v>
      </c>
      <c r="M1107" t="s">
        <v>30</v>
      </c>
      <c r="N1107" t="s">
        <v>31</v>
      </c>
      <c r="Q1107" t="s">
        <v>2971</v>
      </c>
      <c r="R1107" t="s">
        <v>2971</v>
      </c>
    </row>
    <row r="1108" spans="1:18" x14ac:dyDescent="0.3">
      <c r="A1108" s="2" t="str">
        <f>HYPERLINK(B1108,"Oppna PDF")</f>
        <v>Oppna PDF</v>
      </c>
      <c r="B1108" t="s">
        <v>3059</v>
      </c>
      <c r="C1108" t="s">
        <v>3060</v>
      </c>
      <c r="D1108" t="s">
        <v>3055</v>
      </c>
      <c r="E1108" t="s">
        <v>3061</v>
      </c>
      <c r="H1108" t="s">
        <v>25</v>
      </c>
      <c r="I1108" t="s">
        <v>2966</v>
      </c>
      <c r="J1108" t="s">
        <v>27</v>
      </c>
      <c r="K1108" t="s">
        <v>28</v>
      </c>
      <c r="L1108" t="s">
        <v>29</v>
      </c>
      <c r="M1108" t="s">
        <v>30</v>
      </c>
      <c r="N1108" t="s">
        <v>31</v>
      </c>
      <c r="Q1108" t="s">
        <v>2975</v>
      </c>
      <c r="R1108" t="s">
        <v>2975</v>
      </c>
    </row>
    <row r="1109" spans="1:18" x14ac:dyDescent="0.3">
      <c r="A1109" s="2" t="str">
        <f>HYPERLINK(B1109,"Oppna PDF")</f>
        <v>Oppna PDF</v>
      </c>
      <c r="B1109" t="s">
        <v>3062</v>
      </c>
      <c r="C1109" t="s">
        <v>3063</v>
      </c>
      <c r="D1109" t="s">
        <v>3055</v>
      </c>
      <c r="E1109" t="s">
        <v>3064</v>
      </c>
      <c r="H1109" t="s">
        <v>25</v>
      </c>
      <c r="I1109" t="s">
        <v>2966</v>
      </c>
      <c r="J1109" t="s">
        <v>91</v>
      </c>
      <c r="K1109" t="s">
        <v>92</v>
      </c>
      <c r="L1109" t="s">
        <v>300</v>
      </c>
      <c r="M1109" t="s">
        <v>30</v>
      </c>
      <c r="N1109" t="s">
        <v>31</v>
      </c>
      <c r="Q1109" t="s">
        <v>2979</v>
      </c>
      <c r="R1109" t="s">
        <v>2979</v>
      </c>
    </row>
    <row r="1110" spans="1:18" x14ac:dyDescent="0.3">
      <c r="A1110" s="2" t="str">
        <f>HYPERLINK(B1110,"Oppna PDF")</f>
        <v>Oppna PDF</v>
      </c>
      <c r="B1110" t="s">
        <v>3065</v>
      </c>
      <c r="C1110" t="s">
        <v>3066</v>
      </c>
      <c r="D1110" t="s">
        <v>3055</v>
      </c>
      <c r="E1110" t="s">
        <v>3067</v>
      </c>
      <c r="H1110" t="s">
        <v>25</v>
      </c>
      <c r="I1110" t="s">
        <v>2966</v>
      </c>
      <c r="J1110" t="s">
        <v>38</v>
      </c>
      <c r="K1110" t="s">
        <v>39</v>
      </c>
      <c r="L1110" t="s">
        <v>29</v>
      </c>
      <c r="M1110" t="s">
        <v>30</v>
      </c>
      <c r="N1110" t="s">
        <v>31</v>
      </c>
      <c r="Q1110" t="s">
        <v>2967</v>
      </c>
      <c r="R1110" t="s">
        <v>2967</v>
      </c>
    </row>
    <row r="1111" spans="1:18" x14ac:dyDescent="0.3">
      <c r="A1111" s="2" t="str">
        <f>HYPERLINK(B1111,"Oppna PDF")</f>
        <v>Oppna PDF</v>
      </c>
      <c r="B1111" t="s">
        <v>3065</v>
      </c>
      <c r="C1111" t="s">
        <v>3068</v>
      </c>
      <c r="D1111" t="s">
        <v>3055</v>
      </c>
      <c r="E1111" t="s">
        <v>3067</v>
      </c>
      <c r="H1111" t="s">
        <v>25</v>
      </c>
      <c r="I1111" t="s">
        <v>2966</v>
      </c>
      <c r="J1111" t="s">
        <v>1293</v>
      </c>
      <c r="K1111" t="s">
        <v>1294</v>
      </c>
      <c r="L1111" t="s">
        <v>29</v>
      </c>
      <c r="M1111" t="s">
        <v>30</v>
      </c>
      <c r="N1111" t="s">
        <v>31</v>
      </c>
      <c r="Q1111" t="s">
        <v>2984</v>
      </c>
      <c r="R1111" t="s">
        <v>2985</v>
      </c>
    </row>
    <row r="1112" spans="1:18" x14ac:dyDescent="0.3">
      <c r="A1112" s="2" t="str">
        <f>HYPERLINK(B1112,"Oppna PDF")</f>
        <v>Oppna PDF</v>
      </c>
      <c r="B1112" t="s">
        <v>3065</v>
      </c>
      <c r="C1112" t="s">
        <v>3069</v>
      </c>
      <c r="D1112" t="s">
        <v>3055</v>
      </c>
      <c r="E1112" t="s">
        <v>3067</v>
      </c>
      <c r="H1112" t="s">
        <v>25</v>
      </c>
      <c r="I1112" t="s">
        <v>2966</v>
      </c>
      <c r="J1112" t="s">
        <v>38</v>
      </c>
      <c r="K1112" t="s">
        <v>39</v>
      </c>
      <c r="L1112" t="s">
        <v>29</v>
      </c>
      <c r="M1112" t="s">
        <v>30</v>
      </c>
      <c r="N1112" t="s">
        <v>31</v>
      </c>
      <c r="Q1112" t="s">
        <v>2971</v>
      </c>
      <c r="R1112" t="s">
        <v>2971</v>
      </c>
    </row>
    <row r="1113" spans="1:18" x14ac:dyDescent="0.3">
      <c r="A1113" s="2" t="str">
        <f>HYPERLINK(B1113,"Oppna PDF")</f>
        <v>Oppna PDF</v>
      </c>
      <c r="B1113" t="s">
        <v>3070</v>
      </c>
      <c r="C1113" t="s">
        <v>3071</v>
      </c>
      <c r="D1113" t="s">
        <v>3055</v>
      </c>
      <c r="E1113" t="s">
        <v>3072</v>
      </c>
      <c r="H1113" t="s">
        <v>25</v>
      </c>
      <c r="I1113" t="s">
        <v>2966</v>
      </c>
      <c r="J1113" t="s">
        <v>38</v>
      </c>
      <c r="K1113" t="s">
        <v>39</v>
      </c>
      <c r="L1113" t="s">
        <v>29</v>
      </c>
      <c r="M1113" t="s">
        <v>30</v>
      </c>
      <c r="N1113" t="s">
        <v>31</v>
      </c>
      <c r="Q1113" t="s">
        <v>2990</v>
      </c>
      <c r="R1113" t="s">
        <v>2991</v>
      </c>
    </row>
    <row r="1114" spans="1:18" x14ac:dyDescent="0.3">
      <c r="A1114" s="2" t="str">
        <f>HYPERLINK(B1114,"Oppna PDF")</f>
        <v>Oppna PDF</v>
      </c>
      <c r="B1114" t="s">
        <v>3070</v>
      </c>
      <c r="C1114" t="s">
        <v>3073</v>
      </c>
      <c r="D1114" t="s">
        <v>3055</v>
      </c>
      <c r="E1114" t="s">
        <v>3072</v>
      </c>
      <c r="H1114" t="s">
        <v>25</v>
      </c>
      <c r="I1114" t="s">
        <v>2966</v>
      </c>
      <c r="J1114" t="s">
        <v>48</v>
      </c>
      <c r="K1114" t="s">
        <v>49</v>
      </c>
      <c r="L1114" t="s">
        <v>29</v>
      </c>
      <c r="M1114" t="s">
        <v>30</v>
      </c>
      <c r="N1114" t="s">
        <v>31</v>
      </c>
      <c r="Q1114" t="s">
        <v>2993</v>
      </c>
      <c r="R1114" t="s">
        <v>2993</v>
      </c>
    </row>
    <row r="1115" spans="1:18" x14ac:dyDescent="0.3">
      <c r="A1115" s="2" t="str">
        <f>HYPERLINK(B1115,"Oppna PDF")</f>
        <v>Oppna PDF</v>
      </c>
      <c r="B1115" t="s">
        <v>3070</v>
      </c>
      <c r="C1115" t="s">
        <v>3074</v>
      </c>
      <c r="D1115" t="s">
        <v>3055</v>
      </c>
      <c r="E1115" t="s">
        <v>3072</v>
      </c>
      <c r="H1115" t="s">
        <v>25</v>
      </c>
      <c r="I1115" t="s">
        <v>2966</v>
      </c>
      <c r="J1115" t="s">
        <v>87</v>
      </c>
      <c r="K1115" t="s">
        <v>88</v>
      </c>
      <c r="L1115" t="s">
        <v>29</v>
      </c>
      <c r="M1115" t="s">
        <v>30</v>
      </c>
      <c r="N1115" t="s">
        <v>31</v>
      </c>
      <c r="Q1115" t="s">
        <v>2995</v>
      </c>
      <c r="R1115" t="s">
        <v>2995</v>
      </c>
    </row>
    <row r="1116" spans="1:18" x14ac:dyDescent="0.3">
      <c r="A1116" s="2" t="str">
        <f>HYPERLINK(B1116,"Oppna PDF")</f>
        <v>Oppna PDF</v>
      </c>
      <c r="B1116" t="s">
        <v>3075</v>
      </c>
      <c r="C1116" t="s">
        <v>3076</v>
      </c>
      <c r="D1116" t="s">
        <v>3055</v>
      </c>
      <c r="E1116" t="s">
        <v>3077</v>
      </c>
      <c r="H1116" t="s">
        <v>25</v>
      </c>
      <c r="I1116" t="s">
        <v>2966</v>
      </c>
      <c r="J1116" t="s">
        <v>27</v>
      </c>
      <c r="K1116" t="s">
        <v>28</v>
      </c>
      <c r="L1116" t="s">
        <v>29</v>
      </c>
      <c r="M1116" t="s">
        <v>30</v>
      </c>
      <c r="N1116" t="s">
        <v>31</v>
      </c>
      <c r="Q1116" t="s">
        <v>2999</v>
      </c>
      <c r="R1116" t="s">
        <v>2999</v>
      </c>
    </row>
    <row r="1117" spans="1:18" x14ac:dyDescent="0.3">
      <c r="A1117" s="2" t="str">
        <f>HYPERLINK(B1117,"Oppna PDF")</f>
        <v>Oppna PDF</v>
      </c>
      <c r="B1117" t="s">
        <v>3075</v>
      </c>
      <c r="C1117" t="s">
        <v>3078</v>
      </c>
      <c r="D1117" t="s">
        <v>3055</v>
      </c>
      <c r="E1117" t="s">
        <v>3077</v>
      </c>
      <c r="H1117" t="s">
        <v>25</v>
      </c>
      <c r="I1117" t="s">
        <v>2966</v>
      </c>
      <c r="J1117" t="s">
        <v>48</v>
      </c>
      <c r="K1117" t="s">
        <v>49</v>
      </c>
      <c r="L1117" t="s">
        <v>29</v>
      </c>
      <c r="M1117" t="s">
        <v>30</v>
      </c>
      <c r="N1117" t="s">
        <v>31</v>
      </c>
      <c r="Q1117" t="s">
        <v>3001</v>
      </c>
      <c r="R1117" t="s">
        <v>3001</v>
      </c>
    </row>
    <row r="1118" spans="1:18" x14ac:dyDescent="0.3">
      <c r="A1118" s="2" t="str">
        <f>HYPERLINK(B1118,"Oppna PDF")</f>
        <v>Oppna PDF</v>
      </c>
      <c r="B1118" t="s">
        <v>3075</v>
      </c>
      <c r="C1118" t="s">
        <v>3079</v>
      </c>
      <c r="D1118" t="s">
        <v>3055</v>
      </c>
      <c r="E1118" t="s">
        <v>3077</v>
      </c>
      <c r="H1118" t="s">
        <v>25</v>
      </c>
      <c r="I1118" t="s">
        <v>2966</v>
      </c>
      <c r="J1118" t="s">
        <v>34</v>
      </c>
      <c r="K1118" t="s">
        <v>35</v>
      </c>
      <c r="L1118" t="s">
        <v>29</v>
      </c>
      <c r="M1118" t="s">
        <v>30</v>
      </c>
      <c r="N1118" t="s">
        <v>31</v>
      </c>
      <c r="Q1118" t="s">
        <v>3003</v>
      </c>
      <c r="R1118" t="s">
        <v>3003</v>
      </c>
    </row>
    <row r="1119" spans="1:18" x14ac:dyDescent="0.3">
      <c r="A1119" s="2" t="str">
        <f>HYPERLINK(B1119,"Oppna PDF")</f>
        <v>Oppna PDF</v>
      </c>
      <c r="B1119" t="s">
        <v>3080</v>
      </c>
      <c r="C1119" t="s">
        <v>3081</v>
      </c>
      <c r="D1119" t="s">
        <v>3055</v>
      </c>
      <c r="E1119" t="s">
        <v>3082</v>
      </c>
      <c r="H1119" t="s">
        <v>25</v>
      </c>
      <c r="I1119" t="s">
        <v>2966</v>
      </c>
      <c r="J1119" t="s">
        <v>48</v>
      </c>
      <c r="K1119" t="s">
        <v>49</v>
      </c>
      <c r="L1119" t="s">
        <v>29</v>
      </c>
      <c r="M1119" t="s">
        <v>30</v>
      </c>
      <c r="N1119" t="s">
        <v>31</v>
      </c>
      <c r="Q1119" t="s">
        <v>3007</v>
      </c>
      <c r="R1119" t="s">
        <v>3007</v>
      </c>
    </row>
    <row r="1120" spans="1:18" x14ac:dyDescent="0.3">
      <c r="A1120" s="2" t="str">
        <f>HYPERLINK(B1120,"Oppna PDF")</f>
        <v>Oppna PDF</v>
      </c>
      <c r="B1120" t="s">
        <v>3083</v>
      </c>
      <c r="C1120" t="s">
        <v>3084</v>
      </c>
      <c r="D1120" t="s">
        <v>3055</v>
      </c>
      <c r="E1120" t="s">
        <v>3085</v>
      </c>
      <c r="H1120" t="s">
        <v>25</v>
      </c>
      <c r="I1120" t="s">
        <v>2966</v>
      </c>
      <c r="J1120" t="s">
        <v>34</v>
      </c>
      <c r="K1120" t="s">
        <v>35</v>
      </c>
      <c r="L1120" t="s">
        <v>29</v>
      </c>
      <c r="M1120" t="s">
        <v>30</v>
      </c>
      <c r="N1120" t="s">
        <v>31</v>
      </c>
      <c r="Q1120" t="s">
        <v>3011</v>
      </c>
      <c r="R1120" t="s">
        <v>3011</v>
      </c>
    </row>
    <row r="1121" spans="1:18" x14ac:dyDescent="0.3">
      <c r="A1121" s="2" t="str">
        <f>HYPERLINK(B1121,"Oppna PDF")</f>
        <v>Oppna PDF</v>
      </c>
      <c r="B1121" t="s">
        <v>3083</v>
      </c>
      <c r="C1121" t="s">
        <v>3086</v>
      </c>
      <c r="D1121" t="s">
        <v>3055</v>
      </c>
      <c r="E1121" t="s">
        <v>3085</v>
      </c>
      <c r="H1121" t="s">
        <v>25</v>
      </c>
      <c r="I1121" t="s">
        <v>2966</v>
      </c>
      <c r="J1121" t="s">
        <v>34</v>
      </c>
      <c r="K1121" t="s">
        <v>35</v>
      </c>
      <c r="L1121" t="s">
        <v>29</v>
      </c>
      <c r="M1121" t="s">
        <v>30</v>
      </c>
      <c r="N1121" t="s">
        <v>31</v>
      </c>
      <c r="Q1121" t="s">
        <v>3013</v>
      </c>
      <c r="R1121" t="s">
        <v>3014</v>
      </c>
    </row>
    <row r="1122" spans="1:18" x14ac:dyDescent="0.3">
      <c r="A1122" s="2" t="str">
        <f>HYPERLINK(B1122,"Oppna PDF")</f>
        <v>Oppna PDF</v>
      </c>
      <c r="B1122" t="s">
        <v>3087</v>
      </c>
      <c r="C1122" t="s">
        <v>3088</v>
      </c>
      <c r="D1122" t="s">
        <v>3055</v>
      </c>
      <c r="E1122" t="s">
        <v>3089</v>
      </c>
      <c r="H1122" t="s">
        <v>25</v>
      </c>
      <c r="I1122" t="s">
        <v>2966</v>
      </c>
      <c r="J1122" t="s">
        <v>48</v>
      </c>
      <c r="K1122" t="s">
        <v>49</v>
      </c>
      <c r="L1122" t="s">
        <v>29</v>
      </c>
      <c r="M1122" t="s">
        <v>30</v>
      </c>
      <c r="N1122" t="s">
        <v>31</v>
      </c>
      <c r="Q1122" t="s">
        <v>3001</v>
      </c>
      <c r="R1122" t="s">
        <v>3001</v>
      </c>
    </row>
    <row r="1123" spans="1:18" x14ac:dyDescent="0.3">
      <c r="A1123" s="2" t="str">
        <f>HYPERLINK(B1123,"Oppna PDF")</f>
        <v>Oppna PDF</v>
      </c>
      <c r="B1123" t="s">
        <v>3087</v>
      </c>
      <c r="C1123" t="s">
        <v>3090</v>
      </c>
      <c r="D1123" t="s">
        <v>3055</v>
      </c>
      <c r="E1123" t="s">
        <v>3089</v>
      </c>
      <c r="H1123" t="s">
        <v>25</v>
      </c>
      <c r="I1123" t="s">
        <v>2966</v>
      </c>
      <c r="J1123" t="s">
        <v>38</v>
      </c>
      <c r="K1123" t="s">
        <v>39</v>
      </c>
      <c r="L1123" t="s">
        <v>29</v>
      </c>
      <c r="M1123" t="s">
        <v>30</v>
      </c>
      <c r="N1123" t="s">
        <v>31</v>
      </c>
      <c r="Q1123" t="s">
        <v>3019</v>
      </c>
      <c r="R1123" t="s">
        <v>3019</v>
      </c>
    </row>
    <row r="1124" spans="1:18" x14ac:dyDescent="0.3">
      <c r="A1124" s="2" t="str">
        <f>HYPERLINK(B1124,"Oppna PDF")</f>
        <v>Oppna PDF</v>
      </c>
      <c r="B1124" t="s">
        <v>3087</v>
      </c>
      <c r="C1124" t="s">
        <v>3091</v>
      </c>
      <c r="D1124" t="s">
        <v>3055</v>
      </c>
      <c r="E1124" t="s">
        <v>3089</v>
      </c>
      <c r="H1124" t="s">
        <v>25</v>
      </c>
      <c r="I1124" t="s">
        <v>2966</v>
      </c>
      <c r="J1124" t="s">
        <v>87</v>
      </c>
      <c r="K1124" t="s">
        <v>88</v>
      </c>
      <c r="L1124" t="s">
        <v>29</v>
      </c>
      <c r="M1124" t="s">
        <v>30</v>
      </c>
      <c r="N1124" t="s">
        <v>31</v>
      </c>
      <c r="Q1124" t="s">
        <v>3021</v>
      </c>
      <c r="R1124" t="s">
        <v>3021</v>
      </c>
    </row>
    <row r="1125" spans="1:18" x14ac:dyDescent="0.3">
      <c r="A1125" s="2" t="str">
        <f>HYPERLINK(B1125,"Oppna PDF")</f>
        <v>Oppna PDF</v>
      </c>
      <c r="B1125" t="s">
        <v>3092</v>
      </c>
      <c r="C1125" t="s">
        <v>3093</v>
      </c>
      <c r="D1125" t="s">
        <v>3055</v>
      </c>
      <c r="E1125" t="s">
        <v>3094</v>
      </c>
      <c r="H1125" t="s">
        <v>25</v>
      </c>
      <c r="I1125" t="s">
        <v>2966</v>
      </c>
      <c r="J1125" t="s">
        <v>27</v>
      </c>
      <c r="K1125" t="s">
        <v>28</v>
      </c>
      <c r="L1125" t="s">
        <v>29</v>
      </c>
      <c r="M1125" t="s">
        <v>30</v>
      </c>
      <c r="N1125" t="s">
        <v>31</v>
      </c>
      <c r="Q1125" t="s">
        <v>3025</v>
      </c>
      <c r="R1125" t="s">
        <v>3025</v>
      </c>
    </row>
    <row r="1126" spans="1:18" x14ac:dyDescent="0.3">
      <c r="A1126" s="2" t="str">
        <f>HYPERLINK(B1126,"Oppna PDF")</f>
        <v>Oppna PDF</v>
      </c>
      <c r="B1126" t="s">
        <v>3092</v>
      </c>
      <c r="C1126" t="s">
        <v>3095</v>
      </c>
      <c r="D1126" t="s">
        <v>3055</v>
      </c>
      <c r="E1126" t="s">
        <v>3094</v>
      </c>
      <c r="H1126" t="s">
        <v>25</v>
      </c>
      <c r="I1126" t="s">
        <v>2966</v>
      </c>
      <c r="J1126" t="s">
        <v>91</v>
      </c>
      <c r="K1126" t="s">
        <v>92</v>
      </c>
      <c r="L1126" t="s">
        <v>29</v>
      </c>
      <c r="M1126" t="s">
        <v>30</v>
      </c>
      <c r="N1126" t="s">
        <v>31</v>
      </c>
      <c r="Q1126" t="s">
        <v>3027</v>
      </c>
      <c r="R1126" t="s">
        <v>3027</v>
      </c>
    </row>
    <row r="1127" spans="1:18" x14ac:dyDescent="0.3">
      <c r="A1127" s="2" t="str">
        <f>HYPERLINK(B1127,"Oppna PDF")</f>
        <v>Oppna PDF</v>
      </c>
      <c r="B1127" t="s">
        <v>3092</v>
      </c>
      <c r="C1127" t="s">
        <v>3096</v>
      </c>
      <c r="D1127" t="s">
        <v>3055</v>
      </c>
      <c r="E1127" t="s">
        <v>3094</v>
      </c>
      <c r="H1127" t="s">
        <v>25</v>
      </c>
      <c r="I1127" t="s">
        <v>2966</v>
      </c>
      <c r="J1127" t="s">
        <v>34</v>
      </c>
      <c r="K1127" t="s">
        <v>35</v>
      </c>
      <c r="L1127" t="s">
        <v>29</v>
      </c>
      <c r="M1127" t="s">
        <v>30</v>
      </c>
      <c r="N1127" t="s">
        <v>31</v>
      </c>
      <c r="Q1127" t="s">
        <v>3029</v>
      </c>
      <c r="R1127" t="s">
        <v>3029</v>
      </c>
    </row>
    <row r="1128" spans="1:18" x14ac:dyDescent="0.3">
      <c r="A1128" s="2" t="str">
        <f>HYPERLINK(B1128,"Oppna PDF")</f>
        <v>Oppna PDF</v>
      </c>
      <c r="B1128" t="s">
        <v>3097</v>
      </c>
      <c r="C1128" t="s">
        <v>3098</v>
      </c>
      <c r="D1128" t="s">
        <v>3055</v>
      </c>
      <c r="E1128" t="s">
        <v>3099</v>
      </c>
      <c r="H1128" t="s">
        <v>25</v>
      </c>
      <c r="I1128" t="s">
        <v>2966</v>
      </c>
      <c r="J1128" t="s">
        <v>38</v>
      </c>
      <c r="K1128" t="s">
        <v>39</v>
      </c>
      <c r="L1128" t="s">
        <v>29</v>
      </c>
      <c r="M1128" t="s">
        <v>30</v>
      </c>
      <c r="N1128" t="s">
        <v>31</v>
      </c>
      <c r="Q1128" t="s">
        <v>2967</v>
      </c>
      <c r="R1128" t="s">
        <v>2967</v>
      </c>
    </row>
    <row r="1129" spans="1:18" x14ac:dyDescent="0.3">
      <c r="A1129" s="2" t="str">
        <f>HYPERLINK(B1129,"Oppna PDF")</f>
        <v>Oppna PDF</v>
      </c>
      <c r="B1129" t="s">
        <v>3097</v>
      </c>
      <c r="C1129" t="s">
        <v>3100</v>
      </c>
      <c r="D1129" t="s">
        <v>3055</v>
      </c>
      <c r="E1129" t="s">
        <v>3099</v>
      </c>
      <c r="H1129" t="s">
        <v>25</v>
      </c>
      <c r="I1129" t="s">
        <v>2966</v>
      </c>
      <c r="J1129" t="s">
        <v>87</v>
      </c>
      <c r="K1129" t="s">
        <v>88</v>
      </c>
      <c r="L1129" t="s">
        <v>29</v>
      </c>
      <c r="M1129" t="s">
        <v>30</v>
      </c>
      <c r="N1129" t="s">
        <v>31</v>
      </c>
      <c r="Q1129" t="s">
        <v>2969</v>
      </c>
      <c r="R1129" t="s">
        <v>2969</v>
      </c>
    </row>
    <row r="1130" spans="1:18" x14ac:dyDescent="0.3">
      <c r="A1130" s="2" t="str">
        <f>HYPERLINK(B1130,"Oppna PDF")</f>
        <v>Oppna PDF</v>
      </c>
      <c r="B1130" t="s">
        <v>3097</v>
      </c>
      <c r="C1130" t="s">
        <v>3101</v>
      </c>
      <c r="D1130" t="s">
        <v>3055</v>
      </c>
      <c r="E1130" t="s">
        <v>3099</v>
      </c>
      <c r="H1130" t="s">
        <v>25</v>
      </c>
      <c r="I1130" t="s">
        <v>2966</v>
      </c>
      <c r="J1130" t="s">
        <v>38</v>
      </c>
      <c r="K1130" t="s">
        <v>39</v>
      </c>
      <c r="L1130" t="s">
        <v>29</v>
      </c>
      <c r="M1130" t="s">
        <v>30</v>
      </c>
      <c r="N1130" t="s">
        <v>31</v>
      </c>
      <c r="Q1130" t="s">
        <v>2971</v>
      </c>
      <c r="R1130" t="s">
        <v>2971</v>
      </c>
    </row>
    <row r="1131" spans="1:18" x14ac:dyDescent="0.3">
      <c r="A1131" s="2" t="str">
        <f>HYPERLINK(B1131,"Oppna PDF")</f>
        <v>Oppna PDF</v>
      </c>
      <c r="B1131" t="s">
        <v>3102</v>
      </c>
      <c r="C1131" t="s">
        <v>3103</v>
      </c>
      <c r="D1131" t="s">
        <v>3055</v>
      </c>
      <c r="E1131" t="s">
        <v>3104</v>
      </c>
      <c r="H1131" t="s">
        <v>25</v>
      </c>
      <c r="I1131" t="s">
        <v>2966</v>
      </c>
      <c r="J1131" t="s">
        <v>34</v>
      </c>
      <c r="K1131" t="s">
        <v>35</v>
      </c>
      <c r="L1131" t="s">
        <v>29</v>
      </c>
      <c r="M1131" t="s">
        <v>30</v>
      </c>
      <c r="N1131" t="s">
        <v>31</v>
      </c>
      <c r="Q1131" t="s">
        <v>3038</v>
      </c>
      <c r="R1131" t="s">
        <v>3039</v>
      </c>
    </row>
    <row r="1132" spans="1:18" x14ac:dyDescent="0.3">
      <c r="A1132" s="2" t="str">
        <f>HYPERLINK(B1132,"Oppna PDF")</f>
        <v>Oppna PDF</v>
      </c>
      <c r="B1132" t="s">
        <v>3102</v>
      </c>
      <c r="C1132" t="s">
        <v>3105</v>
      </c>
      <c r="D1132" t="s">
        <v>3055</v>
      </c>
      <c r="E1132" t="s">
        <v>3104</v>
      </c>
      <c r="H1132" t="s">
        <v>25</v>
      </c>
      <c r="I1132" t="s">
        <v>2966</v>
      </c>
      <c r="J1132" t="s">
        <v>38</v>
      </c>
      <c r="K1132" t="s">
        <v>39</v>
      </c>
      <c r="L1132" t="s">
        <v>29</v>
      </c>
      <c r="M1132" t="s">
        <v>30</v>
      </c>
      <c r="N1132" t="s">
        <v>31</v>
      </c>
      <c r="Q1132" t="s">
        <v>3041</v>
      </c>
      <c r="R1132" t="s">
        <v>3041</v>
      </c>
    </row>
    <row r="1133" spans="1:18" x14ac:dyDescent="0.3">
      <c r="A1133" s="2" t="str">
        <f>HYPERLINK(B1133,"Oppna PDF")</f>
        <v>Oppna PDF</v>
      </c>
      <c r="B1133" t="s">
        <v>3102</v>
      </c>
      <c r="C1133" t="s">
        <v>3106</v>
      </c>
      <c r="D1133" t="s">
        <v>3055</v>
      </c>
      <c r="E1133" t="s">
        <v>3104</v>
      </c>
      <c r="H1133" t="s">
        <v>25</v>
      </c>
      <c r="I1133" t="s">
        <v>2966</v>
      </c>
      <c r="J1133" t="s">
        <v>38</v>
      </c>
      <c r="K1133" t="s">
        <v>39</v>
      </c>
      <c r="L1133" t="s">
        <v>29</v>
      </c>
      <c r="M1133" t="s">
        <v>30</v>
      </c>
      <c r="N1133" t="s">
        <v>31</v>
      </c>
      <c r="Q1133" t="s">
        <v>3043</v>
      </c>
      <c r="R1133" t="s">
        <v>3043</v>
      </c>
    </row>
    <row r="1134" spans="1:18" x14ac:dyDescent="0.3">
      <c r="A1134" s="2" t="str">
        <f>HYPERLINK(B1134,"Oppna PDF")</f>
        <v>Oppna PDF</v>
      </c>
      <c r="B1134" t="s">
        <v>3107</v>
      </c>
      <c r="C1134" t="s">
        <v>3108</v>
      </c>
      <c r="D1134" t="s">
        <v>3055</v>
      </c>
      <c r="E1134" t="s">
        <v>3109</v>
      </c>
      <c r="H1134" t="s">
        <v>25</v>
      </c>
      <c r="I1134" t="s">
        <v>2966</v>
      </c>
      <c r="J1134" t="s">
        <v>34</v>
      </c>
      <c r="K1134" t="s">
        <v>35</v>
      </c>
      <c r="L1134" t="s">
        <v>29</v>
      </c>
      <c r="M1134" t="s">
        <v>30</v>
      </c>
      <c r="N1134" t="s">
        <v>31</v>
      </c>
      <c r="Q1134" t="s">
        <v>3047</v>
      </c>
      <c r="R1134" t="s">
        <v>3048</v>
      </c>
    </row>
    <row r="1135" spans="1:18" x14ac:dyDescent="0.3">
      <c r="A1135" s="2" t="str">
        <f>HYPERLINK(B1135,"Oppna PDF")</f>
        <v>Oppna PDF</v>
      </c>
      <c r="B1135" t="s">
        <v>3107</v>
      </c>
      <c r="C1135" t="s">
        <v>3110</v>
      </c>
      <c r="D1135" t="s">
        <v>3055</v>
      </c>
      <c r="E1135" t="s">
        <v>3109</v>
      </c>
      <c r="H1135" t="s">
        <v>25</v>
      </c>
      <c r="I1135" t="s">
        <v>2966</v>
      </c>
      <c r="J1135" t="s">
        <v>87</v>
      </c>
      <c r="K1135" t="s">
        <v>88</v>
      </c>
      <c r="L1135" t="s">
        <v>29</v>
      </c>
      <c r="M1135" t="s">
        <v>30</v>
      </c>
      <c r="N1135" t="s">
        <v>31</v>
      </c>
      <c r="Q1135" t="s">
        <v>3050</v>
      </c>
      <c r="R1135" t="s">
        <v>3050</v>
      </c>
    </row>
    <row r="1136" spans="1:18" x14ac:dyDescent="0.3">
      <c r="A1136" s="2" t="str">
        <f>HYPERLINK(B1136,"Oppna PDF")</f>
        <v>Oppna PDF</v>
      </c>
      <c r="B1136" t="s">
        <v>3107</v>
      </c>
      <c r="C1136" t="s">
        <v>3111</v>
      </c>
      <c r="D1136" t="s">
        <v>3055</v>
      </c>
      <c r="E1136" t="s">
        <v>3109</v>
      </c>
      <c r="H1136" t="s">
        <v>25</v>
      </c>
      <c r="I1136" t="s">
        <v>2966</v>
      </c>
      <c r="J1136" t="s">
        <v>87</v>
      </c>
      <c r="K1136" t="s">
        <v>88</v>
      </c>
      <c r="L1136" t="s">
        <v>29</v>
      </c>
      <c r="M1136" t="s">
        <v>30</v>
      </c>
      <c r="N1136" t="s">
        <v>31</v>
      </c>
      <c r="Q1136" t="s">
        <v>3052</v>
      </c>
      <c r="R1136" t="s">
        <v>3052</v>
      </c>
    </row>
    <row r="1137" spans="1:18" x14ac:dyDescent="0.3">
      <c r="A1137" s="2" t="str">
        <f>HYPERLINK(B1137,"Oppna PDF")</f>
        <v>Oppna PDF</v>
      </c>
      <c r="B1137" t="s">
        <v>3112</v>
      </c>
      <c r="C1137" t="s">
        <v>3113</v>
      </c>
      <c r="D1137" t="s">
        <v>3114</v>
      </c>
      <c r="E1137" t="s">
        <v>3115</v>
      </c>
      <c r="H1137" t="s">
        <v>25</v>
      </c>
      <c r="I1137" t="s">
        <v>3116</v>
      </c>
      <c r="J1137" t="s">
        <v>38</v>
      </c>
      <c r="K1137" t="s">
        <v>39</v>
      </c>
      <c r="L1137" t="s">
        <v>29</v>
      </c>
      <c r="M1137" t="s">
        <v>30</v>
      </c>
      <c r="N1137" t="s">
        <v>31</v>
      </c>
      <c r="Q1137" t="s">
        <v>3117</v>
      </c>
      <c r="R1137" t="s">
        <v>3117</v>
      </c>
    </row>
    <row r="1138" spans="1:18" x14ac:dyDescent="0.3">
      <c r="A1138" s="2" t="str">
        <f>HYPERLINK(B1138,"Oppna PDF")</f>
        <v>Oppna PDF</v>
      </c>
      <c r="B1138" t="s">
        <v>3112</v>
      </c>
      <c r="C1138" t="s">
        <v>3118</v>
      </c>
      <c r="D1138" t="s">
        <v>3114</v>
      </c>
      <c r="E1138" t="s">
        <v>3115</v>
      </c>
      <c r="H1138" t="s">
        <v>25</v>
      </c>
      <c r="I1138" t="s">
        <v>3116</v>
      </c>
      <c r="J1138" t="s">
        <v>38</v>
      </c>
      <c r="K1138" t="s">
        <v>39</v>
      </c>
      <c r="L1138" t="s">
        <v>29</v>
      </c>
      <c r="M1138" t="s">
        <v>30</v>
      </c>
      <c r="N1138" t="s">
        <v>31</v>
      </c>
      <c r="Q1138" t="s">
        <v>3119</v>
      </c>
      <c r="R1138" t="s">
        <v>3119</v>
      </c>
    </row>
    <row r="1139" spans="1:18" x14ac:dyDescent="0.3">
      <c r="A1139" s="2" t="str">
        <f>HYPERLINK(B1139,"Oppna PDF")</f>
        <v>Oppna PDF</v>
      </c>
      <c r="B1139" t="s">
        <v>3112</v>
      </c>
      <c r="C1139" t="s">
        <v>3120</v>
      </c>
      <c r="D1139" t="s">
        <v>3114</v>
      </c>
      <c r="E1139" t="s">
        <v>3115</v>
      </c>
      <c r="H1139" t="s">
        <v>25</v>
      </c>
      <c r="I1139" t="s">
        <v>3116</v>
      </c>
      <c r="J1139" t="s">
        <v>87</v>
      </c>
      <c r="K1139" t="s">
        <v>88</v>
      </c>
      <c r="L1139" t="s">
        <v>29</v>
      </c>
      <c r="M1139" t="s">
        <v>30</v>
      </c>
      <c r="N1139" t="s">
        <v>31</v>
      </c>
      <c r="Q1139" t="s">
        <v>3121</v>
      </c>
      <c r="R1139" t="s">
        <v>3122</v>
      </c>
    </row>
    <row r="1140" spans="1:18" x14ac:dyDescent="0.3">
      <c r="A1140" s="2" t="str">
        <f>HYPERLINK(B1140,"Oppna PDF")</f>
        <v>Oppna PDF</v>
      </c>
      <c r="B1140" t="s">
        <v>3123</v>
      </c>
      <c r="C1140" t="s">
        <v>3124</v>
      </c>
      <c r="D1140" t="s">
        <v>3114</v>
      </c>
      <c r="E1140" t="s">
        <v>3125</v>
      </c>
      <c r="H1140" t="s">
        <v>25</v>
      </c>
      <c r="I1140" t="s">
        <v>3116</v>
      </c>
      <c r="J1140" t="s">
        <v>38</v>
      </c>
      <c r="K1140" t="s">
        <v>39</v>
      </c>
      <c r="L1140" t="s">
        <v>142</v>
      </c>
      <c r="M1140" t="s">
        <v>30</v>
      </c>
      <c r="N1140" t="s">
        <v>31</v>
      </c>
      <c r="Q1140" t="s">
        <v>3126</v>
      </c>
      <c r="R1140" t="s">
        <v>3127</v>
      </c>
    </row>
    <row r="1141" spans="1:18" x14ac:dyDescent="0.3">
      <c r="A1141" s="2" t="str">
        <f>HYPERLINK(B1141,"Oppna PDF")</f>
        <v>Oppna PDF</v>
      </c>
      <c r="B1141" t="s">
        <v>3123</v>
      </c>
      <c r="C1141" t="s">
        <v>3128</v>
      </c>
      <c r="D1141" t="s">
        <v>3114</v>
      </c>
      <c r="E1141" t="s">
        <v>3125</v>
      </c>
      <c r="H1141" t="s">
        <v>25</v>
      </c>
      <c r="I1141" t="s">
        <v>3116</v>
      </c>
      <c r="J1141" t="s">
        <v>38</v>
      </c>
      <c r="K1141" t="s">
        <v>39</v>
      </c>
      <c r="L1141" t="s">
        <v>142</v>
      </c>
      <c r="M1141" t="s">
        <v>30</v>
      </c>
      <c r="N1141" t="s">
        <v>31</v>
      </c>
      <c r="Q1141" t="s">
        <v>3129</v>
      </c>
      <c r="R1141" t="s">
        <v>3130</v>
      </c>
    </row>
    <row r="1142" spans="1:18" x14ac:dyDescent="0.3">
      <c r="A1142" s="2" t="str">
        <f>HYPERLINK(B1142,"Oppna PDF")</f>
        <v>Oppna PDF</v>
      </c>
      <c r="B1142" t="s">
        <v>3131</v>
      </c>
      <c r="C1142" t="s">
        <v>3132</v>
      </c>
      <c r="D1142" t="s">
        <v>3114</v>
      </c>
      <c r="E1142" t="s">
        <v>3133</v>
      </c>
      <c r="H1142" t="s">
        <v>25</v>
      </c>
      <c r="I1142" t="s">
        <v>3116</v>
      </c>
      <c r="J1142" t="s">
        <v>34</v>
      </c>
      <c r="K1142" t="s">
        <v>35</v>
      </c>
      <c r="L1142" t="s">
        <v>300</v>
      </c>
      <c r="M1142" t="s">
        <v>30</v>
      </c>
      <c r="N1142" t="s">
        <v>31</v>
      </c>
      <c r="Q1142" t="s">
        <v>3134</v>
      </c>
      <c r="R1142" t="s">
        <v>3134</v>
      </c>
    </row>
    <row r="1143" spans="1:18" x14ac:dyDescent="0.3">
      <c r="A1143" s="2" t="str">
        <f>HYPERLINK(B1143,"Oppna PDF")</f>
        <v>Oppna PDF</v>
      </c>
      <c r="B1143" t="s">
        <v>3135</v>
      </c>
      <c r="C1143" t="s">
        <v>3136</v>
      </c>
      <c r="D1143" t="s">
        <v>3114</v>
      </c>
      <c r="E1143" t="s">
        <v>3137</v>
      </c>
      <c r="H1143" t="s">
        <v>25</v>
      </c>
      <c r="I1143" t="s">
        <v>3116</v>
      </c>
      <c r="J1143" t="s">
        <v>27</v>
      </c>
      <c r="K1143" t="s">
        <v>28</v>
      </c>
      <c r="L1143" t="s">
        <v>29</v>
      </c>
      <c r="M1143" t="s">
        <v>30</v>
      </c>
      <c r="N1143" t="s">
        <v>31</v>
      </c>
      <c r="Q1143" t="s">
        <v>3138</v>
      </c>
      <c r="R1143" t="s">
        <v>3138</v>
      </c>
    </row>
    <row r="1144" spans="1:18" x14ac:dyDescent="0.3">
      <c r="A1144" s="2" t="str">
        <f>HYPERLINK(B1144,"Oppna PDF")</f>
        <v>Oppna PDF</v>
      </c>
      <c r="B1144" t="s">
        <v>3135</v>
      </c>
      <c r="C1144" t="s">
        <v>3139</v>
      </c>
      <c r="D1144" t="s">
        <v>3114</v>
      </c>
      <c r="E1144" t="s">
        <v>3137</v>
      </c>
      <c r="H1144" t="s">
        <v>25</v>
      </c>
      <c r="I1144" t="s">
        <v>3116</v>
      </c>
      <c r="J1144" t="s">
        <v>91</v>
      </c>
      <c r="K1144" t="s">
        <v>92</v>
      </c>
      <c r="L1144" t="s">
        <v>29</v>
      </c>
      <c r="M1144" t="s">
        <v>30</v>
      </c>
      <c r="N1144" t="s">
        <v>31</v>
      </c>
      <c r="Q1144" t="s">
        <v>3140</v>
      </c>
      <c r="R1144" t="s">
        <v>3140</v>
      </c>
    </row>
    <row r="1145" spans="1:18" x14ac:dyDescent="0.3">
      <c r="A1145" s="2" t="str">
        <f>HYPERLINK(B1145,"Oppna PDF")</f>
        <v>Oppna PDF</v>
      </c>
      <c r="B1145" t="s">
        <v>3141</v>
      </c>
      <c r="C1145" t="s">
        <v>3142</v>
      </c>
      <c r="D1145" t="s">
        <v>3114</v>
      </c>
      <c r="E1145" t="s">
        <v>3143</v>
      </c>
      <c r="H1145" t="s">
        <v>25</v>
      </c>
      <c r="I1145" t="s">
        <v>3116</v>
      </c>
      <c r="J1145" t="s">
        <v>91</v>
      </c>
      <c r="K1145" t="s">
        <v>92</v>
      </c>
      <c r="L1145" t="s">
        <v>29</v>
      </c>
      <c r="M1145" t="s">
        <v>30</v>
      </c>
      <c r="N1145" t="s">
        <v>31</v>
      </c>
      <c r="Q1145" t="s">
        <v>3144</v>
      </c>
      <c r="R1145" t="s">
        <v>3144</v>
      </c>
    </row>
    <row r="1146" spans="1:18" x14ac:dyDescent="0.3">
      <c r="A1146" s="2" t="str">
        <f>HYPERLINK(B1146,"Oppna PDF")</f>
        <v>Oppna PDF</v>
      </c>
      <c r="B1146" t="s">
        <v>3145</v>
      </c>
      <c r="C1146" t="s">
        <v>3146</v>
      </c>
      <c r="D1146" t="s">
        <v>3114</v>
      </c>
      <c r="E1146" t="s">
        <v>3147</v>
      </c>
      <c r="H1146" t="s">
        <v>25</v>
      </c>
      <c r="I1146" t="s">
        <v>3116</v>
      </c>
      <c r="J1146" t="s">
        <v>38</v>
      </c>
      <c r="K1146" t="s">
        <v>39</v>
      </c>
      <c r="L1146" t="s">
        <v>142</v>
      </c>
      <c r="M1146" t="s">
        <v>30</v>
      </c>
      <c r="N1146" t="s">
        <v>31</v>
      </c>
      <c r="Q1146" t="s">
        <v>3148</v>
      </c>
      <c r="R1146" t="s">
        <v>3149</v>
      </c>
    </row>
    <row r="1147" spans="1:18" x14ac:dyDescent="0.3">
      <c r="A1147" s="2" t="str">
        <f>HYPERLINK(B1147,"Oppna PDF")</f>
        <v>Oppna PDF</v>
      </c>
      <c r="B1147" t="s">
        <v>3150</v>
      </c>
      <c r="C1147" t="s">
        <v>3151</v>
      </c>
      <c r="D1147" t="s">
        <v>3152</v>
      </c>
      <c r="E1147" t="s">
        <v>3153</v>
      </c>
      <c r="H1147" t="s">
        <v>25</v>
      </c>
      <c r="I1147" t="s">
        <v>3116</v>
      </c>
      <c r="J1147" t="s">
        <v>38</v>
      </c>
      <c r="K1147" t="s">
        <v>39</v>
      </c>
      <c r="L1147" t="s">
        <v>29</v>
      </c>
      <c r="M1147" t="s">
        <v>30</v>
      </c>
      <c r="N1147" t="s">
        <v>31</v>
      </c>
      <c r="Q1147" t="s">
        <v>3117</v>
      </c>
      <c r="R1147" t="s">
        <v>3117</v>
      </c>
    </row>
    <row r="1148" spans="1:18" x14ac:dyDescent="0.3">
      <c r="A1148" s="2" t="str">
        <f>HYPERLINK(B1148,"Oppna PDF")</f>
        <v>Oppna PDF</v>
      </c>
      <c r="B1148" t="s">
        <v>3150</v>
      </c>
      <c r="C1148" t="s">
        <v>3154</v>
      </c>
      <c r="D1148" t="s">
        <v>3152</v>
      </c>
      <c r="E1148" t="s">
        <v>3153</v>
      </c>
      <c r="H1148" t="s">
        <v>25</v>
      </c>
      <c r="I1148" t="s">
        <v>3116</v>
      </c>
      <c r="J1148" t="s">
        <v>38</v>
      </c>
      <c r="K1148" t="s">
        <v>39</v>
      </c>
      <c r="L1148" t="s">
        <v>29</v>
      </c>
      <c r="M1148" t="s">
        <v>30</v>
      </c>
      <c r="N1148" t="s">
        <v>31</v>
      </c>
      <c r="Q1148" t="s">
        <v>3119</v>
      </c>
      <c r="R1148" t="s">
        <v>3119</v>
      </c>
    </row>
    <row r="1149" spans="1:18" x14ac:dyDescent="0.3">
      <c r="A1149" s="2" t="str">
        <f>HYPERLINK(B1149,"Oppna PDF")</f>
        <v>Oppna PDF</v>
      </c>
      <c r="B1149" t="s">
        <v>3150</v>
      </c>
      <c r="C1149" t="s">
        <v>3155</v>
      </c>
      <c r="D1149" t="s">
        <v>3152</v>
      </c>
      <c r="E1149" t="s">
        <v>3153</v>
      </c>
      <c r="H1149" t="s">
        <v>25</v>
      </c>
      <c r="I1149" t="s">
        <v>3116</v>
      </c>
      <c r="J1149" t="s">
        <v>87</v>
      </c>
      <c r="K1149" t="s">
        <v>88</v>
      </c>
      <c r="L1149" t="s">
        <v>29</v>
      </c>
      <c r="M1149" t="s">
        <v>30</v>
      </c>
      <c r="N1149" t="s">
        <v>31</v>
      </c>
      <c r="Q1149" t="s">
        <v>3121</v>
      </c>
      <c r="R1149" t="s">
        <v>3122</v>
      </c>
    </row>
    <row r="1150" spans="1:18" x14ac:dyDescent="0.3">
      <c r="A1150" s="2" t="str">
        <f>HYPERLINK(B1150,"Oppna PDF")</f>
        <v>Oppna PDF</v>
      </c>
      <c r="B1150" t="s">
        <v>3156</v>
      </c>
      <c r="C1150" t="s">
        <v>3157</v>
      </c>
      <c r="D1150" t="s">
        <v>3152</v>
      </c>
      <c r="E1150" t="s">
        <v>3158</v>
      </c>
      <c r="H1150" t="s">
        <v>25</v>
      </c>
      <c r="I1150" t="s">
        <v>3116</v>
      </c>
      <c r="J1150" t="s">
        <v>38</v>
      </c>
      <c r="K1150" t="s">
        <v>39</v>
      </c>
      <c r="L1150" t="s">
        <v>142</v>
      </c>
      <c r="M1150" t="s">
        <v>30</v>
      </c>
      <c r="N1150" t="s">
        <v>31</v>
      </c>
      <c r="Q1150" t="s">
        <v>3126</v>
      </c>
      <c r="R1150" t="s">
        <v>3127</v>
      </c>
    </row>
    <row r="1151" spans="1:18" x14ac:dyDescent="0.3">
      <c r="A1151" s="2" t="str">
        <f>HYPERLINK(B1151,"Oppna PDF")</f>
        <v>Oppna PDF</v>
      </c>
      <c r="B1151" t="s">
        <v>3156</v>
      </c>
      <c r="C1151" t="s">
        <v>3159</v>
      </c>
      <c r="D1151" t="s">
        <v>3152</v>
      </c>
      <c r="E1151" t="s">
        <v>3158</v>
      </c>
      <c r="H1151" t="s">
        <v>25</v>
      </c>
      <c r="I1151" t="s">
        <v>3116</v>
      </c>
      <c r="J1151" t="s">
        <v>38</v>
      </c>
      <c r="K1151" t="s">
        <v>39</v>
      </c>
      <c r="L1151" t="s">
        <v>142</v>
      </c>
      <c r="M1151" t="s">
        <v>30</v>
      </c>
      <c r="N1151" t="s">
        <v>31</v>
      </c>
      <c r="Q1151" t="s">
        <v>3129</v>
      </c>
      <c r="R1151" t="s">
        <v>3130</v>
      </c>
    </row>
    <row r="1152" spans="1:18" x14ac:dyDescent="0.3">
      <c r="A1152" s="2" t="str">
        <f>HYPERLINK(B1152,"Oppna PDF")</f>
        <v>Oppna PDF</v>
      </c>
      <c r="B1152" t="s">
        <v>3160</v>
      </c>
      <c r="C1152" t="s">
        <v>3161</v>
      </c>
      <c r="D1152" t="s">
        <v>3152</v>
      </c>
      <c r="E1152" t="s">
        <v>3162</v>
      </c>
      <c r="H1152" t="s">
        <v>25</v>
      </c>
      <c r="I1152" t="s">
        <v>3116</v>
      </c>
      <c r="J1152" t="s">
        <v>34</v>
      </c>
      <c r="K1152" t="s">
        <v>35</v>
      </c>
      <c r="L1152" t="s">
        <v>300</v>
      </c>
      <c r="M1152" t="s">
        <v>30</v>
      </c>
      <c r="N1152" t="s">
        <v>31</v>
      </c>
      <c r="Q1152" t="s">
        <v>3134</v>
      </c>
      <c r="R1152" t="s">
        <v>3134</v>
      </c>
    </row>
    <row r="1153" spans="1:18" x14ac:dyDescent="0.3">
      <c r="A1153" s="2" t="str">
        <f>HYPERLINK(B1153,"Oppna PDF")</f>
        <v>Oppna PDF</v>
      </c>
      <c r="B1153" t="s">
        <v>3163</v>
      </c>
      <c r="C1153" t="s">
        <v>3164</v>
      </c>
      <c r="D1153" t="s">
        <v>3152</v>
      </c>
      <c r="E1153" t="s">
        <v>3165</v>
      </c>
      <c r="H1153" t="s">
        <v>25</v>
      </c>
      <c r="I1153" t="s">
        <v>3116</v>
      </c>
      <c r="J1153" t="s">
        <v>27</v>
      </c>
      <c r="K1153" t="s">
        <v>28</v>
      </c>
      <c r="L1153" t="s">
        <v>29</v>
      </c>
      <c r="M1153" t="s">
        <v>30</v>
      </c>
      <c r="N1153" t="s">
        <v>31</v>
      </c>
      <c r="Q1153" t="s">
        <v>3138</v>
      </c>
      <c r="R1153" t="s">
        <v>3138</v>
      </c>
    </row>
    <row r="1154" spans="1:18" x14ac:dyDescent="0.3">
      <c r="A1154" s="2" t="str">
        <f>HYPERLINK(B1154,"Oppna PDF")</f>
        <v>Oppna PDF</v>
      </c>
      <c r="B1154" t="s">
        <v>3163</v>
      </c>
      <c r="C1154" t="s">
        <v>3166</v>
      </c>
      <c r="D1154" t="s">
        <v>3152</v>
      </c>
      <c r="E1154" t="s">
        <v>3165</v>
      </c>
      <c r="H1154" t="s">
        <v>25</v>
      </c>
      <c r="I1154" t="s">
        <v>3116</v>
      </c>
      <c r="J1154" t="s">
        <v>91</v>
      </c>
      <c r="K1154" t="s">
        <v>92</v>
      </c>
      <c r="L1154" t="s">
        <v>29</v>
      </c>
      <c r="M1154" t="s">
        <v>30</v>
      </c>
      <c r="N1154" t="s">
        <v>31</v>
      </c>
      <c r="Q1154" t="s">
        <v>3140</v>
      </c>
      <c r="R1154" t="s">
        <v>3140</v>
      </c>
    </row>
    <row r="1155" spans="1:18" x14ac:dyDescent="0.3">
      <c r="A1155" s="2" t="str">
        <f>HYPERLINK(B1155,"Oppna PDF")</f>
        <v>Oppna PDF</v>
      </c>
      <c r="B1155" t="s">
        <v>3167</v>
      </c>
      <c r="C1155" t="s">
        <v>3168</v>
      </c>
      <c r="D1155" t="s">
        <v>3152</v>
      </c>
      <c r="E1155" t="s">
        <v>3169</v>
      </c>
      <c r="H1155" t="s">
        <v>25</v>
      </c>
      <c r="I1155" t="s">
        <v>3116</v>
      </c>
      <c r="J1155" t="s">
        <v>91</v>
      </c>
      <c r="K1155" t="s">
        <v>92</v>
      </c>
      <c r="L1155" t="s">
        <v>29</v>
      </c>
      <c r="M1155" t="s">
        <v>30</v>
      </c>
      <c r="N1155" t="s">
        <v>31</v>
      </c>
      <c r="Q1155" t="s">
        <v>3144</v>
      </c>
      <c r="R1155" t="s">
        <v>3144</v>
      </c>
    </row>
    <row r="1156" spans="1:18" x14ac:dyDescent="0.3">
      <c r="A1156" s="2" t="str">
        <f>HYPERLINK(B1156,"Oppna PDF")</f>
        <v>Oppna PDF</v>
      </c>
      <c r="B1156" t="s">
        <v>3170</v>
      </c>
      <c r="C1156" t="s">
        <v>3171</v>
      </c>
      <c r="D1156" t="s">
        <v>3152</v>
      </c>
      <c r="E1156" t="s">
        <v>3172</v>
      </c>
      <c r="H1156" t="s">
        <v>25</v>
      </c>
      <c r="I1156" t="s">
        <v>3116</v>
      </c>
      <c r="J1156" t="s">
        <v>38</v>
      </c>
      <c r="K1156" t="s">
        <v>39</v>
      </c>
      <c r="L1156" t="s">
        <v>142</v>
      </c>
      <c r="M1156" t="s">
        <v>30</v>
      </c>
      <c r="N1156" t="s">
        <v>31</v>
      </c>
      <c r="Q1156" t="s">
        <v>3148</v>
      </c>
      <c r="R1156" t="s">
        <v>3149</v>
      </c>
    </row>
    <row r="1157" spans="1:18" x14ac:dyDescent="0.3">
      <c r="A1157" s="2" t="str">
        <f>HYPERLINK(B1157,"Oppna PDF")</f>
        <v>Oppna PDF</v>
      </c>
      <c r="B1157" t="s">
        <v>3173</v>
      </c>
      <c r="C1157" t="s">
        <v>3174</v>
      </c>
      <c r="D1157" t="s">
        <v>3175</v>
      </c>
      <c r="E1157" t="s">
        <v>3176</v>
      </c>
      <c r="H1157" t="s">
        <v>25</v>
      </c>
      <c r="I1157" t="s">
        <v>3177</v>
      </c>
      <c r="J1157" t="s">
        <v>27</v>
      </c>
      <c r="K1157" t="s">
        <v>28</v>
      </c>
      <c r="L1157" t="s">
        <v>29</v>
      </c>
      <c r="M1157" t="s">
        <v>30</v>
      </c>
      <c r="N1157" t="s">
        <v>31</v>
      </c>
      <c r="Q1157" t="s">
        <v>3178</v>
      </c>
      <c r="R1157" t="s">
        <v>3178</v>
      </c>
    </row>
    <row r="1158" spans="1:18" x14ac:dyDescent="0.3">
      <c r="A1158" s="2" t="str">
        <f>HYPERLINK(B1158,"Oppna PDF")</f>
        <v>Oppna PDF</v>
      </c>
      <c r="B1158" t="s">
        <v>3173</v>
      </c>
      <c r="C1158" t="s">
        <v>3179</v>
      </c>
      <c r="D1158" t="s">
        <v>3175</v>
      </c>
      <c r="E1158" t="s">
        <v>3176</v>
      </c>
      <c r="H1158" t="s">
        <v>25</v>
      </c>
      <c r="I1158" t="s">
        <v>3177</v>
      </c>
      <c r="J1158" t="s">
        <v>48</v>
      </c>
      <c r="K1158" t="s">
        <v>49</v>
      </c>
      <c r="L1158" t="s">
        <v>29</v>
      </c>
      <c r="M1158" t="s">
        <v>30</v>
      </c>
      <c r="N1158" t="s">
        <v>31</v>
      </c>
      <c r="Q1158" t="s">
        <v>3180</v>
      </c>
      <c r="R1158" t="s">
        <v>3180</v>
      </c>
    </row>
    <row r="1159" spans="1:18" x14ac:dyDescent="0.3">
      <c r="A1159" s="2" t="str">
        <f>HYPERLINK(B1159,"Oppna PDF")</f>
        <v>Oppna PDF</v>
      </c>
      <c r="B1159" t="s">
        <v>3173</v>
      </c>
      <c r="C1159" t="s">
        <v>3181</v>
      </c>
      <c r="D1159" t="s">
        <v>3175</v>
      </c>
      <c r="E1159" t="s">
        <v>3176</v>
      </c>
      <c r="H1159" t="s">
        <v>25</v>
      </c>
      <c r="I1159" t="s">
        <v>3177</v>
      </c>
      <c r="J1159" t="s">
        <v>27</v>
      </c>
      <c r="K1159" t="s">
        <v>28</v>
      </c>
      <c r="L1159" t="s">
        <v>29</v>
      </c>
      <c r="M1159" t="s">
        <v>30</v>
      </c>
      <c r="N1159" t="s">
        <v>31</v>
      </c>
      <c r="Q1159" t="s">
        <v>44</v>
      </c>
      <c r="R1159" t="s">
        <v>44</v>
      </c>
    </row>
    <row r="1160" spans="1:18" x14ac:dyDescent="0.3">
      <c r="A1160" s="2" t="str">
        <f>HYPERLINK(B1160,"Oppna PDF")</f>
        <v>Oppna PDF</v>
      </c>
      <c r="B1160" t="s">
        <v>3182</v>
      </c>
      <c r="C1160" t="s">
        <v>3183</v>
      </c>
      <c r="D1160" t="s">
        <v>3175</v>
      </c>
      <c r="E1160" t="s">
        <v>3184</v>
      </c>
      <c r="H1160" t="s">
        <v>25</v>
      </c>
      <c r="I1160" t="s">
        <v>3177</v>
      </c>
      <c r="J1160" t="s">
        <v>1293</v>
      </c>
      <c r="K1160" t="s">
        <v>1294</v>
      </c>
      <c r="L1160" t="s">
        <v>29</v>
      </c>
      <c r="M1160" t="s">
        <v>30</v>
      </c>
      <c r="N1160" t="s">
        <v>31</v>
      </c>
      <c r="Q1160" t="s">
        <v>3185</v>
      </c>
      <c r="R1160" t="s">
        <v>3185</v>
      </c>
    </row>
    <row r="1161" spans="1:18" x14ac:dyDescent="0.3">
      <c r="A1161" s="2" t="str">
        <f>HYPERLINK(B1161,"Oppna PDF")</f>
        <v>Oppna PDF</v>
      </c>
      <c r="B1161" t="s">
        <v>3186</v>
      </c>
      <c r="C1161" t="s">
        <v>3187</v>
      </c>
      <c r="D1161" t="s">
        <v>3188</v>
      </c>
      <c r="E1161" t="s">
        <v>3189</v>
      </c>
      <c r="H1161" t="s">
        <v>25</v>
      </c>
      <c r="I1161" t="s">
        <v>3177</v>
      </c>
      <c r="J1161" t="s">
        <v>27</v>
      </c>
      <c r="K1161" t="s">
        <v>28</v>
      </c>
      <c r="L1161" t="s">
        <v>29</v>
      </c>
      <c r="M1161" t="s">
        <v>30</v>
      </c>
      <c r="N1161" t="s">
        <v>31</v>
      </c>
      <c r="Q1161" t="s">
        <v>3178</v>
      </c>
      <c r="R1161" t="s">
        <v>3178</v>
      </c>
    </row>
    <row r="1162" spans="1:18" x14ac:dyDescent="0.3">
      <c r="A1162" s="2" t="str">
        <f>HYPERLINK(B1162,"Oppna PDF")</f>
        <v>Oppna PDF</v>
      </c>
      <c r="B1162" t="s">
        <v>3186</v>
      </c>
      <c r="C1162" t="s">
        <v>3190</v>
      </c>
      <c r="D1162" t="s">
        <v>3188</v>
      </c>
      <c r="E1162" t="s">
        <v>3189</v>
      </c>
      <c r="H1162" t="s">
        <v>25</v>
      </c>
      <c r="I1162" t="s">
        <v>3177</v>
      </c>
      <c r="J1162" t="s">
        <v>48</v>
      </c>
      <c r="K1162" t="s">
        <v>49</v>
      </c>
      <c r="L1162" t="s">
        <v>29</v>
      </c>
      <c r="M1162" t="s">
        <v>30</v>
      </c>
      <c r="N1162" t="s">
        <v>31</v>
      </c>
      <c r="Q1162" t="s">
        <v>3180</v>
      </c>
      <c r="R1162" t="s">
        <v>3180</v>
      </c>
    </row>
    <row r="1163" spans="1:18" x14ac:dyDescent="0.3">
      <c r="A1163" s="2" t="str">
        <f>HYPERLINK(B1163,"Oppna PDF")</f>
        <v>Oppna PDF</v>
      </c>
      <c r="B1163" t="s">
        <v>3186</v>
      </c>
      <c r="C1163" t="s">
        <v>3191</v>
      </c>
      <c r="D1163" t="s">
        <v>3188</v>
      </c>
      <c r="E1163" t="s">
        <v>3189</v>
      </c>
      <c r="H1163" t="s">
        <v>25</v>
      </c>
      <c r="I1163" t="s">
        <v>3177</v>
      </c>
      <c r="J1163" t="s">
        <v>27</v>
      </c>
      <c r="K1163" t="s">
        <v>28</v>
      </c>
      <c r="L1163" t="s">
        <v>29</v>
      </c>
      <c r="M1163" t="s">
        <v>30</v>
      </c>
      <c r="N1163" t="s">
        <v>31</v>
      </c>
      <c r="Q1163" t="s">
        <v>44</v>
      </c>
      <c r="R1163" t="s">
        <v>44</v>
      </c>
    </row>
    <row r="1164" spans="1:18" x14ac:dyDescent="0.3">
      <c r="A1164" s="2" t="str">
        <f>HYPERLINK(B1164,"Oppna PDF")</f>
        <v>Oppna PDF</v>
      </c>
      <c r="B1164" t="s">
        <v>3192</v>
      </c>
      <c r="C1164" t="s">
        <v>3193</v>
      </c>
      <c r="D1164" t="s">
        <v>3188</v>
      </c>
      <c r="E1164" t="s">
        <v>3194</v>
      </c>
      <c r="H1164" t="s">
        <v>25</v>
      </c>
      <c r="I1164" t="s">
        <v>3177</v>
      </c>
      <c r="J1164" t="s">
        <v>1293</v>
      </c>
      <c r="K1164" t="s">
        <v>1294</v>
      </c>
      <c r="L1164" t="s">
        <v>29</v>
      </c>
      <c r="M1164" t="s">
        <v>30</v>
      </c>
      <c r="N1164" t="s">
        <v>31</v>
      </c>
      <c r="Q1164" t="s">
        <v>3185</v>
      </c>
      <c r="R1164" t="s">
        <v>3185</v>
      </c>
    </row>
    <row r="1165" spans="1:18" x14ac:dyDescent="0.3">
      <c r="A1165" s="2" t="str">
        <f>HYPERLINK(B1165,"Oppna PDF")</f>
        <v>Oppna PDF</v>
      </c>
      <c r="B1165" t="s">
        <v>3195</v>
      </c>
      <c r="C1165" t="s">
        <v>3196</v>
      </c>
      <c r="D1165" t="s">
        <v>3197</v>
      </c>
      <c r="E1165" t="s">
        <v>3198</v>
      </c>
      <c r="H1165" t="s">
        <v>61</v>
      </c>
      <c r="I1165" t="s">
        <v>3199</v>
      </c>
      <c r="J1165" t="s">
        <v>48</v>
      </c>
      <c r="K1165" t="s">
        <v>49</v>
      </c>
      <c r="L1165" t="s">
        <v>29</v>
      </c>
      <c r="M1165" t="s">
        <v>30</v>
      </c>
      <c r="N1165" t="s">
        <v>31</v>
      </c>
      <c r="Q1165" t="s">
        <v>3200</v>
      </c>
      <c r="R1165" t="s">
        <v>3200</v>
      </c>
    </row>
    <row r="1166" spans="1:18" x14ac:dyDescent="0.3">
      <c r="A1166" s="2" t="str">
        <f>HYPERLINK(B1166,"Oppna PDF")</f>
        <v>Oppna PDF</v>
      </c>
      <c r="B1166" t="s">
        <v>3195</v>
      </c>
      <c r="C1166" t="s">
        <v>3201</v>
      </c>
      <c r="D1166" t="s">
        <v>3197</v>
      </c>
      <c r="E1166" t="s">
        <v>3198</v>
      </c>
      <c r="H1166" t="s">
        <v>61</v>
      </c>
      <c r="I1166" t="s">
        <v>3199</v>
      </c>
      <c r="J1166" t="s">
        <v>48</v>
      </c>
      <c r="K1166" t="s">
        <v>49</v>
      </c>
      <c r="L1166" t="s">
        <v>29</v>
      </c>
      <c r="M1166" t="s">
        <v>30</v>
      </c>
      <c r="N1166" t="s">
        <v>31</v>
      </c>
      <c r="Q1166" t="s">
        <v>3202</v>
      </c>
      <c r="R1166" t="s">
        <v>3202</v>
      </c>
    </row>
    <row r="1167" spans="1:18" x14ac:dyDescent="0.3">
      <c r="A1167" s="2" t="str">
        <f>HYPERLINK(B1167,"Oppna PDF")</f>
        <v>Oppna PDF</v>
      </c>
      <c r="B1167" t="s">
        <v>3195</v>
      </c>
      <c r="C1167" t="s">
        <v>3203</v>
      </c>
      <c r="D1167" t="s">
        <v>3197</v>
      </c>
      <c r="E1167" t="s">
        <v>3198</v>
      </c>
      <c r="H1167" t="s">
        <v>61</v>
      </c>
      <c r="I1167" t="s">
        <v>3199</v>
      </c>
      <c r="J1167" t="s">
        <v>34</v>
      </c>
      <c r="K1167" t="s">
        <v>35</v>
      </c>
      <c r="L1167" t="s">
        <v>29</v>
      </c>
      <c r="M1167" t="s">
        <v>30</v>
      </c>
      <c r="N1167" t="s">
        <v>31</v>
      </c>
      <c r="Q1167" t="s">
        <v>3204</v>
      </c>
      <c r="R1167" t="s">
        <v>3204</v>
      </c>
    </row>
    <row r="1168" spans="1:18" x14ac:dyDescent="0.3">
      <c r="A1168" s="2" t="str">
        <f>HYPERLINK(B1168,"Oppna PDF")</f>
        <v>Oppna PDF</v>
      </c>
      <c r="B1168" t="s">
        <v>3205</v>
      </c>
      <c r="C1168" t="s">
        <v>3206</v>
      </c>
      <c r="D1168" t="s">
        <v>3207</v>
      </c>
      <c r="E1168" t="s">
        <v>3208</v>
      </c>
      <c r="H1168" t="s">
        <v>61</v>
      </c>
      <c r="I1168" t="s">
        <v>3199</v>
      </c>
      <c r="J1168" t="s">
        <v>48</v>
      </c>
      <c r="K1168" t="s">
        <v>49</v>
      </c>
      <c r="L1168" t="s">
        <v>29</v>
      </c>
      <c r="M1168" t="s">
        <v>30</v>
      </c>
      <c r="N1168" t="s">
        <v>31</v>
      </c>
      <c r="Q1168" t="s">
        <v>3200</v>
      </c>
      <c r="R1168" t="s">
        <v>3200</v>
      </c>
    </row>
    <row r="1169" spans="1:18" x14ac:dyDescent="0.3">
      <c r="A1169" s="2" t="str">
        <f>HYPERLINK(B1169,"Oppna PDF")</f>
        <v>Oppna PDF</v>
      </c>
      <c r="B1169" t="s">
        <v>3205</v>
      </c>
      <c r="C1169" t="s">
        <v>3209</v>
      </c>
      <c r="D1169" t="s">
        <v>3207</v>
      </c>
      <c r="E1169" t="s">
        <v>3208</v>
      </c>
      <c r="H1169" t="s">
        <v>61</v>
      </c>
      <c r="I1169" t="s">
        <v>3199</v>
      </c>
      <c r="J1169" t="s">
        <v>48</v>
      </c>
      <c r="K1169" t="s">
        <v>49</v>
      </c>
      <c r="L1169" t="s">
        <v>29</v>
      </c>
      <c r="M1169" t="s">
        <v>30</v>
      </c>
      <c r="N1169" t="s">
        <v>31</v>
      </c>
      <c r="Q1169" t="s">
        <v>3202</v>
      </c>
      <c r="R1169" t="s">
        <v>3202</v>
      </c>
    </row>
    <row r="1170" spans="1:18" x14ac:dyDescent="0.3">
      <c r="A1170" s="2" t="str">
        <f>HYPERLINK(B1170,"Oppna PDF")</f>
        <v>Oppna PDF</v>
      </c>
      <c r="B1170" t="s">
        <v>3205</v>
      </c>
      <c r="C1170" t="s">
        <v>3210</v>
      </c>
      <c r="D1170" t="s">
        <v>3207</v>
      </c>
      <c r="E1170" t="s">
        <v>3208</v>
      </c>
      <c r="H1170" t="s">
        <v>61</v>
      </c>
      <c r="I1170" t="s">
        <v>3199</v>
      </c>
      <c r="J1170" t="s">
        <v>34</v>
      </c>
      <c r="K1170" t="s">
        <v>35</v>
      </c>
      <c r="L1170" t="s">
        <v>29</v>
      </c>
      <c r="M1170" t="s">
        <v>30</v>
      </c>
      <c r="N1170" t="s">
        <v>31</v>
      </c>
      <c r="Q1170" t="s">
        <v>3204</v>
      </c>
      <c r="R1170" t="s">
        <v>3204</v>
      </c>
    </row>
    <row r="1171" spans="1:18" x14ac:dyDescent="0.3">
      <c r="A1171" s="2" t="str">
        <f>HYPERLINK(B1171,"Oppna PDF")</f>
        <v>Oppna PDF</v>
      </c>
      <c r="B1171" t="s">
        <v>3211</v>
      </c>
      <c r="C1171" t="s">
        <v>3212</v>
      </c>
      <c r="D1171" t="s">
        <v>3213</v>
      </c>
      <c r="E1171" t="s">
        <v>3214</v>
      </c>
      <c r="H1171" t="s">
        <v>61</v>
      </c>
      <c r="I1171" t="s">
        <v>3215</v>
      </c>
      <c r="J1171" t="s">
        <v>91</v>
      </c>
      <c r="K1171" t="s">
        <v>92</v>
      </c>
      <c r="L1171" t="s">
        <v>29</v>
      </c>
      <c r="M1171" t="s">
        <v>30</v>
      </c>
      <c r="N1171" t="s">
        <v>31</v>
      </c>
      <c r="Q1171" t="s">
        <v>3216</v>
      </c>
      <c r="R1171" t="s">
        <v>3216</v>
      </c>
    </row>
    <row r="1172" spans="1:18" x14ac:dyDescent="0.3">
      <c r="A1172" s="2" t="str">
        <f>HYPERLINK(B1172,"Oppna PDF")</f>
        <v>Oppna PDF</v>
      </c>
      <c r="B1172" t="s">
        <v>3211</v>
      </c>
      <c r="C1172" t="s">
        <v>3217</v>
      </c>
      <c r="D1172" t="s">
        <v>3213</v>
      </c>
      <c r="E1172" t="s">
        <v>3214</v>
      </c>
      <c r="H1172" t="s">
        <v>61</v>
      </c>
      <c r="I1172" t="s">
        <v>3215</v>
      </c>
      <c r="J1172" t="s">
        <v>48</v>
      </c>
      <c r="K1172" t="s">
        <v>49</v>
      </c>
      <c r="L1172" t="s">
        <v>29</v>
      </c>
      <c r="M1172" t="s">
        <v>30</v>
      </c>
      <c r="N1172" t="s">
        <v>31</v>
      </c>
      <c r="Q1172" t="s">
        <v>3218</v>
      </c>
      <c r="R1172" t="s">
        <v>3218</v>
      </c>
    </row>
    <row r="1173" spans="1:18" x14ac:dyDescent="0.3">
      <c r="A1173" s="2" t="str">
        <f>HYPERLINK(B1173,"Oppna PDF")</f>
        <v>Oppna PDF</v>
      </c>
      <c r="B1173" t="s">
        <v>3211</v>
      </c>
      <c r="C1173" t="s">
        <v>3219</v>
      </c>
      <c r="D1173" t="s">
        <v>3213</v>
      </c>
      <c r="E1173" t="s">
        <v>3214</v>
      </c>
      <c r="H1173" t="s">
        <v>61</v>
      </c>
      <c r="I1173" t="s">
        <v>3215</v>
      </c>
      <c r="J1173" t="s">
        <v>91</v>
      </c>
      <c r="K1173" t="s">
        <v>92</v>
      </c>
      <c r="L1173" t="s">
        <v>29</v>
      </c>
      <c r="M1173" t="s">
        <v>30</v>
      </c>
      <c r="N1173" t="s">
        <v>31</v>
      </c>
      <c r="Q1173" t="s">
        <v>3220</v>
      </c>
      <c r="R1173" t="s">
        <v>3220</v>
      </c>
    </row>
    <row r="1174" spans="1:18" x14ac:dyDescent="0.3">
      <c r="A1174" s="2" t="str">
        <f>HYPERLINK(B1174,"Oppna PDF")</f>
        <v>Oppna PDF</v>
      </c>
      <c r="B1174" t="s">
        <v>3221</v>
      </c>
      <c r="C1174" t="s">
        <v>3222</v>
      </c>
      <c r="D1174" t="s">
        <v>3213</v>
      </c>
      <c r="E1174" t="s">
        <v>3223</v>
      </c>
      <c r="H1174" t="s">
        <v>61</v>
      </c>
      <c r="I1174" t="s">
        <v>3215</v>
      </c>
      <c r="J1174" t="s">
        <v>38</v>
      </c>
      <c r="K1174" t="s">
        <v>39</v>
      </c>
      <c r="L1174" t="s">
        <v>29</v>
      </c>
      <c r="M1174" t="s">
        <v>30</v>
      </c>
      <c r="N1174" t="s">
        <v>31</v>
      </c>
      <c r="Q1174" t="s">
        <v>3224</v>
      </c>
      <c r="R1174" t="s">
        <v>3224</v>
      </c>
    </row>
    <row r="1175" spans="1:18" x14ac:dyDescent="0.3">
      <c r="A1175" s="2" t="str">
        <f>HYPERLINK(B1175,"Oppna PDF")</f>
        <v>Oppna PDF</v>
      </c>
      <c r="B1175" t="s">
        <v>3221</v>
      </c>
      <c r="C1175" t="s">
        <v>3225</v>
      </c>
      <c r="D1175" t="s">
        <v>3213</v>
      </c>
      <c r="E1175" t="s">
        <v>3223</v>
      </c>
      <c r="H1175" t="s">
        <v>61</v>
      </c>
      <c r="I1175" t="s">
        <v>3215</v>
      </c>
      <c r="J1175" t="s">
        <v>48</v>
      </c>
      <c r="K1175" t="s">
        <v>49</v>
      </c>
      <c r="L1175" t="s">
        <v>29</v>
      </c>
      <c r="M1175" t="s">
        <v>30</v>
      </c>
      <c r="N1175" t="s">
        <v>31</v>
      </c>
      <c r="Q1175" t="s">
        <v>3226</v>
      </c>
      <c r="R1175" t="s">
        <v>3226</v>
      </c>
    </row>
    <row r="1176" spans="1:18" x14ac:dyDescent="0.3">
      <c r="A1176" s="2" t="str">
        <f>HYPERLINK(B1176,"Oppna PDF")</f>
        <v>Oppna PDF</v>
      </c>
      <c r="B1176" t="s">
        <v>3221</v>
      </c>
      <c r="C1176" t="s">
        <v>3227</v>
      </c>
      <c r="D1176" t="s">
        <v>3213</v>
      </c>
      <c r="E1176" t="s">
        <v>3223</v>
      </c>
      <c r="H1176" t="s">
        <v>61</v>
      </c>
      <c r="I1176" t="s">
        <v>3215</v>
      </c>
      <c r="J1176" t="s">
        <v>91</v>
      </c>
      <c r="K1176" t="s">
        <v>92</v>
      </c>
      <c r="L1176" t="s">
        <v>29</v>
      </c>
      <c r="M1176" t="s">
        <v>30</v>
      </c>
      <c r="N1176" t="s">
        <v>31</v>
      </c>
      <c r="Q1176" t="s">
        <v>3228</v>
      </c>
      <c r="R1176" t="s">
        <v>3228</v>
      </c>
    </row>
    <row r="1177" spans="1:18" x14ac:dyDescent="0.3">
      <c r="A1177" s="2" t="str">
        <f>HYPERLINK(B1177,"Oppna PDF")</f>
        <v>Oppna PDF</v>
      </c>
      <c r="B1177" t="s">
        <v>3229</v>
      </c>
      <c r="C1177" t="s">
        <v>3230</v>
      </c>
      <c r="D1177" t="s">
        <v>3231</v>
      </c>
      <c r="E1177" t="s">
        <v>3232</v>
      </c>
      <c r="H1177" t="s">
        <v>61</v>
      </c>
      <c r="I1177" t="s">
        <v>3215</v>
      </c>
      <c r="J1177" t="s">
        <v>91</v>
      </c>
      <c r="K1177" t="s">
        <v>92</v>
      </c>
      <c r="L1177" t="s">
        <v>29</v>
      </c>
      <c r="M1177" t="s">
        <v>30</v>
      </c>
      <c r="N1177" t="s">
        <v>31</v>
      </c>
      <c r="Q1177" t="s">
        <v>3216</v>
      </c>
      <c r="R1177" t="s">
        <v>3216</v>
      </c>
    </row>
    <row r="1178" spans="1:18" x14ac:dyDescent="0.3">
      <c r="A1178" s="2" t="str">
        <f>HYPERLINK(B1178,"Oppna PDF")</f>
        <v>Oppna PDF</v>
      </c>
      <c r="B1178" t="s">
        <v>3229</v>
      </c>
      <c r="C1178" t="s">
        <v>3233</v>
      </c>
      <c r="D1178" t="s">
        <v>3231</v>
      </c>
      <c r="E1178" t="s">
        <v>3232</v>
      </c>
      <c r="H1178" t="s">
        <v>61</v>
      </c>
      <c r="I1178" t="s">
        <v>3215</v>
      </c>
      <c r="J1178" t="s">
        <v>48</v>
      </c>
      <c r="K1178" t="s">
        <v>49</v>
      </c>
      <c r="L1178" t="s">
        <v>29</v>
      </c>
      <c r="M1178" t="s">
        <v>30</v>
      </c>
      <c r="N1178" t="s">
        <v>31</v>
      </c>
      <c r="Q1178" t="s">
        <v>3218</v>
      </c>
      <c r="R1178" t="s">
        <v>3218</v>
      </c>
    </row>
    <row r="1179" spans="1:18" x14ac:dyDescent="0.3">
      <c r="A1179" s="2" t="str">
        <f>HYPERLINK(B1179,"Oppna PDF")</f>
        <v>Oppna PDF</v>
      </c>
      <c r="B1179" t="s">
        <v>3229</v>
      </c>
      <c r="C1179" t="s">
        <v>3234</v>
      </c>
      <c r="D1179" t="s">
        <v>3231</v>
      </c>
      <c r="E1179" t="s">
        <v>3232</v>
      </c>
      <c r="H1179" t="s">
        <v>61</v>
      </c>
      <c r="I1179" t="s">
        <v>3215</v>
      </c>
      <c r="J1179" t="s">
        <v>91</v>
      </c>
      <c r="K1179" t="s">
        <v>92</v>
      </c>
      <c r="L1179" t="s">
        <v>29</v>
      </c>
      <c r="M1179" t="s">
        <v>30</v>
      </c>
      <c r="N1179" t="s">
        <v>31</v>
      </c>
      <c r="Q1179" t="s">
        <v>3220</v>
      </c>
      <c r="R1179" t="s">
        <v>3220</v>
      </c>
    </row>
    <row r="1180" spans="1:18" x14ac:dyDescent="0.3">
      <c r="A1180" s="2" t="str">
        <f>HYPERLINK(B1180,"Oppna PDF")</f>
        <v>Oppna PDF</v>
      </c>
      <c r="B1180" t="s">
        <v>3235</v>
      </c>
      <c r="C1180" t="s">
        <v>3236</v>
      </c>
      <c r="D1180" t="s">
        <v>3231</v>
      </c>
      <c r="E1180" t="s">
        <v>3237</v>
      </c>
      <c r="H1180" t="s">
        <v>61</v>
      </c>
      <c r="I1180" t="s">
        <v>3215</v>
      </c>
      <c r="J1180" t="s">
        <v>38</v>
      </c>
      <c r="K1180" t="s">
        <v>39</v>
      </c>
      <c r="L1180" t="s">
        <v>29</v>
      </c>
      <c r="M1180" t="s">
        <v>30</v>
      </c>
      <c r="N1180" t="s">
        <v>31</v>
      </c>
      <c r="Q1180" t="s">
        <v>3224</v>
      </c>
      <c r="R1180" t="s">
        <v>3224</v>
      </c>
    </row>
    <row r="1181" spans="1:18" x14ac:dyDescent="0.3">
      <c r="A1181" s="2" t="str">
        <f>HYPERLINK(B1181,"Oppna PDF")</f>
        <v>Oppna PDF</v>
      </c>
      <c r="B1181" t="s">
        <v>3235</v>
      </c>
      <c r="C1181" t="s">
        <v>3238</v>
      </c>
      <c r="D1181" t="s">
        <v>3231</v>
      </c>
      <c r="E1181" t="s">
        <v>3237</v>
      </c>
      <c r="H1181" t="s">
        <v>61</v>
      </c>
      <c r="I1181" t="s">
        <v>3215</v>
      </c>
      <c r="J1181" t="s">
        <v>48</v>
      </c>
      <c r="K1181" t="s">
        <v>49</v>
      </c>
      <c r="L1181" t="s">
        <v>29</v>
      </c>
      <c r="M1181" t="s">
        <v>30</v>
      </c>
      <c r="N1181" t="s">
        <v>31</v>
      </c>
      <c r="Q1181" t="s">
        <v>3226</v>
      </c>
      <c r="R1181" t="s">
        <v>3226</v>
      </c>
    </row>
    <row r="1182" spans="1:18" x14ac:dyDescent="0.3">
      <c r="A1182" s="2" t="str">
        <f>HYPERLINK(B1182,"Oppna PDF")</f>
        <v>Oppna PDF</v>
      </c>
      <c r="B1182" t="s">
        <v>3235</v>
      </c>
      <c r="C1182" t="s">
        <v>3239</v>
      </c>
      <c r="D1182" t="s">
        <v>3231</v>
      </c>
      <c r="E1182" t="s">
        <v>3237</v>
      </c>
      <c r="H1182" t="s">
        <v>61</v>
      </c>
      <c r="I1182" t="s">
        <v>3215</v>
      </c>
      <c r="J1182" t="s">
        <v>91</v>
      </c>
      <c r="K1182" t="s">
        <v>92</v>
      </c>
      <c r="L1182" t="s">
        <v>29</v>
      </c>
      <c r="M1182" t="s">
        <v>30</v>
      </c>
      <c r="N1182" t="s">
        <v>31</v>
      </c>
      <c r="Q1182" t="s">
        <v>3228</v>
      </c>
      <c r="R1182" t="s">
        <v>3228</v>
      </c>
    </row>
    <row r="1183" spans="1:18" x14ac:dyDescent="0.3">
      <c r="A1183" s="2" t="str">
        <f>HYPERLINK(B1183,"Oppna PDF")</f>
        <v>Oppna PDF</v>
      </c>
      <c r="B1183" t="s">
        <v>3240</v>
      </c>
      <c r="C1183" t="s">
        <v>3241</v>
      </c>
      <c r="D1183" t="s">
        <v>3242</v>
      </c>
      <c r="E1183" t="s">
        <v>3243</v>
      </c>
      <c r="F1183" t="s">
        <v>3244</v>
      </c>
      <c r="G1183" t="s">
        <v>3245</v>
      </c>
      <c r="H1183" t="s">
        <v>25</v>
      </c>
      <c r="I1183" t="s">
        <v>3246</v>
      </c>
      <c r="J1183" t="s">
        <v>38</v>
      </c>
      <c r="K1183" t="s">
        <v>39</v>
      </c>
      <c r="L1183" t="s">
        <v>142</v>
      </c>
      <c r="M1183" t="s">
        <v>30</v>
      </c>
      <c r="N1183" t="s">
        <v>31</v>
      </c>
      <c r="Q1183" t="s">
        <v>3247</v>
      </c>
      <c r="R1183" t="s">
        <v>3248</v>
      </c>
    </row>
    <row r="1184" spans="1:18" x14ac:dyDescent="0.3">
      <c r="A1184" s="2" t="str">
        <f>HYPERLINK(B1184,"Oppna PDF")</f>
        <v>Oppna PDF</v>
      </c>
      <c r="B1184" t="s">
        <v>3249</v>
      </c>
      <c r="C1184" t="s">
        <v>3250</v>
      </c>
      <c r="D1184" t="s">
        <v>3242</v>
      </c>
      <c r="E1184" t="s">
        <v>3251</v>
      </c>
      <c r="F1184" t="s">
        <v>3244</v>
      </c>
      <c r="G1184" t="s">
        <v>3245</v>
      </c>
      <c r="H1184" t="s">
        <v>25</v>
      </c>
      <c r="I1184" t="s">
        <v>3246</v>
      </c>
      <c r="J1184" t="s">
        <v>209</v>
      </c>
      <c r="K1184" t="s">
        <v>210</v>
      </c>
      <c r="L1184" t="s">
        <v>29</v>
      </c>
      <c r="M1184" t="s">
        <v>30</v>
      </c>
      <c r="N1184" t="s">
        <v>31</v>
      </c>
      <c r="Q1184" t="s">
        <v>3252</v>
      </c>
      <c r="R1184" t="s">
        <v>3252</v>
      </c>
    </row>
    <row r="1185" spans="1:18" x14ac:dyDescent="0.3">
      <c r="A1185" s="2" t="str">
        <f>HYPERLINK(B1185,"Oppna PDF")</f>
        <v>Oppna PDF</v>
      </c>
      <c r="B1185" t="s">
        <v>3249</v>
      </c>
      <c r="C1185" t="s">
        <v>3253</v>
      </c>
      <c r="D1185" t="s">
        <v>3242</v>
      </c>
      <c r="E1185" t="s">
        <v>3251</v>
      </c>
      <c r="F1185" t="s">
        <v>3244</v>
      </c>
      <c r="G1185" t="s">
        <v>3245</v>
      </c>
      <c r="H1185" t="s">
        <v>25</v>
      </c>
      <c r="I1185" t="s">
        <v>3246</v>
      </c>
      <c r="J1185" t="s">
        <v>87</v>
      </c>
      <c r="K1185" t="s">
        <v>88</v>
      </c>
      <c r="L1185" t="s">
        <v>29</v>
      </c>
      <c r="M1185" t="s">
        <v>30</v>
      </c>
      <c r="N1185" t="s">
        <v>31</v>
      </c>
      <c r="Q1185" t="s">
        <v>3254</v>
      </c>
      <c r="R1185" t="s">
        <v>3254</v>
      </c>
    </row>
    <row r="1186" spans="1:18" x14ac:dyDescent="0.3">
      <c r="A1186" s="2" t="str">
        <f>HYPERLINK(B1186,"Oppna PDF")</f>
        <v>Oppna PDF</v>
      </c>
      <c r="B1186" t="s">
        <v>3249</v>
      </c>
      <c r="C1186" t="s">
        <v>3255</v>
      </c>
      <c r="D1186" t="s">
        <v>3242</v>
      </c>
      <c r="E1186" t="s">
        <v>3251</v>
      </c>
      <c r="F1186" t="s">
        <v>3244</v>
      </c>
      <c r="G1186" t="s">
        <v>3245</v>
      </c>
      <c r="H1186" t="s">
        <v>25</v>
      </c>
      <c r="I1186" t="s">
        <v>3246</v>
      </c>
      <c r="J1186" t="s">
        <v>48</v>
      </c>
      <c r="K1186" t="s">
        <v>49</v>
      </c>
      <c r="L1186" t="s">
        <v>29</v>
      </c>
      <c r="M1186" t="s">
        <v>30</v>
      </c>
      <c r="N1186" t="s">
        <v>31</v>
      </c>
      <c r="Q1186" t="s">
        <v>3256</v>
      </c>
      <c r="R1186" t="s">
        <v>3256</v>
      </c>
    </row>
    <row r="1187" spans="1:18" x14ac:dyDescent="0.3">
      <c r="A1187" s="2" t="str">
        <f>HYPERLINK(B1187,"Oppna PDF")</f>
        <v>Oppna PDF</v>
      </c>
      <c r="B1187" t="s">
        <v>3257</v>
      </c>
      <c r="C1187" t="s">
        <v>3258</v>
      </c>
      <c r="D1187" t="s">
        <v>3259</v>
      </c>
      <c r="E1187" t="s">
        <v>3260</v>
      </c>
      <c r="F1187" t="s">
        <v>3244</v>
      </c>
      <c r="G1187" t="s">
        <v>3245</v>
      </c>
      <c r="H1187" t="s">
        <v>25</v>
      </c>
      <c r="I1187" t="s">
        <v>3246</v>
      </c>
      <c r="J1187" t="s">
        <v>38</v>
      </c>
      <c r="K1187" t="s">
        <v>39</v>
      </c>
      <c r="L1187" t="s">
        <v>142</v>
      </c>
      <c r="M1187" t="s">
        <v>30</v>
      </c>
      <c r="N1187" t="s">
        <v>31</v>
      </c>
      <c r="Q1187" t="s">
        <v>3247</v>
      </c>
      <c r="R1187" t="s">
        <v>3248</v>
      </c>
    </row>
    <row r="1188" spans="1:18" x14ac:dyDescent="0.3">
      <c r="A1188" s="2" t="str">
        <f>HYPERLINK(B1188,"Oppna PDF")</f>
        <v>Oppna PDF</v>
      </c>
      <c r="B1188" t="s">
        <v>3261</v>
      </c>
      <c r="C1188" t="s">
        <v>3262</v>
      </c>
      <c r="D1188" t="s">
        <v>3259</v>
      </c>
      <c r="E1188" t="s">
        <v>3263</v>
      </c>
      <c r="F1188" t="s">
        <v>3244</v>
      </c>
      <c r="G1188" t="s">
        <v>3245</v>
      </c>
      <c r="H1188" t="s">
        <v>25</v>
      </c>
      <c r="I1188" t="s">
        <v>3246</v>
      </c>
      <c r="J1188" t="s">
        <v>209</v>
      </c>
      <c r="K1188" t="s">
        <v>210</v>
      </c>
      <c r="L1188" t="s">
        <v>29</v>
      </c>
      <c r="M1188" t="s">
        <v>30</v>
      </c>
      <c r="N1188" t="s">
        <v>31</v>
      </c>
      <c r="Q1188" t="s">
        <v>3252</v>
      </c>
      <c r="R1188" t="s">
        <v>3252</v>
      </c>
    </row>
    <row r="1189" spans="1:18" x14ac:dyDescent="0.3">
      <c r="A1189" s="2" t="str">
        <f>HYPERLINK(B1189,"Oppna PDF")</f>
        <v>Oppna PDF</v>
      </c>
      <c r="B1189" t="s">
        <v>3261</v>
      </c>
      <c r="C1189" t="s">
        <v>3264</v>
      </c>
      <c r="D1189" t="s">
        <v>3259</v>
      </c>
      <c r="E1189" t="s">
        <v>3263</v>
      </c>
      <c r="F1189" t="s">
        <v>3244</v>
      </c>
      <c r="G1189" t="s">
        <v>3245</v>
      </c>
      <c r="H1189" t="s">
        <v>25</v>
      </c>
      <c r="I1189" t="s">
        <v>3246</v>
      </c>
      <c r="J1189" t="s">
        <v>87</v>
      </c>
      <c r="K1189" t="s">
        <v>88</v>
      </c>
      <c r="L1189" t="s">
        <v>29</v>
      </c>
      <c r="M1189" t="s">
        <v>30</v>
      </c>
      <c r="N1189" t="s">
        <v>31</v>
      </c>
      <c r="Q1189" t="s">
        <v>3254</v>
      </c>
      <c r="R1189" t="s">
        <v>3254</v>
      </c>
    </row>
    <row r="1190" spans="1:18" x14ac:dyDescent="0.3">
      <c r="A1190" s="2" t="str">
        <f>HYPERLINK(B1190,"Oppna PDF")</f>
        <v>Oppna PDF</v>
      </c>
      <c r="B1190" t="s">
        <v>3261</v>
      </c>
      <c r="C1190" t="s">
        <v>3265</v>
      </c>
      <c r="D1190" t="s">
        <v>3259</v>
      </c>
      <c r="E1190" t="s">
        <v>3263</v>
      </c>
      <c r="F1190" t="s">
        <v>3244</v>
      </c>
      <c r="G1190" t="s">
        <v>3245</v>
      </c>
      <c r="H1190" t="s">
        <v>25</v>
      </c>
      <c r="I1190" t="s">
        <v>3246</v>
      </c>
      <c r="J1190" t="s">
        <v>48</v>
      </c>
      <c r="K1190" t="s">
        <v>49</v>
      </c>
      <c r="L1190" t="s">
        <v>29</v>
      </c>
      <c r="M1190" t="s">
        <v>30</v>
      </c>
      <c r="N1190" t="s">
        <v>31</v>
      </c>
      <c r="Q1190" t="s">
        <v>3256</v>
      </c>
      <c r="R1190" t="s">
        <v>3256</v>
      </c>
    </row>
    <row r="1191" spans="1:18" x14ac:dyDescent="0.3">
      <c r="A1191" s="2" t="str">
        <f>HYPERLINK(B1191,"Oppna PDF")</f>
        <v>Oppna PDF</v>
      </c>
      <c r="B1191" t="s">
        <v>3266</v>
      </c>
      <c r="C1191" t="s">
        <v>3267</v>
      </c>
      <c r="D1191" t="s">
        <v>3268</v>
      </c>
      <c r="E1191" t="s">
        <v>3269</v>
      </c>
      <c r="F1191" t="s">
        <v>3270</v>
      </c>
      <c r="G1191" t="s">
        <v>3271</v>
      </c>
      <c r="H1191" t="s">
        <v>61</v>
      </c>
      <c r="I1191" t="s">
        <v>3272</v>
      </c>
      <c r="J1191" t="s">
        <v>38</v>
      </c>
      <c r="K1191" t="s">
        <v>39</v>
      </c>
      <c r="L1191" t="s">
        <v>29</v>
      </c>
      <c r="M1191" t="s">
        <v>30</v>
      </c>
      <c r="N1191" t="s">
        <v>31</v>
      </c>
      <c r="Q1191" t="s">
        <v>3273</v>
      </c>
      <c r="R1191" t="s">
        <v>3273</v>
      </c>
    </row>
    <row r="1192" spans="1:18" x14ac:dyDescent="0.3">
      <c r="A1192" s="2" t="str">
        <f>HYPERLINK(B1192,"Oppna PDF")</f>
        <v>Oppna PDF</v>
      </c>
      <c r="B1192" t="s">
        <v>3266</v>
      </c>
      <c r="C1192" t="s">
        <v>3274</v>
      </c>
      <c r="D1192" t="s">
        <v>3268</v>
      </c>
      <c r="E1192" t="s">
        <v>3269</v>
      </c>
      <c r="F1192" t="s">
        <v>3270</v>
      </c>
      <c r="G1192" t="s">
        <v>3271</v>
      </c>
      <c r="H1192" t="s">
        <v>61</v>
      </c>
      <c r="I1192" t="s">
        <v>3272</v>
      </c>
      <c r="J1192" t="s">
        <v>38</v>
      </c>
      <c r="K1192" t="s">
        <v>39</v>
      </c>
      <c r="L1192" t="s">
        <v>142</v>
      </c>
      <c r="M1192" t="s">
        <v>30</v>
      </c>
      <c r="N1192" t="s">
        <v>31</v>
      </c>
      <c r="Q1192" t="s">
        <v>3275</v>
      </c>
      <c r="R1192" t="s">
        <v>3276</v>
      </c>
    </row>
    <row r="1193" spans="1:18" x14ac:dyDescent="0.3">
      <c r="A1193" s="2" t="str">
        <f>HYPERLINK(B1193,"Oppna PDF")</f>
        <v>Oppna PDF</v>
      </c>
      <c r="B1193" t="s">
        <v>3266</v>
      </c>
      <c r="C1193" t="s">
        <v>3277</v>
      </c>
      <c r="D1193" t="s">
        <v>3268</v>
      </c>
      <c r="E1193" t="s">
        <v>3269</v>
      </c>
      <c r="F1193" t="s">
        <v>3270</v>
      </c>
      <c r="G1193" t="s">
        <v>3271</v>
      </c>
      <c r="H1193" t="s">
        <v>61</v>
      </c>
      <c r="I1193" t="s">
        <v>3272</v>
      </c>
      <c r="J1193" t="s">
        <v>27</v>
      </c>
      <c r="K1193" t="s">
        <v>28</v>
      </c>
      <c r="L1193" t="s">
        <v>142</v>
      </c>
      <c r="M1193" t="s">
        <v>30</v>
      </c>
      <c r="N1193" t="s">
        <v>31</v>
      </c>
      <c r="Q1193" t="s">
        <v>3278</v>
      </c>
      <c r="R1193" t="s">
        <v>3278</v>
      </c>
    </row>
    <row r="1194" spans="1:18" x14ac:dyDescent="0.3">
      <c r="A1194" s="2" t="str">
        <f>HYPERLINK(B1194,"Oppna PDF")</f>
        <v>Oppna PDF</v>
      </c>
      <c r="B1194" t="s">
        <v>3279</v>
      </c>
      <c r="C1194" t="s">
        <v>3280</v>
      </c>
      <c r="D1194" t="s">
        <v>3268</v>
      </c>
      <c r="E1194" t="s">
        <v>3281</v>
      </c>
      <c r="F1194" t="s">
        <v>3270</v>
      </c>
      <c r="G1194" t="s">
        <v>3271</v>
      </c>
      <c r="H1194" t="s">
        <v>61</v>
      </c>
      <c r="I1194" t="s">
        <v>3272</v>
      </c>
      <c r="J1194" t="s">
        <v>38</v>
      </c>
      <c r="K1194" t="s">
        <v>39</v>
      </c>
      <c r="L1194" t="s">
        <v>29</v>
      </c>
      <c r="M1194" t="s">
        <v>30</v>
      </c>
      <c r="N1194" t="s">
        <v>31</v>
      </c>
      <c r="Q1194" t="s">
        <v>3273</v>
      </c>
      <c r="R1194" t="s">
        <v>3273</v>
      </c>
    </row>
    <row r="1195" spans="1:18" x14ac:dyDescent="0.3">
      <c r="A1195" s="2" t="str">
        <f>HYPERLINK(B1195,"Oppna PDF")</f>
        <v>Oppna PDF</v>
      </c>
      <c r="B1195" t="s">
        <v>3279</v>
      </c>
      <c r="C1195" t="s">
        <v>3282</v>
      </c>
      <c r="D1195" t="s">
        <v>3268</v>
      </c>
      <c r="E1195" t="s">
        <v>3281</v>
      </c>
      <c r="F1195" t="s">
        <v>3270</v>
      </c>
      <c r="G1195" t="s">
        <v>3271</v>
      </c>
      <c r="H1195" t="s">
        <v>61</v>
      </c>
      <c r="I1195" t="s">
        <v>3272</v>
      </c>
      <c r="J1195" t="s">
        <v>38</v>
      </c>
      <c r="K1195" t="s">
        <v>39</v>
      </c>
      <c r="L1195" t="s">
        <v>142</v>
      </c>
      <c r="M1195" t="s">
        <v>30</v>
      </c>
      <c r="N1195" t="s">
        <v>31</v>
      </c>
      <c r="Q1195" t="s">
        <v>3283</v>
      </c>
      <c r="R1195" t="s">
        <v>3276</v>
      </c>
    </row>
    <row r="1196" spans="1:18" x14ac:dyDescent="0.3">
      <c r="A1196" s="2" t="str">
        <f>HYPERLINK(B1196,"Oppna PDF")</f>
        <v>Oppna PDF</v>
      </c>
      <c r="B1196" t="s">
        <v>3279</v>
      </c>
      <c r="C1196" t="s">
        <v>3284</v>
      </c>
      <c r="D1196" t="s">
        <v>3268</v>
      </c>
      <c r="E1196" t="s">
        <v>3281</v>
      </c>
      <c r="F1196" t="s">
        <v>3270</v>
      </c>
      <c r="G1196" t="s">
        <v>3271</v>
      </c>
      <c r="H1196" t="s">
        <v>61</v>
      </c>
      <c r="I1196" t="s">
        <v>3272</v>
      </c>
      <c r="J1196" t="s">
        <v>27</v>
      </c>
      <c r="K1196" t="s">
        <v>28</v>
      </c>
      <c r="L1196" t="s">
        <v>142</v>
      </c>
      <c r="M1196" t="s">
        <v>30</v>
      </c>
      <c r="N1196" t="s">
        <v>31</v>
      </c>
      <c r="Q1196" t="s">
        <v>3285</v>
      </c>
      <c r="R1196" t="s">
        <v>3285</v>
      </c>
    </row>
    <row r="1197" spans="1:18" x14ac:dyDescent="0.3">
      <c r="A1197" s="2" t="str">
        <f>HYPERLINK(B1197,"Oppna PDF")</f>
        <v>Oppna PDF</v>
      </c>
      <c r="B1197" t="s">
        <v>3286</v>
      </c>
      <c r="C1197" t="s">
        <v>3287</v>
      </c>
      <c r="D1197" t="s">
        <v>3268</v>
      </c>
      <c r="E1197" t="s">
        <v>3288</v>
      </c>
      <c r="F1197" t="s">
        <v>3270</v>
      </c>
      <c r="G1197" t="s">
        <v>3271</v>
      </c>
      <c r="H1197" t="s">
        <v>61</v>
      </c>
      <c r="I1197" t="s">
        <v>3272</v>
      </c>
      <c r="J1197" t="s">
        <v>27</v>
      </c>
      <c r="K1197" t="s">
        <v>28</v>
      </c>
      <c r="L1197" t="s">
        <v>29</v>
      </c>
      <c r="M1197" t="s">
        <v>30</v>
      </c>
      <c r="N1197" t="s">
        <v>31</v>
      </c>
      <c r="Q1197" t="s">
        <v>3289</v>
      </c>
      <c r="R1197" t="s">
        <v>3289</v>
      </c>
    </row>
    <row r="1198" spans="1:18" x14ac:dyDescent="0.3">
      <c r="A1198" s="2" t="str">
        <f>HYPERLINK(B1198,"Oppna PDF")</f>
        <v>Oppna PDF</v>
      </c>
      <c r="B1198" t="s">
        <v>3290</v>
      </c>
      <c r="C1198" t="s">
        <v>3291</v>
      </c>
      <c r="D1198" t="s">
        <v>3268</v>
      </c>
      <c r="E1198" t="s">
        <v>3292</v>
      </c>
      <c r="F1198" t="s">
        <v>3270</v>
      </c>
      <c r="G1198" t="s">
        <v>3271</v>
      </c>
      <c r="H1198" t="s">
        <v>61</v>
      </c>
      <c r="I1198" t="s">
        <v>3272</v>
      </c>
      <c r="J1198" t="s">
        <v>27</v>
      </c>
      <c r="K1198" t="s">
        <v>28</v>
      </c>
      <c r="L1198" t="s">
        <v>29</v>
      </c>
      <c r="M1198" t="s">
        <v>30</v>
      </c>
      <c r="N1198" t="s">
        <v>31</v>
      </c>
      <c r="Q1198" t="s">
        <v>3289</v>
      </c>
      <c r="R1198" t="s">
        <v>3289</v>
      </c>
    </row>
    <row r="1199" spans="1:18" x14ac:dyDescent="0.3">
      <c r="A1199" s="2" t="str">
        <f>HYPERLINK(B1199,"Oppna PDF")</f>
        <v>Oppna PDF</v>
      </c>
      <c r="B1199" t="s">
        <v>3293</v>
      </c>
      <c r="C1199" t="s">
        <v>3294</v>
      </c>
      <c r="D1199" t="s">
        <v>3295</v>
      </c>
      <c r="E1199" t="s">
        <v>3296</v>
      </c>
      <c r="F1199" t="s">
        <v>3270</v>
      </c>
      <c r="G1199" t="s">
        <v>3271</v>
      </c>
      <c r="H1199" t="s">
        <v>61</v>
      </c>
      <c r="I1199" t="s">
        <v>3272</v>
      </c>
      <c r="J1199" t="s">
        <v>38</v>
      </c>
      <c r="K1199" t="s">
        <v>39</v>
      </c>
      <c r="L1199" t="s">
        <v>29</v>
      </c>
      <c r="M1199" t="s">
        <v>30</v>
      </c>
      <c r="N1199" t="s">
        <v>31</v>
      </c>
      <c r="Q1199" t="s">
        <v>3273</v>
      </c>
      <c r="R1199" t="s">
        <v>3273</v>
      </c>
    </row>
    <row r="1200" spans="1:18" x14ac:dyDescent="0.3">
      <c r="A1200" s="2" t="str">
        <f>HYPERLINK(B1200,"Oppna PDF")</f>
        <v>Oppna PDF</v>
      </c>
      <c r="B1200" t="s">
        <v>3293</v>
      </c>
      <c r="C1200" t="s">
        <v>3297</v>
      </c>
      <c r="D1200" t="s">
        <v>3295</v>
      </c>
      <c r="E1200" t="s">
        <v>3296</v>
      </c>
      <c r="F1200" t="s">
        <v>3270</v>
      </c>
      <c r="G1200" t="s">
        <v>3271</v>
      </c>
      <c r="H1200" t="s">
        <v>61</v>
      </c>
      <c r="I1200" t="s">
        <v>3272</v>
      </c>
      <c r="J1200" t="s">
        <v>38</v>
      </c>
      <c r="K1200" t="s">
        <v>39</v>
      </c>
      <c r="L1200" t="s">
        <v>142</v>
      </c>
      <c r="M1200" t="s">
        <v>30</v>
      </c>
      <c r="N1200" t="s">
        <v>31</v>
      </c>
      <c r="Q1200" t="s">
        <v>3275</v>
      </c>
      <c r="R1200" t="s">
        <v>3276</v>
      </c>
    </row>
    <row r="1201" spans="1:18" x14ac:dyDescent="0.3">
      <c r="A1201" s="2" t="str">
        <f>HYPERLINK(B1201,"Oppna PDF")</f>
        <v>Oppna PDF</v>
      </c>
      <c r="B1201" t="s">
        <v>3293</v>
      </c>
      <c r="C1201" t="s">
        <v>3298</v>
      </c>
      <c r="D1201" t="s">
        <v>3295</v>
      </c>
      <c r="E1201" t="s">
        <v>3296</v>
      </c>
      <c r="F1201" t="s">
        <v>3270</v>
      </c>
      <c r="G1201" t="s">
        <v>3271</v>
      </c>
      <c r="H1201" t="s">
        <v>61</v>
      </c>
      <c r="I1201" t="s">
        <v>3272</v>
      </c>
      <c r="J1201" t="s">
        <v>27</v>
      </c>
      <c r="K1201" t="s">
        <v>28</v>
      </c>
      <c r="L1201" t="s">
        <v>142</v>
      </c>
      <c r="M1201" t="s">
        <v>30</v>
      </c>
      <c r="N1201" t="s">
        <v>31</v>
      </c>
      <c r="Q1201" t="s">
        <v>3278</v>
      </c>
      <c r="R1201" t="s">
        <v>3278</v>
      </c>
    </row>
    <row r="1202" spans="1:18" x14ac:dyDescent="0.3">
      <c r="A1202" s="2" t="str">
        <f>HYPERLINK(B1202,"Oppna PDF")</f>
        <v>Oppna PDF</v>
      </c>
      <c r="B1202" t="s">
        <v>3299</v>
      </c>
      <c r="C1202" t="s">
        <v>3300</v>
      </c>
      <c r="D1202" t="s">
        <v>3295</v>
      </c>
      <c r="E1202" t="s">
        <v>3301</v>
      </c>
      <c r="F1202" t="s">
        <v>3270</v>
      </c>
      <c r="G1202" t="s">
        <v>3271</v>
      </c>
      <c r="H1202" t="s">
        <v>61</v>
      </c>
      <c r="I1202" t="s">
        <v>3272</v>
      </c>
      <c r="J1202" t="s">
        <v>38</v>
      </c>
      <c r="K1202" t="s">
        <v>39</v>
      </c>
      <c r="L1202" t="s">
        <v>29</v>
      </c>
      <c r="M1202" t="s">
        <v>30</v>
      </c>
      <c r="N1202" t="s">
        <v>31</v>
      </c>
      <c r="Q1202" t="s">
        <v>3273</v>
      </c>
      <c r="R1202" t="s">
        <v>3273</v>
      </c>
    </row>
    <row r="1203" spans="1:18" x14ac:dyDescent="0.3">
      <c r="A1203" s="2" t="str">
        <f>HYPERLINK(B1203,"Oppna PDF")</f>
        <v>Oppna PDF</v>
      </c>
      <c r="B1203" t="s">
        <v>3299</v>
      </c>
      <c r="C1203" t="s">
        <v>3302</v>
      </c>
      <c r="D1203" t="s">
        <v>3295</v>
      </c>
      <c r="E1203" t="s">
        <v>3301</v>
      </c>
      <c r="F1203" t="s">
        <v>3270</v>
      </c>
      <c r="G1203" t="s">
        <v>3271</v>
      </c>
      <c r="H1203" t="s">
        <v>61</v>
      </c>
      <c r="I1203" t="s">
        <v>3272</v>
      </c>
      <c r="J1203" t="s">
        <v>38</v>
      </c>
      <c r="K1203" t="s">
        <v>39</v>
      </c>
      <c r="L1203" t="s">
        <v>142</v>
      </c>
      <c r="M1203" t="s">
        <v>30</v>
      </c>
      <c r="N1203" t="s">
        <v>31</v>
      </c>
      <c r="Q1203" t="s">
        <v>3283</v>
      </c>
      <c r="R1203" t="s">
        <v>3276</v>
      </c>
    </row>
    <row r="1204" spans="1:18" x14ac:dyDescent="0.3">
      <c r="A1204" s="2" t="str">
        <f>HYPERLINK(B1204,"Oppna PDF")</f>
        <v>Oppna PDF</v>
      </c>
      <c r="B1204" t="s">
        <v>3299</v>
      </c>
      <c r="C1204" t="s">
        <v>3303</v>
      </c>
      <c r="D1204" t="s">
        <v>3295</v>
      </c>
      <c r="E1204" t="s">
        <v>3301</v>
      </c>
      <c r="F1204" t="s">
        <v>3270</v>
      </c>
      <c r="G1204" t="s">
        <v>3271</v>
      </c>
      <c r="H1204" t="s">
        <v>61</v>
      </c>
      <c r="I1204" t="s">
        <v>3272</v>
      </c>
      <c r="J1204" t="s">
        <v>27</v>
      </c>
      <c r="K1204" t="s">
        <v>28</v>
      </c>
      <c r="L1204" t="s">
        <v>142</v>
      </c>
      <c r="M1204" t="s">
        <v>30</v>
      </c>
      <c r="N1204" t="s">
        <v>31</v>
      </c>
      <c r="Q1204" t="s">
        <v>3285</v>
      </c>
      <c r="R1204" t="s">
        <v>3285</v>
      </c>
    </row>
    <row r="1205" spans="1:18" x14ac:dyDescent="0.3">
      <c r="A1205" s="2" t="str">
        <f>HYPERLINK(B1205,"Oppna PDF")</f>
        <v>Oppna PDF</v>
      </c>
      <c r="B1205" t="s">
        <v>3304</v>
      </c>
      <c r="C1205" t="s">
        <v>3305</v>
      </c>
      <c r="D1205" t="s">
        <v>3295</v>
      </c>
      <c r="E1205" t="s">
        <v>3306</v>
      </c>
      <c r="F1205" t="s">
        <v>3270</v>
      </c>
      <c r="G1205" t="s">
        <v>3271</v>
      </c>
      <c r="H1205" t="s">
        <v>61</v>
      </c>
      <c r="I1205" t="s">
        <v>3272</v>
      </c>
      <c r="J1205" t="s">
        <v>27</v>
      </c>
      <c r="K1205" t="s">
        <v>28</v>
      </c>
      <c r="L1205" t="s">
        <v>29</v>
      </c>
      <c r="M1205" t="s">
        <v>30</v>
      </c>
      <c r="N1205" t="s">
        <v>31</v>
      </c>
      <c r="Q1205" t="s">
        <v>3289</v>
      </c>
      <c r="R1205" t="s">
        <v>3289</v>
      </c>
    </row>
    <row r="1206" spans="1:18" x14ac:dyDescent="0.3">
      <c r="A1206" s="2" t="str">
        <f>HYPERLINK(B1206,"Oppna PDF")</f>
        <v>Oppna PDF</v>
      </c>
      <c r="B1206" t="s">
        <v>3307</v>
      </c>
      <c r="C1206" t="s">
        <v>3308</v>
      </c>
      <c r="D1206" t="s">
        <v>3295</v>
      </c>
      <c r="E1206" t="s">
        <v>3309</v>
      </c>
      <c r="F1206" t="s">
        <v>3270</v>
      </c>
      <c r="G1206" t="s">
        <v>3271</v>
      </c>
      <c r="H1206" t="s">
        <v>61</v>
      </c>
      <c r="I1206" t="s">
        <v>3272</v>
      </c>
      <c r="J1206" t="s">
        <v>27</v>
      </c>
      <c r="K1206" t="s">
        <v>28</v>
      </c>
      <c r="L1206" t="s">
        <v>29</v>
      </c>
      <c r="M1206" t="s">
        <v>30</v>
      </c>
      <c r="N1206" t="s">
        <v>31</v>
      </c>
      <c r="Q1206" t="s">
        <v>3289</v>
      </c>
      <c r="R1206" t="s">
        <v>3289</v>
      </c>
    </row>
    <row r="1207" spans="1:18" x14ac:dyDescent="0.3">
      <c r="A1207" s="2" t="str">
        <f>HYPERLINK(B1207,"Oppna PDF")</f>
        <v>Oppna PDF</v>
      </c>
      <c r="B1207" t="s">
        <v>3310</v>
      </c>
      <c r="C1207" t="s">
        <v>3311</v>
      </c>
      <c r="D1207" t="s">
        <v>3312</v>
      </c>
      <c r="E1207" t="s">
        <v>3313</v>
      </c>
      <c r="H1207" t="s">
        <v>61</v>
      </c>
      <c r="I1207" t="s">
        <v>3314</v>
      </c>
      <c r="J1207" t="s">
        <v>34</v>
      </c>
      <c r="K1207" t="s">
        <v>35</v>
      </c>
      <c r="L1207" t="s">
        <v>29</v>
      </c>
      <c r="M1207" t="s">
        <v>30</v>
      </c>
      <c r="N1207" t="s">
        <v>31</v>
      </c>
      <c r="Q1207" t="s">
        <v>3315</v>
      </c>
      <c r="R1207" t="s">
        <v>3315</v>
      </c>
    </row>
    <row r="1208" spans="1:18" x14ac:dyDescent="0.3">
      <c r="A1208" s="2" t="str">
        <f>HYPERLINK(B1208,"Oppna PDF")</f>
        <v>Oppna PDF</v>
      </c>
      <c r="B1208" t="s">
        <v>3310</v>
      </c>
      <c r="C1208" t="s">
        <v>3316</v>
      </c>
      <c r="D1208" t="s">
        <v>3312</v>
      </c>
      <c r="E1208" t="s">
        <v>3313</v>
      </c>
      <c r="H1208" t="s">
        <v>61</v>
      </c>
      <c r="I1208" t="s">
        <v>3314</v>
      </c>
      <c r="J1208" t="s">
        <v>38</v>
      </c>
      <c r="K1208" t="s">
        <v>39</v>
      </c>
      <c r="L1208" t="s">
        <v>29</v>
      </c>
      <c r="M1208" t="s">
        <v>30</v>
      </c>
      <c r="N1208" t="s">
        <v>31</v>
      </c>
      <c r="Q1208" t="s">
        <v>3317</v>
      </c>
      <c r="R1208" t="s">
        <v>3317</v>
      </c>
    </row>
    <row r="1209" spans="1:18" x14ac:dyDescent="0.3">
      <c r="A1209" s="2" t="str">
        <f>HYPERLINK(B1209,"Oppna PDF")</f>
        <v>Oppna PDF</v>
      </c>
      <c r="B1209" t="s">
        <v>3310</v>
      </c>
      <c r="C1209" t="s">
        <v>3318</v>
      </c>
      <c r="D1209" t="s">
        <v>3312</v>
      </c>
      <c r="E1209" t="s">
        <v>3313</v>
      </c>
      <c r="H1209" t="s">
        <v>61</v>
      </c>
      <c r="I1209" t="s">
        <v>3314</v>
      </c>
      <c r="J1209" t="s">
        <v>91</v>
      </c>
      <c r="K1209" t="s">
        <v>92</v>
      </c>
      <c r="L1209" t="s">
        <v>29</v>
      </c>
      <c r="M1209" t="s">
        <v>30</v>
      </c>
      <c r="N1209" t="s">
        <v>31</v>
      </c>
      <c r="Q1209" t="s">
        <v>3319</v>
      </c>
      <c r="R1209" t="s">
        <v>3319</v>
      </c>
    </row>
    <row r="1210" spans="1:18" x14ac:dyDescent="0.3">
      <c r="A1210" s="2" t="str">
        <f>HYPERLINK(B1210,"Oppna PDF")</f>
        <v>Oppna PDF</v>
      </c>
      <c r="B1210" t="s">
        <v>3320</v>
      </c>
      <c r="C1210" t="s">
        <v>3321</v>
      </c>
      <c r="D1210" t="s">
        <v>3312</v>
      </c>
      <c r="E1210" t="s">
        <v>3322</v>
      </c>
      <c r="H1210" t="s">
        <v>61</v>
      </c>
      <c r="I1210" t="s">
        <v>3314</v>
      </c>
      <c r="J1210" t="s">
        <v>38</v>
      </c>
      <c r="K1210" t="s">
        <v>39</v>
      </c>
      <c r="L1210" t="s">
        <v>29</v>
      </c>
      <c r="M1210" t="s">
        <v>30</v>
      </c>
      <c r="N1210" t="s">
        <v>31</v>
      </c>
      <c r="Q1210" t="s">
        <v>3323</v>
      </c>
      <c r="R1210" t="s">
        <v>3323</v>
      </c>
    </row>
    <row r="1211" spans="1:18" x14ac:dyDescent="0.3">
      <c r="A1211" s="2" t="str">
        <f>HYPERLINK(B1211,"Oppna PDF")</f>
        <v>Oppna PDF</v>
      </c>
      <c r="B1211" t="s">
        <v>3320</v>
      </c>
      <c r="C1211" t="s">
        <v>3324</v>
      </c>
      <c r="D1211" t="s">
        <v>3312</v>
      </c>
      <c r="E1211" t="s">
        <v>3322</v>
      </c>
      <c r="H1211" t="s">
        <v>61</v>
      </c>
      <c r="I1211" t="s">
        <v>3314</v>
      </c>
      <c r="J1211" t="s">
        <v>48</v>
      </c>
      <c r="K1211" t="s">
        <v>49</v>
      </c>
      <c r="L1211" t="s">
        <v>29</v>
      </c>
      <c r="M1211" t="s">
        <v>30</v>
      </c>
      <c r="N1211" t="s">
        <v>31</v>
      </c>
      <c r="Q1211" t="s">
        <v>3325</v>
      </c>
      <c r="R1211" t="s">
        <v>3325</v>
      </c>
    </row>
    <row r="1212" spans="1:18" x14ac:dyDescent="0.3">
      <c r="A1212" s="2" t="str">
        <f>HYPERLINK(B1212,"Oppna PDF")</f>
        <v>Oppna PDF</v>
      </c>
      <c r="B1212" t="s">
        <v>3320</v>
      </c>
      <c r="C1212" t="s">
        <v>3326</v>
      </c>
      <c r="D1212" t="s">
        <v>3312</v>
      </c>
      <c r="E1212" t="s">
        <v>3322</v>
      </c>
      <c r="H1212" t="s">
        <v>61</v>
      </c>
      <c r="I1212" t="s">
        <v>3314</v>
      </c>
      <c r="J1212" t="s">
        <v>48</v>
      </c>
      <c r="K1212" t="s">
        <v>49</v>
      </c>
      <c r="L1212" t="s">
        <v>29</v>
      </c>
      <c r="M1212" t="s">
        <v>30</v>
      </c>
      <c r="N1212" t="s">
        <v>31</v>
      </c>
      <c r="Q1212" t="s">
        <v>3327</v>
      </c>
      <c r="R1212" t="s">
        <v>3327</v>
      </c>
    </row>
    <row r="1213" spans="1:18" x14ac:dyDescent="0.3">
      <c r="A1213" s="2" t="str">
        <f>HYPERLINK(B1213,"Oppna PDF")</f>
        <v>Oppna PDF</v>
      </c>
      <c r="B1213" t="s">
        <v>3328</v>
      </c>
      <c r="C1213" t="s">
        <v>3329</v>
      </c>
      <c r="D1213" t="s">
        <v>3312</v>
      </c>
      <c r="E1213" t="s">
        <v>3330</v>
      </c>
      <c r="H1213" t="s">
        <v>61</v>
      </c>
      <c r="I1213" t="s">
        <v>3314</v>
      </c>
      <c r="J1213" t="s">
        <v>38</v>
      </c>
      <c r="K1213" t="s">
        <v>39</v>
      </c>
      <c r="L1213" t="s">
        <v>29</v>
      </c>
      <c r="M1213" t="s">
        <v>30</v>
      </c>
      <c r="N1213" t="s">
        <v>31</v>
      </c>
      <c r="Q1213" t="s">
        <v>3331</v>
      </c>
      <c r="R1213" t="s">
        <v>3331</v>
      </c>
    </row>
    <row r="1214" spans="1:18" x14ac:dyDescent="0.3">
      <c r="A1214" s="2" t="str">
        <f>HYPERLINK(B1214,"Oppna PDF")</f>
        <v>Oppna PDF</v>
      </c>
      <c r="B1214" t="s">
        <v>3328</v>
      </c>
      <c r="C1214" t="s">
        <v>3332</v>
      </c>
      <c r="D1214" t="s">
        <v>3312</v>
      </c>
      <c r="E1214" t="s">
        <v>3330</v>
      </c>
      <c r="H1214" t="s">
        <v>61</v>
      </c>
      <c r="I1214" t="s">
        <v>3314</v>
      </c>
      <c r="J1214" t="s">
        <v>48</v>
      </c>
      <c r="K1214" t="s">
        <v>49</v>
      </c>
      <c r="L1214" t="s">
        <v>29</v>
      </c>
      <c r="M1214" t="s">
        <v>30</v>
      </c>
      <c r="N1214" t="s">
        <v>31</v>
      </c>
      <c r="Q1214" t="s">
        <v>3325</v>
      </c>
      <c r="R1214" t="s">
        <v>3325</v>
      </c>
    </row>
    <row r="1215" spans="1:18" x14ac:dyDescent="0.3">
      <c r="A1215" s="2" t="str">
        <f>HYPERLINK(B1215,"Oppna PDF")</f>
        <v>Oppna PDF</v>
      </c>
      <c r="B1215" t="s">
        <v>3328</v>
      </c>
      <c r="C1215" t="s">
        <v>3333</v>
      </c>
      <c r="D1215" t="s">
        <v>3312</v>
      </c>
      <c r="E1215" t="s">
        <v>3330</v>
      </c>
      <c r="H1215" t="s">
        <v>61</v>
      </c>
      <c r="I1215" t="s">
        <v>3314</v>
      </c>
      <c r="J1215" t="s">
        <v>48</v>
      </c>
      <c r="K1215" t="s">
        <v>49</v>
      </c>
      <c r="L1215" t="s">
        <v>29</v>
      </c>
      <c r="M1215" t="s">
        <v>30</v>
      </c>
      <c r="N1215" t="s">
        <v>31</v>
      </c>
      <c r="Q1215" t="s">
        <v>3327</v>
      </c>
      <c r="R1215" t="s">
        <v>3327</v>
      </c>
    </row>
    <row r="1216" spans="1:18" x14ac:dyDescent="0.3">
      <c r="A1216" s="2" t="str">
        <f>HYPERLINK(B1216,"Oppna PDF")</f>
        <v>Oppna PDF</v>
      </c>
      <c r="B1216" t="s">
        <v>3334</v>
      </c>
      <c r="C1216" t="s">
        <v>3335</v>
      </c>
      <c r="D1216" t="s">
        <v>3336</v>
      </c>
      <c r="E1216" t="s">
        <v>3337</v>
      </c>
      <c r="H1216" t="s">
        <v>61</v>
      </c>
      <c r="I1216" t="s">
        <v>3314</v>
      </c>
      <c r="J1216" t="s">
        <v>34</v>
      </c>
      <c r="K1216" t="s">
        <v>35</v>
      </c>
      <c r="L1216" t="s">
        <v>29</v>
      </c>
      <c r="M1216" t="s">
        <v>30</v>
      </c>
      <c r="N1216" t="s">
        <v>31</v>
      </c>
      <c r="Q1216" t="s">
        <v>3315</v>
      </c>
      <c r="R1216" t="s">
        <v>3315</v>
      </c>
    </row>
    <row r="1217" spans="1:18" x14ac:dyDescent="0.3">
      <c r="A1217" s="2" t="str">
        <f>HYPERLINK(B1217,"Oppna PDF")</f>
        <v>Oppna PDF</v>
      </c>
      <c r="B1217" t="s">
        <v>3334</v>
      </c>
      <c r="C1217" t="s">
        <v>3338</v>
      </c>
      <c r="D1217" t="s">
        <v>3336</v>
      </c>
      <c r="E1217" t="s">
        <v>3337</v>
      </c>
      <c r="H1217" t="s">
        <v>61</v>
      </c>
      <c r="I1217" t="s">
        <v>3314</v>
      </c>
      <c r="J1217" t="s">
        <v>38</v>
      </c>
      <c r="K1217" t="s">
        <v>39</v>
      </c>
      <c r="L1217" t="s">
        <v>29</v>
      </c>
      <c r="M1217" t="s">
        <v>30</v>
      </c>
      <c r="N1217" t="s">
        <v>31</v>
      </c>
      <c r="Q1217" t="s">
        <v>3317</v>
      </c>
      <c r="R1217" t="s">
        <v>3317</v>
      </c>
    </row>
    <row r="1218" spans="1:18" x14ac:dyDescent="0.3">
      <c r="A1218" s="2" t="str">
        <f>HYPERLINK(B1218,"Oppna PDF")</f>
        <v>Oppna PDF</v>
      </c>
      <c r="B1218" t="s">
        <v>3334</v>
      </c>
      <c r="C1218" t="s">
        <v>3339</v>
      </c>
      <c r="D1218" t="s">
        <v>3336</v>
      </c>
      <c r="E1218" t="s">
        <v>3337</v>
      </c>
      <c r="H1218" t="s">
        <v>61</v>
      </c>
      <c r="I1218" t="s">
        <v>3314</v>
      </c>
      <c r="J1218" t="s">
        <v>91</v>
      </c>
      <c r="K1218" t="s">
        <v>92</v>
      </c>
      <c r="L1218" t="s">
        <v>29</v>
      </c>
      <c r="M1218" t="s">
        <v>30</v>
      </c>
      <c r="N1218" t="s">
        <v>31</v>
      </c>
      <c r="Q1218" t="s">
        <v>3319</v>
      </c>
      <c r="R1218" t="s">
        <v>3319</v>
      </c>
    </row>
    <row r="1219" spans="1:18" x14ac:dyDescent="0.3">
      <c r="A1219" s="2" t="str">
        <f>HYPERLINK(B1219,"Oppna PDF")</f>
        <v>Oppna PDF</v>
      </c>
      <c r="B1219" t="s">
        <v>3340</v>
      </c>
      <c r="C1219" t="s">
        <v>3341</v>
      </c>
      <c r="D1219" t="s">
        <v>3336</v>
      </c>
      <c r="E1219" t="s">
        <v>3342</v>
      </c>
      <c r="H1219" t="s">
        <v>61</v>
      </c>
      <c r="I1219" t="s">
        <v>3314</v>
      </c>
      <c r="J1219" t="s">
        <v>38</v>
      </c>
      <c r="K1219" t="s">
        <v>39</v>
      </c>
      <c r="L1219" t="s">
        <v>29</v>
      </c>
      <c r="M1219" t="s">
        <v>30</v>
      </c>
      <c r="N1219" t="s">
        <v>31</v>
      </c>
      <c r="Q1219" t="s">
        <v>3323</v>
      </c>
      <c r="R1219" t="s">
        <v>3323</v>
      </c>
    </row>
    <row r="1220" spans="1:18" x14ac:dyDescent="0.3">
      <c r="A1220" s="2" t="str">
        <f>HYPERLINK(B1220,"Oppna PDF")</f>
        <v>Oppna PDF</v>
      </c>
      <c r="B1220" t="s">
        <v>3340</v>
      </c>
      <c r="C1220" t="s">
        <v>3343</v>
      </c>
      <c r="D1220" t="s">
        <v>3336</v>
      </c>
      <c r="E1220" t="s">
        <v>3342</v>
      </c>
      <c r="H1220" t="s">
        <v>61</v>
      </c>
      <c r="I1220" t="s">
        <v>3314</v>
      </c>
      <c r="J1220" t="s">
        <v>48</v>
      </c>
      <c r="K1220" t="s">
        <v>49</v>
      </c>
      <c r="L1220" t="s">
        <v>29</v>
      </c>
      <c r="M1220" t="s">
        <v>30</v>
      </c>
      <c r="N1220" t="s">
        <v>31</v>
      </c>
      <c r="Q1220" t="s">
        <v>3325</v>
      </c>
      <c r="R1220" t="s">
        <v>3325</v>
      </c>
    </row>
    <row r="1221" spans="1:18" x14ac:dyDescent="0.3">
      <c r="A1221" s="2" t="str">
        <f>HYPERLINK(B1221,"Oppna PDF")</f>
        <v>Oppna PDF</v>
      </c>
      <c r="B1221" t="s">
        <v>3340</v>
      </c>
      <c r="C1221" t="s">
        <v>3344</v>
      </c>
      <c r="D1221" t="s">
        <v>3336</v>
      </c>
      <c r="E1221" t="s">
        <v>3342</v>
      </c>
      <c r="H1221" t="s">
        <v>61</v>
      </c>
      <c r="I1221" t="s">
        <v>3314</v>
      </c>
      <c r="J1221" t="s">
        <v>48</v>
      </c>
      <c r="K1221" t="s">
        <v>49</v>
      </c>
      <c r="L1221" t="s">
        <v>29</v>
      </c>
      <c r="M1221" t="s">
        <v>30</v>
      </c>
      <c r="N1221" t="s">
        <v>31</v>
      </c>
      <c r="Q1221" t="s">
        <v>3327</v>
      </c>
      <c r="R1221" t="s">
        <v>3327</v>
      </c>
    </row>
    <row r="1222" spans="1:18" x14ac:dyDescent="0.3">
      <c r="A1222" s="2" t="str">
        <f>HYPERLINK(B1222,"Oppna PDF")</f>
        <v>Oppna PDF</v>
      </c>
      <c r="B1222" t="s">
        <v>3345</v>
      </c>
      <c r="C1222" t="s">
        <v>3346</v>
      </c>
      <c r="D1222" t="s">
        <v>3336</v>
      </c>
      <c r="E1222" t="s">
        <v>3347</v>
      </c>
      <c r="H1222" t="s">
        <v>61</v>
      </c>
      <c r="I1222" t="s">
        <v>3314</v>
      </c>
      <c r="J1222" t="s">
        <v>38</v>
      </c>
      <c r="K1222" t="s">
        <v>39</v>
      </c>
      <c r="L1222" t="s">
        <v>29</v>
      </c>
      <c r="M1222" t="s">
        <v>30</v>
      </c>
      <c r="N1222" t="s">
        <v>31</v>
      </c>
      <c r="Q1222" t="s">
        <v>3331</v>
      </c>
      <c r="R1222" t="s">
        <v>3331</v>
      </c>
    </row>
    <row r="1223" spans="1:18" x14ac:dyDescent="0.3">
      <c r="A1223" s="2" t="str">
        <f>HYPERLINK(B1223,"Oppna PDF")</f>
        <v>Oppna PDF</v>
      </c>
      <c r="B1223" t="s">
        <v>3345</v>
      </c>
      <c r="C1223" t="s">
        <v>3348</v>
      </c>
      <c r="D1223" t="s">
        <v>3336</v>
      </c>
      <c r="E1223" t="s">
        <v>3347</v>
      </c>
      <c r="H1223" t="s">
        <v>61</v>
      </c>
      <c r="I1223" t="s">
        <v>3314</v>
      </c>
      <c r="J1223" t="s">
        <v>48</v>
      </c>
      <c r="K1223" t="s">
        <v>49</v>
      </c>
      <c r="L1223" t="s">
        <v>29</v>
      </c>
      <c r="M1223" t="s">
        <v>30</v>
      </c>
      <c r="N1223" t="s">
        <v>31</v>
      </c>
      <c r="Q1223" t="s">
        <v>3325</v>
      </c>
      <c r="R1223" t="s">
        <v>3325</v>
      </c>
    </row>
    <row r="1224" spans="1:18" x14ac:dyDescent="0.3">
      <c r="A1224" s="2" t="str">
        <f>HYPERLINK(B1224,"Oppna PDF")</f>
        <v>Oppna PDF</v>
      </c>
      <c r="B1224" t="s">
        <v>3345</v>
      </c>
      <c r="C1224" t="s">
        <v>3349</v>
      </c>
      <c r="D1224" t="s">
        <v>3336</v>
      </c>
      <c r="E1224" t="s">
        <v>3347</v>
      </c>
      <c r="H1224" t="s">
        <v>61</v>
      </c>
      <c r="I1224" t="s">
        <v>3314</v>
      </c>
      <c r="J1224" t="s">
        <v>48</v>
      </c>
      <c r="K1224" t="s">
        <v>49</v>
      </c>
      <c r="L1224" t="s">
        <v>29</v>
      </c>
      <c r="M1224" t="s">
        <v>30</v>
      </c>
      <c r="N1224" t="s">
        <v>31</v>
      </c>
      <c r="Q1224" t="s">
        <v>3327</v>
      </c>
      <c r="R1224" t="s">
        <v>3327</v>
      </c>
    </row>
    <row r="1225" spans="1:18" x14ac:dyDescent="0.3">
      <c r="A1225" s="2" t="str">
        <f>HYPERLINK(B1225,"Oppna PDF")</f>
        <v>Oppna PDF</v>
      </c>
      <c r="B1225" t="s">
        <v>3350</v>
      </c>
      <c r="C1225" t="s">
        <v>3351</v>
      </c>
      <c r="D1225" t="s">
        <v>3352</v>
      </c>
      <c r="E1225" t="s">
        <v>3353</v>
      </c>
      <c r="F1225" t="s">
        <v>3354</v>
      </c>
      <c r="G1225" t="s">
        <v>3355</v>
      </c>
      <c r="H1225" t="s">
        <v>61</v>
      </c>
      <c r="I1225" t="s">
        <v>3356</v>
      </c>
      <c r="J1225" t="s">
        <v>38</v>
      </c>
      <c r="K1225" t="s">
        <v>39</v>
      </c>
      <c r="L1225" t="s">
        <v>142</v>
      </c>
      <c r="M1225" t="s">
        <v>30</v>
      </c>
      <c r="N1225" t="s">
        <v>31</v>
      </c>
      <c r="Q1225" t="s">
        <v>3357</v>
      </c>
      <c r="R1225" t="s">
        <v>3357</v>
      </c>
    </row>
    <row r="1226" spans="1:18" x14ac:dyDescent="0.3">
      <c r="A1226" s="2" t="str">
        <f>HYPERLINK(B1226,"Oppna PDF")</f>
        <v>Oppna PDF</v>
      </c>
      <c r="B1226" t="s">
        <v>3350</v>
      </c>
      <c r="C1226" t="s">
        <v>3358</v>
      </c>
      <c r="D1226" t="s">
        <v>3352</v>
      </c>
      <c r="E1226" t="s">
        <v>3353</v>
      </c>
      <c r="F1226" t="s">
        <v>3354</v>
      </c>
      <c r="G1226" t="s">
        <v>3355</v>
      </c>
      <c r="H1226" t="s">
        <v>61</v>
      </c>
      <c r="I1226" t="s">
        <v>3356</v>
      </c>
      <c r="J1226" t="s">
        <v>38</v>
      </c>
      <c r="K1226" t="s">
        <v>39</v>
      </c>
      <c r="L1226" t="s">
        <v>142</v>
      </c>
      <c r="M1226" t="s">
        <v>30</v>
      </c>
      <c r="N1226" t="s">
        <v>31</v>
      </c>
      <c r="Q1226" t="s">
        <v>3359</v>
      </c>
      <c r="R1226" t="s">
        <v>3359</v>
      </c>
    </row>
    <row r="1227" spans="1:18" x14ac:dyDescent="0.3">
      <c r="A1227" s="2" t="str">
        <f>HYPERLINK(B1227,"Oppna PDF")</f>
        <v>Oppna PDF</v>
      </c>
      <c r="B1227" t="s">
        <v>3350</v>
      </c>
      <c r="C1227" t="s">
        <v>3360</v>
      </c>
      <c r="D1227" t="s">
        <v>3352</v>
      </c>
      <c r="E1227" t="s">
        <v>3353</v>
      </c>
      <c r="F1227" t="s">
        <v>3354</v>
      </c>
      <c r="G1227" t="s">
        <v>3355</v>
      </c>
      <c r="H1227" t="s">
        <v>61</v>
      </c>
      <c r="I1227" t="s">
        <v>3356</v>
      </c>
      <c r="J1227" t="s">
        <v>48</v>
      </c>
      <c r="K1227" t="s">
        <v>49</v>
      </c>
      <c r="L1227" t="s">
        <v>142</v>
      </c>
      <c r="M1227" t="s">
        <v>30</v>
      </c>
      <c r="N1227" t="s">
        <v>31</v>
      </c>
      <c r="Q1227" t="s">
        <v>3361</v>
      </c>
      <c r="R1227" t="s">
        <v>3361</v>
      </c>
    </row>
    <row r="1228" spans="1:18" x14ac:dyDescent="0.3">
      <c r="A1228" s="2" t="str">
        <f>HYPERLINK(B1228,"Oppna PDF")</f>
        <v>Oppna PDF</v>
      </c>
      <c r="B1228" t="s">
        <v>3362</v>
      </c>
      <c r="C1228" t="s">
        <v>3363</v>
      </c>
      <c r="D1228" t="s">
        <v>3352</v>
      </c>
      <c r="E1228" t="s">
        <v>3364</v>
      </c>
      <c r="F1228" t="s">
        <v>3354</v>
      </c>
      <c r="G1228" t="s">
        <v>3355</v>
      </c>
      <c r="H1228" t="s">
        <v>61</v>
      </c>
      <c r="I1228" t="s">
        <v>3356</v>
      </c>
      <c r="J1228" t="s">
        <v>91</v>
      </c>
      <c r="K1228" t="s">
        <v>92</v>
      </c>
      <c r="L1228" t="s">
        <v>29</v>
      </c>
      <c r="M1228" t="s">
        <v>30</v>
      </c>
      <c r="N1228" t="s">
        <v>31</v>
      </c>
      <c r="Q1228" t="s">
        <v>3365</v>
      </c>
      <c r="R1228" t="s">
        <v>3366</v>
      </c>
    </row>
    <row r="1229" spans="1:18" x14ac:dyDescent="0.3">
      <c r="A1229" s="2" t="str">
        <f>HYPERLINK(B1229,"Oppna PDF")</f>
        <v>Oppna PDF</v>
      </c>
      <c r="B1229" t="s">
        <v>3367</v>
      </c>
      <c r="C1229" t="s">
        <v>3368</v>
      </c>
      <c r="D1229" t="s">
        <v>3352</v>
      </c>
      <c r="E1229" t="s">
        <v>3369</v>
      </c>
      <c r="F1229" t="s">
        <v>3354</v>
      </c>
      <c r="G1229" t="s">
        <v>3355</v>
      </c>
      <c r="H1229" t="s">
        <v>61</v>
      </c>
      <c r="I1229" t="s">
        <v>3356</v>
      </c>
      <c r="J1229" t="s">
        <v>38</v>
      </c>
      <c r="K1229" t="s">
        <v>39</v>
      </c>
      <c r="L1229" t="s">
        <v>29</v>
      </c>
      <c r="M1229" t="s">
        <v>30</v>
      </c>
      <c r="N1229" t="s">
        <v>31</v>
      </c>
      <c r="Q1229" t="s">
        <v>3370</v>
      </c>
      <c r="R1229" t="s">
        <v>3370</v>
      </c>
    </row>
    <row r="1230" spans="1:18" x14ac:dyDescent="0.3">
      <c r="A1230" s="2" t="str">
        <f>HYPERLINK(B1230,"Oppna PDF")</f>
        <v>Oppna PDF</v>
      </c>
      <c r="B1230" t="s">
        <v>3367</v>
      </c>
      <c r="C1230" t="s">
        <v>3371</v>
      </c>
      <c r="D1230" t="s">
        <v>3352</v>
      </c>
      <c r="E1230" t="s">
        <v>3369</v>
      </c>
      <c r="F1230" t="s">
        <v>3354</v>
      </c>
      <c r="G1230" t="s">
        <v>3355</v>
      </c>
      <c r="H1230" t="s">
        <v>61</v>
      </c>
      <c r="I1230" t="s">
        <v>3356</v>
      </c>
      <c r="J1230" t="s">
        <v>34</v>
      </c>
      <c r="K1230" t="s">
        <v>35</v>
      </c>
      <c r="L1230" t="s">
        <v>29</v>
      </c>
      <c r="M1230" t="s">
        <v>30</v>
      </c>
      <c r="N1230" t="s">
        <v>31</v>
      </c>
      <c r="Q1230" t="s">
        <v>3372</v>
      </c>
      <c r="R1230" t="s">
        <v>3372</v>
      </c>
    </row>
    <row r="1231" spans="1:18" x14ac:dyDescent="0.3">
      <c r="A1231" s="2" t="str">
        <f>HYPERLINK(B1231,"Oppna PDF")</f>
        <v>Oppna PDF</v>
      </c>
      <c r="B1231" t="s">
        <v>3367</v>
      </c>
      <c r="C1231" t="s">
        <v>3373</v>
      </c>
      <c r="D1231" t="s">
        <v>3352</v>
      </c>
      <c r="E1231" t="s">
        <v>3369</v>
      </c>
      <c r="F1231" t="s">
        <v>3354</v>
      </c>
      <c r="G1231" t="s">
        <v>3355</v>
      </c>
      <c r="H1231" t="s">
        <v>61</v>
      </c>
      <c r="I1231" t="s">
        <v>3356</v>
      </c>
      <c r="J1231" t="s">
        <v>34</v>
      </c>
      <c r="K1231" t="s">
        <v>35</v>
      </c>
      <c r="L1231" t="s">
        <v>29</v>
      </c>
      <c r="M1231" t="s">
        <v>30</v>
      </c>
      <c r="N1231" t="s">
        <v>31</v>
      </c>
      <c r="Q1231" t="s">
        <v>3374</v>
      </c>
      <c r="R1231" t="s">
        <v>3374</v>
      </c>
    </row>
    <row r="1232" spans="1:18" x14ac:dyDescent="0.3">
      <c r="A1232" s="2" t="str">
        <f>HYPERLINK(B1232,"Oppna PDF")</f>
        <v>Oppna PDF</v>
      </c>
      <c r="B1232" t="s">
        <v>3375</v>
      </c>
      <c r="C1232" t="s">
        <v>3376</v>
      </c>
      <c r="D1232" t="s">
        <v>3352</v>
      </c>
      <c r="E1232" t="s">
        <v>3377</v>
      </c>
      <c r="F1232" t="s">
        <v>3354</v>
      </c>
      <c r="G1232" t="s">
        <v>3355</v>
      </c>
      <c r="H1232" t="s">
        <v>61</v>
      </c>
      <c r="I1232" t="s">
        <v>3356</v>
      </c>
      <c r="J1232" t="s">
        <v>34</v>
      </c>
      <c r="K1232" t="s">
        <v>35</v>
      </c>
      <c r="L1232" t="s">
        <v>300</v>
      </c>
      <c r="M1232" t="s">
        <v>30</v>
      </c>
      <c r="N1232" t="s">
        <v>31</v>
      </c>
      <c r="Q1232" t="s">
        <v>3378</v>
      </c>
      <c r="R1232" t="s">
        <v>3378</v>
      </c>
    </row>
    <row r="1233" spans="1:18" x14ac:dyDescent="0.3">
      <c r="A1233" s="2" t="str">
        <f>HYPERLINK(B1233,"Oppna PDF")</f>
        <v>Oppna PDF</v>
      </c>
      <c r="B1233" t="s">
        <v>3379</v>
      </c>
      <c r="C1233" t="s">
        <v>3380</v>
      </c>
      <c r="D1233" t="s">
        <v>3352</v>
      </c>
      <c r="E1233" t="s">
        <v>3381</v>
      </c>
      <c r="F1233" t="s">
        <v>3354</v>
      </c>
      <c r="G1233" t="s">
        <v>3355</v>
      </c>
      <c r="H1233" t="s">
        <v>61</v>
      </c>
      <c r="I1233" t="s">
        <v>3356</v>
      </c>
      <c r="J1233" t="s">
        <v>34</v>
      </c>
      <c r="K1233" t="s">
        <v>35</v>
      </c>
      <c r="L1233" t="s">
        <v>300</v>
      </c>
      <c r="M1233" t="s">
        <v>30</v>
      </c>
      <c r="N1233" t="s">
        <v>31</v>
      </c>
      <c r="Q1233" t="s">
        <v>3382</v>
      </c>
      <c r="R1233" t="s">
        <v>3382</v>
      </c>
    </row>
    <row r="1234" spans="1:18" x14ac:dyDescent="0.3">
      <c r="A1234" s="2" t="str">
        <f>HYPERLINK(B1234,"Oppna PDF")</f>
        <v>Oppna PDF</v>
      </c>
      <c r="B1234" t="s">
        <v>3383</v>
      </c>
      <c r="C1234" t="s">
        <v>3384</v>
      </c>
      <c r="D1234" t="s">
        <v>3385</v>
      </c>
      <c r="E1234" t="s">
        <v>3386</v>
      </c>
      <c r="F1234" t="s">
        <v>3354</v>
      </c>
      <c r="G1234" t="s">
        <v>3355</v>
      </c>
      <c r="H1234" t="s">
        <v>61</v>
      </c>
      <c r="I1234" t="s">
        <v>3356</v>
      </c>
      <c r="J1234" t="s">
        <v>38</v>
      </c>
      <c r="K1234" t="s">
        <v>39</v>
      </c>
      <c r="L1234" t="s">
        <v>142</v>
      </c>
      <c r="M1234" t="s">
        <v>30</v>
      </c>
      <c r="N1234" t="s">
        <v>31</v>
      </c>
      <c r="Q1234" t="s">
        <v>3357</v>
      </c>
      <c r="R1234" t="s">
        <v>3357</v>
      </c>
    </row>
    <row r="1235" spans="1:18" x14ac:dyDescent="0.3">
      <c r="A1235" s="2" t="str">
        <f>HYPERLINK(B1235,"Oppna PDF")</f>
        <v>Oppna PDF</v>
      </c>
      <c r="B1235" t="s">
        <v>3383</v>
      </c>
      <c r="C1235" t="s">
        <v>3387</v>
      </c>
      <c r="D1235" t="s">
        <v>3385</v>
      </c>
      <c r="E1235" t="s">
        <v>3386</v>
      </c>
      <c r="F1235" t="s">
        <v>3354</v>
      </c>
      <c r="G1235" t="s">
        <v>3355</v>
      </c>
      <c r="H1235" t="s">
        <v>61</v>
      </c>
      <c r="I1235" t="s">
        <v>3356</v>
      </c>
      <c r="J1235" t="s">
        <v>38</v>
      </c>
      <c r="K1235" t="s">
        <v>39</v>
      </c>
      <c r="L1235" t="s">
        <v>142</v>
      </c>
      <c r="M1235" t="s">
        <v>30</v>
      </c>
      <c r="N1235" t="s">
        <v>31</v>
      </c>
      <c r="Q1235" t="s">
        <v>3359</v>
      </c>
      <c r="R1235" t="s">
        <v>3359</v>
      </c>
    </row>
    <row r="1236" spans="1:18" x14ac:dyDescent="0.3">
      <c r="A1236" s="2" t="str">
        <f>HYPERLINK(B1236,"Oppna PDF")</f>
        <v>Oppna PDF</v>
      </c>
      <c r="B1236" t="s">
        <v>3383</v>
      </c>
      <c r="C1236" t="s">
        <v>3388</v>
      </c>
      <c r="D1236" t="s">
        <v>3385</v>
      </c>
      <c r="E1236" t="s">
        <v>3386</v>
      </c>
      <c r="F1236" t="s">
        <v>3354</v>
      </c>
      <c r="G1236" t="s">
        <v>3355</v>
      </c>
      <c r="H1236" t="s">
        <v>61</v>
      </c>
      <c r="I1236" t="s">
        <v>3356</v>
      </c>
      <c r="J1236" t="s">
        <v>48</v>
      </c>
      <c r="K1236" t="s">
        <v>49</v>
      </c>
      <c r="L1236" t="s">
        <v>142</v>
      </c>
      <c r="M1236" t="s">
        <v>30</v>
      </c>
      <c r="N1236" t="s">
        <v>31</v>
      </c>
      <c r="Q1236" t="s">
        <v>3361</v>
      </c>
      <c r="R1236" t="s">
        <v>3361</v>
      </c>
    </row>
    <row r="1237" spans="1:18" x14ac:dyDescent="0.3">
      <c r="A1237" s="2" t="str">
        <f>HYPERLINK(B1237,"Oppna PDF")</f>
        <v>Oppna PDF</v>
      </c>
      <c r="B1237" t="s">
        <v>3389</v>
      </c>
      <c r="C1237" t="s">
        <v>3390</v>
      </c>
      <c r="D1237" t="s">
        <v>3385</v>
      </c>
      <c r="E1237" t="s">
        <v>3391</v>
      </c>
      <c r="F1237" t="s">
        <v>3354</v>
      </c>
      <c r="G1237" t="s">
        <v>3355</v>
      </c>
      <c r="H1237" t="s">
        <v>61</v>
      </c>
      <c r="I1237" t="s">
        <v>3356</v>
      </c>
      <c r="J1237" t="s">
        <v>91</v>
      </c>
      <c r="K1237" t="s">
        <v>92</v>
      </c>
      <c r="L1237" t="s">
        <v>29</v>
      </c>
      <c r="M1237" t="s">
        <v>30</v>
      </c>
      <c r="N1237" t="s">
        <v>31</v>
      </c>
      <c r="Q1237" t="s">
        <v>3365</v>
      </c>
      <c r="R1237" t="s">
        <v>3366</v>
      </c>
    </row>
    <row r="1238" spans="1:18" x14ac:dyDescent="0.3">
      <c r="A1238" s="2" t="str">
        <f>HYPERLINK(B1238,"Oppna PDF")</f>
        <v>Oppna PDF</v>
      </c>
      <c r="B1238" t="s">
        <v>3392</v>
      </c>
      <c r="C1238" t="s">
        <v>3393</v>
      </c>
      <c r="D1238" t="s">
        <v>3385</v>
      </c>
      <c r="E1238" t="s">
        <v>3394</v>
      </c>
      <c r="F1238" t="s">
        <v>3354</v>
      </c>
      <c r="G1238" t="s">
        <v>3355</v>
      </c>
      <c r="H1238" t="s">
        <v>61</v>
      </c>
      <c r="I1238" t="s">
        <v>3356</v>
      </c>
      <c r="J1238" t="s">
        <v>38</v>
      </c>
      <c r="K1238" t="s">
        <v>39</v>
      </c>
      <c r="L1238" t="s">
        <v>29</v>
      </c>
      <c r="M1238" t="s">
        <v>30</v>
      </c>
      <c r="N1238" t="s">
        <v>31</v>
      </c>
      <c r="Q1238" t="s">
        <v>3370</v>
      </c>
      <c r="R1238" t="s">
        <v>3370</v>
      </c>
    </row>
    <row r="1239" spans="1:18" x14ac:dyDescent="0.3">
      <c r="A1239" s="2" t="str">
        <f>HYPERLINK(B1239,"Oppna PDF")</f>
        <v>Oppna PDF</v>
      </c>
      <c r="B1239" t="s">
        <v>3392</v>
      </c>
      <c r="C1239" t="s">
        <v>3395</v>
      </c>
      <c r="D1239" t="s">
        <v>3385</v>
      </c>
      <c r="E1239" t="s">
        <v>3394</v>
      </c>
      <c r="F1239" t="s">
        <v>3354</v>
      </c>
      <c r="G1239" t="s">
        <v>3355</v>
      </c>
      <c r="H1239" t="s">
        <v>61</v>
      </c>
      <c r="I1239" t="s">
        <v>3356</v>
      </c>
      <c r="J1239" t="s">
        <v>34</v>
      </c>
      <c r="K1239" t="s">
        <v>35</v>
      </c>
      <c r="L1239" t="s">
        <v>29</v>
      </c>
      <c r="M1239" t="s">
        <v>30</v>
      </c>
      <c r="N1239" t="s">
        <v>31</v>
      </c>
      <c r="Q1239" t="s">
        <v>3372</v>
      </c>
      <c r="R1239" t="s">
        <v>3372</v>
      </c>
    </row>
    <row r="1240" spans="1:18" x14ac:dyDescent="0.3">
      <c r="A1240" s="2" t="str">
        <f>HYPERLINK(B1240,"Oppna PDF")</f>
        <v>Oppna PDF</v>
      </c>
      <c r="B1240" t="s">
        <v>3392</v>
      </c>
      <c r="C1240" t="s">
        <v>3396</v>
      </c>
      <c r="D1240" t="s">
        <v>3385</v>
      </c>
      <c r="E1240" t="s">
        <v>3394</v>
      </c>
      <c r="F1240" t="s">
        <v>3354</v>
      </c>
      <c r="G1240" t="s">
        <v>3355</v>
      </c>
      <c r="H1240" t="s">
        <v>61</v>
      </c>
      <c r="I1240" t="s">
        <v>3356</v>
      </c>
      <c r="J1240" t="s">
        <v>34</v>
      </c>
      <c r="K1240" t="s">
        <v>35</v>
      </c>
      <c r="L1240" t="s">
        <v>29</v>
      </c>
      <c r="M1240" t="s">
        <v>30</v>
      </c>
      <c r="N1240" t="s">
        <v>31</v>
      </c>
      <c r="Q1240" t="s">
        <v>3374</v>
      </c>
      <c r="R1240" t="s">
        <v>3374</v>
      </c>
    </row>
    <row r="1241" spans="1:18" x14ac:dyDescent="0.3">
      <c r="A1241" s="2" t="str">
        <f>HYPERLINK(B1241,"Oppna PDF")</f>
        <v>Oppna PDF</v>
      </c>
      <c r="B1241" t="s">
        <v>3397</v>
      </c>
      <c r="C1241" t="s">
        <v>3398</v>
      </c>
      <c r="D1241" t="s">
        <v>3385</v>
      </c>
      <c r="E1241" t="s">
        <v>3399</v>
      </c>
      <c r="F1241" t="s">
        <v>3354</v>
      </c>
      <c r="G1241" t="s">
        <v>3355</v>
      </c>
      <c r="H1241" t="s">
        <v>61</v>
      </c>
      <c r="I1241" t="s">
        <v>3356</v>
      </c>
      <c r="J1241" t="s">
        <v>34</v>
      </c>
      <c r="K1241" t="s">
        <v>35</v>
      </c>
      <c r="L1241" t="s">
        <v>300</v>
      </c>
      <c r="M1241" t="s">
        <v>30</v>
      </c>
      <c r="N1241" t="s">
        <v>31</v>
      </c>
      <c r="Q1241" t="s">
        <v>3378</v>
      </c>
      <c r="R1241" t="s">
        <v>3378</v>
      </c>
    </row>
    <row r="1242" spans="1:18" x14ac:dyDescent="0.3">
      <c r="A1242" s="2" t="str">
        <f>HYPERLINK(B1242,"Oppna PDF")</f>
        <v>Oppna PDF</v>
      </c>
      <c r="B1242" t="s">
        <v>3400</v>
      </c>
      <c r="C1242" t="s">
        <v>3401</v>
      </c>
      <c r="D1242" t="s">
        <v>3385</v>
      </c>
      <c r="E1242" t="s">
        <v>3402</v>
      </c>
      <c r="F1242" t="s">
        <v>3354</v>
      </c>
      <c r="G1242" t="s">
        <v>3355</v>
      </c>
      <c r="H1242" t="s">
        <v>61</v>
      </c>
      <c r="I1242" t="s">
        <v>3356</v>
      </c>
      <c r="J1242" t="s">
        <v>34</v>
      </c>
      <c r="K1242" t="s">
        <v>35</v>
      </c>
      <c r="L1242" t="s">
        <v>300</v>
      </c>
      <c r="M1242" t="s">
        <v>30</v>
      </c>
      <c r="N1242" t="s">
        <v>31</v>
      </c>
      <c r="Q1242" t="s">
        <v>3382</v>
      </c>
      <c r="R1242" t="s">
        <v>3382</v>
      </c>
    </row>
    <row r="1243" spans="1:18" x14ac:dyDescent="0.3">
      <c r="A1243" s="2" t="str">
        <f>HYPERLINK(B1243,"Oppna PDF")</f>
        <v>Oppna PDF</v>
      </c>
      <c r="B1243" t="s">
        <v>3403</v>
      </c>
      <c r="C1243" t="s">
        <v>3404</v>
      </c>
      <c r="D1243" t="s">
        <v>3405</v>
      </c>
      <c r="E1243" t="s">
        <v>3406</v>
      </c>
      <c r="F1243" t="s">
        <v>3407</v>
      </c>
      <c r="G1243" t="s">
        <v>3408</v>
      </c>
      <c r="H1243" t="s">
        <v>61</v>
      </c>
      <c r="I1243" t="s">
        <v>3409</v>
      </c>
      <c r="J1243" t="s">
        <v>87</v>
      </c>
      <c r="K1243" t="s">
        <v>88</v>
      </c>
      <c r="L1243" t="s">
        <v>300</v>
      </c>
      <c r="M1243" t="s">
        <v>30</v>
      </c>
      <c r="N1243" t="s">
        <v>31</v>
      </c>
      <c r="Q1243" t="s">
        <v>3410</v>
      </c>
      <c r="R1243" t="s">
        <v>3410</v>
      </c>
    </row>
    <row r="1244" spans="1:18" x14ac:dyDescent="0.3">
      <c r="A1244" s="2" t="str">
        <f>HYPERLINK(B1244,"Oppna PDF")</f>
        <v>Oppna PDF</v>
      </c>
      <c r="B1244" t="s">
        <v>3403</v>
      </c>
      <c r="C1244" t="s">
        <v>3411</v>
      </c>
      <c r="D1244" t="s">
        <v>3405</v>
      </c>
      <c r="E1244" t="s">
        <v>3406</v>
      </c>
      <c r="F1244" t="s">
        <v>3407</v>
      </c>
      <c r="G1244" t="s">
        <v>3408</v>
      </c>
      <c r="H1244" t="s">
        <v>61</v>
      </c>
      <c r="I1244" t="s">
        <v>3409</v>
      </c>
      <c r="J1244" t="s">
        <v>91</v>
      </c>
      <c r="K1244" t="s">
        <v>92</v>
      </c>
      <c r="L1244" t="s">
        <v>29</v>
      </c>
      <c r="M1244" t="s">
        <v>30</v>
      </c>
      <c r="N1244" t="s">
        <v>31</v>
      </c>
      <c r="Q1244" t="s">
        <v>3412</v>
      </c>
      <c r="R1244" t="s">
        <v>3412</v>
      </c>
    </row>
    <row r="1245" spans="1:18" x14ac:dyDescent="0.3">
      <c r="A1245" s="2" t="str">
        <f>HYPERLINK(B1245,"Oppna PDF")</f>
        <v>Oppna PDF</v>
      </c>
      <c r="B1245" t="s">
        <v>3403</v>
      </c>
      <c r="C1245" t="s">
        <v>3413</v>
      </c>
      <c r="D1245" t="s">
        <v>3405</v>
      </c>
      <c r="E1245" t="s">
        <v>3406</v>
      </c>
      <c r="F1245" t="s">
        <v>3407</v>
      </c>
      <c r="G1245" t="s">
        <v>3408</v>
      </c>
      <c r="H1245" t="s">
        <v>61</v>
      </c>
      <c r="I1245" t="s">
        <v>3409</v>
      </c>
      <c r="J1245" t="s">
        <v>48</v>
      </c>
      <c r="K1245" t="s">
        <v>49</v>
      </c>
      <c r="L1245" t="s">
        <v>29</v>
      </c>
      <c r="M1245" t="s">
        <v>30</v>
      </c>
      <c r="N1245" t="s">
        <v>31</v>
      </c>
      <c r="Q1245" t="s">
        <v>3414</v>
      </c>
      <c r="R1245" t="s">
        <v>3414</v>
      </c>
    </row>
    <row r="1246" spans="1:18" x14ac:dyDescent="0.3">
      <c r="A1246" s="2" t="str">
        <f>HYPERLINK(B1246,"Oppna PDF")</f>
        <v>Oppna PDF</v>
      </c>
      <c r="B1246" t="s">
        <v>3415</v>
      </c>
      <c r="C1246" t="s">
        <v>3416</v>
      </c>
      <c r="D1246" t="s">
        <v>3417</v>
      </c>
      <c r="E1246" t="s">
        <v>3418</v>
      </c>
      <c r="F1246" t="s">
        <v>3407</v>
      </c>
      <c r="G1246" t="s">
        <v>3408</v>
      </c>
      <c r="H1246" t="s">
        <v>61</v>
      </c>
      <c r="I1246" t="s">
        <v>3409</v>
      </c>
      <c r="J1246" t="s">
        <v>87</v>
      </c>
      <c r="K1246" t="s">
        <v>88</v>
      </c>
      <c r="L1246" t="s">
        <v>300</v>
      </c>
      <c r="M1246" t="s">
        <v>30</v>
      </c>
      <c r="N1246" t="s">
        <v>31</v>
      </c>
      <c r="Q1246" t="s">
        <v>3410</v>
      </c>
      <c r="R1246" t="s">
        <v>3410</v>
      </c>
    </row>
    <row r="1247" spans="1:18" x14ac:dyDescent="0.3">
      <c r="A1247" s="2" t="str">
        <f>HYPERLINK(B1247,"Oppna PDF")</f>
        <v>Oppna PDF</v>
      </c>
      <c r="B1247" t="s">
        <v>3415</v>
      </c>
      <c r="C1247" t="s">
        <v>3419</v>
      </c>
      <c r="D1247" t="s">
        <v>3417</v>
      </c>
      <c r="E1247" t="s">
        <v>3418</v>
      </c>
      <c r="F1247" t="s">
        <v>3407</v>
      </c>
      <c r="G1247" t="s">
        <v>3408</v>
      </c>
      <c r="H1247" t="s">
        <v>61</v>
      </c>
      <c r="I1247" t="s">
        <v>3409</v>
      </c>
      <c r="J1247" t="s">
        <v>91</v>
      </c>
      <c r="K1247" t="s">
        <v>92</v>
      </c>
      <c r="L1247" t="s">
        <v>29</v>
      </c>
      <c r="M1247" t="s">
        <v>30</v>
      </c>
      <c r="N1247" t="s">
        <v>31</v>
      </c>
      <c r="Q1247" t="s">
        <v>3412</v>
      </c>
      <c r="R1247" t="s">
        <v>3412</v>
      </c>
    </row>
    <row r="1248" spans="1:18" x14ac:dyDescent="0.3">
      <c r="A1248" s="2" t="str">
        <f>HYPERLINK(B1248,"Oppna PDF")</f>
        <v>Oppna PDF</v>
      </c>
      <c r="B1248" t="s">
        <v>3415</v>
      </c>
      <c r="C1248" t="s">
        <v>3420</v>
      </c>
      <c r="D1248" t="s">
        <v>3417</v>
      </c>
      <c r="E1248" t="s">
        <v>3418</v>
      </c>
      <c r="F1248" t="s">
        <v>3407</v>
      </c>
      <c r="G1248" t="s">
        <v>3408</v>
      </c>
      <c r="H1248" t="s">
        <v>61</v>
      </c>
      <c r="I1248" t="s">
        <v>3409</v>
      </c>
      <c r="J1248" t="s">
        <v>48</v>
      </c>
      <c r="K1248" t="s">
        <v>49</v>
      </c>
      <c r="L1248" t="s">
        <v>29</v>
      </c>
      <c r="M1248" t="s">
        <v>30</v>
      </c>
      <c r="N1248" t="s">
        <v>31</v>
      </c>
      <c r="Q1248" t="s">
        <v>3414</v>
      </c>
      <c r="R1248" t="s">
        <v>3414</v>
      </c>
    </row>
    <row r="1249" spans="1:18" x14ac:dyDescent="0.3">
      <c r="A1249" s="2" t="str">
        <f>HYPERLINK(B1249,"Oppna PDF")</f>
        <v>Oppna PDF</v>
      </c>
      <c r="B1249" t="s">
        <v>3421</v>
      </c>
      <c r="C1249" t="s">
        <v>3422</v>
      </c>
      <c r="D1249" t="s">
        <v>3423</v>
      </c>
      <c r="E1249" t="s">
        <v>3424</v>
      </c>
      <c r="H1249" t="s">
        <v>268</v>
      </c>
      <c r="I1249" t="s">
        <v>3425</v>
      </c>
      <c r="J1249" t="s">
        <v>34</v>
      </c>
      <c r="K1249" t="s">
        <v>35</v>
      </c>
      <c r="L1249" t="s">
        <v>29</v>
      </c>
      <c r="M1249" t="s">
        <v>30</v>
      </c>
      <c r="N1249" t="s">
        <v>31</v>
      </c>
      <c r="Q1249" t="s">
        <v>3426</v>
      </c>
      <c r="R1249" t="s">
        <v>3426</v>
      </c>
    </row>
    <row r="1250" spans="1:18" x14ac:dyDescent="0.3">
      <c r="A1250" s="2" t="str">
        <f>HYPERLINK(B1250,"Oppna PDF")</f>
        <v>Oppna PDF</v>
      </c>
      <c r="B1250" t="s">
        <v>3421</v>
      </c>
      <c r="C1250" t="s">
        <v>3427</v>
      </c>
      <c r="D1250" t="s">
        <v>3423</v>
      </c>
      <c r="E1250" t="s">
        <v>3424</v>
      </c>
      <c r="H1250" t="s">
        <v>268</v>
      </c>
      <c r="I1250" t="s">
        <v>3425</v>
      </c>
      <c r="J1250" t="s">
        <v>34</v>
      </c>
      <c r="K1250" t="s">
        <v>35</v>
      </c>
      <c r="L1250" t="s">
        <v>29</v>
      </c>
      <c r="M1250" t="s">
        <v>30</v>
      </c>
      <c r="N1250" t="s">
        <v>31</v>
      </c>
      <c r="Q1250" t="s">
        <v>3428</v>
      </c>
      <c r="R1250" t="s">
        <v>3429</v>
      </c>
    </row>
    <row r="1251" spans="1:18" x14ac:dyDescent="0.3">
      <c r="A1251" s="2" t="str">
        <f>HYPERLINK(B1251,"Oppna PDF")</f>
        <v>Oppna PDF</v>
      </c>
      <c r="B1251" t="s">
        <v>3421</v>
      </c>
      <c r="C1251" t="s">
        <v>3430</v>
      </c>
      <c r="D1251" t="s">
        <v>3423</v>
      </c>
      <c r="E1251" t="s">
        <v>3424</v>
      </c>
      <c r="H1251" t="s">
        <v>268</v>
      </c>
      <c r="I1251" t="s">
        <v>3425</v>
      </c>
      <c r="J1251" t="s">
        <v>27</v>
      </c>
      <c r="K1251" t="s">
        <v>28</v>
      </c>
      <c r="L1251" t="s">
        <v>29</v>
      </c>
      <c r="M1251" t="s">
        <v>30</v>
      </c>
      <c r="N1251" t="s">
        <v>31</v>
      </c>
      <c r="Q1251" t="s">
        <v>3431</v>
      </c>
      <c r="R1251" t="s">
        <v>3431</v>
      </c>
    </row>
    <row r="1252" spans="1:18" x14ac:dyDescent="0.3">
      <c r="A1252" s="2" t="str">
        <f>HYPERLINK(B1252,"Oppna PDF")</f>
        <v>Oppna PDF</v>
      </c>
      <c r="B1252" t="s">
        <v>3432</v>
      </c>
      <c r="C1252" t="s">
        <v>3433</v>
      </c>
      <c r="D1252" t="s">
        <v>3423</v>
      </c>
      <c r="E1252" t="s">
        <v>3434</v>
      </c>
      <c r="H1252" t="s">
        <v>268</v>
      </c>
      <c r="I1252" t="s">
        <v>3425</v>
      </c>
      <c r="J1252" t="s">
        <v>38</v>
      </c>
      <c r="K1252" t="s">
        <v>39</v>
      </c>
      <c r="L1252" t="s">
        <v>29</v>
      </c>
      <c r="M1252" t="s">
        <v>30</v>
      </c>
      <c r="N1252" t="s">
        <v>31</v>
      </c>
      <c r="Q1252" t="s">
        <v>3435</v>
      </c>
      <c r="R1252" t="s">
        <v>3435</v>
      </c>
    </row>
    <row r="1253" spans="1:18" x14ac:dyDescent="0.3">
      <c r="A1253" s="2" t="str">
        <f>HYPERLINK(B1253,"Oppna PDF")</f>
        <v>Oppna PDF</v>
      </c>
      <c r="B1253" t="s">
        <v>3432</v>
      </c>
      <c r="C1253" t="s">
        <v>3436</v>
      </c>
      <c r="D1253" t="s">
        <v>3423</v>
      </c>
      <c r="E1253" t="s">
        <v>3434</v>
      </c>
      <c r="H1253" t="s">
        <v>268</v>
      </c>
      <c r="I1253" t="s">
        <v>3425</v>
      </c>
      <c r="J1253" t="s">
        <v>87</v>
      </c>
      <c r="K1253" t="s">
        <v>88</v>
      </c>
      <c r="L1253" t="s">
        <v>29</v>
      </c>
      <c r="M1253" t="s">
        <v>30</v>
      </c>
      <c r="N1253" t="s">
        <v>31</v>
      </c>
      <c r="Q1253" t="s">
        <v>3437</v>
      </c>
      <c r="R1253" t="s">
        <v>3437</v>
      </c>
    </row>
    <row r="1254" spans="1:18" x14ac:dyDescent="0.3">
      <c r="A1254" s="2" t="str">
        <f>HYPERLINK(B1254,"Oppna PDF")</f>
        <v>Oppna PDF</v>
      </c>
      <c r="B1254" t="s">
        <v>3432</v>
      </c>
      <c r="C1254" t="s">
        <v>3438</v>
      </c>
      <c r="D1254" t="s">
        <v>3423</v>
      </c>
      <c r="E1254" t="s">
        <v>3434</v>
      </c>
      <c r="H1254" t="s">
        <v>268</v>
      </c>
      <c r="I1254" t="s">
        <v>3425</v>
      </c>
      <c r="J1254" t="s">
        <v>38</v>
      </c>
      <c r="K1254" t="s">
        <v>39</v>
      </c>
      <c r="L1254" t="s">
        <v>29</v>
      </c>
      <c r="M1254" t="s">
        <v>30</v>
      </c>
      <c r="N1254" t="s">
        <v>31</v>
      </c>
      <c r="Q1254" t="s">
        <v>3439</v>
      </c>
      <c r="R1254" t="s">
        <v>3439</v>
      </c>
    </row>
    <row r="1255" spans="1:18" x14ac:dyDescent="0.3">
      <c r="A1255" s="2" t="str">
        <f>HYPERLINK(B1255,"Oppna PDF")</f>
        <v>Oppna PDF</v>
      </c>
      <c r="B1255" t="s">
        <v>3440</v>
      </c>
      <c r="C1255" t="s">
        <v>3441</v>
      </c>
      <c r="D1255" t="s">
        <v>3423</v>
      </c>
      <c r="E1255" t="s">
        <v>3442</v>
      </c>
      <c r="H1255" t="s">
        <v>268</v>
      </c>
      <c r="I1255" t="s">
        <v>3425</v>
      </c>
      <c r="J1255" t="s">
        <v>91</v>
      </c>
      <c r="K1255" t="s">
        <v>92</v>
      </c>
      <c r="L1255" t="s">
        <v>29</v>
      </c>
      <c r="M1255" t="s">
        <v>30</v>
      </c>
      <c r="N1255" t="s">
        <v>31</v>
      </c>
      <c r="Q1255" t="s">
        <v>3443</v>
      </c>
      <c r="R1255" t="s">
        <v>3443</v>
      </c>
    </row>
    <row r="1256" spans="1:18" x14ac:dyDescent="0.3">
      <c r="A1256" s="2" t="str">
        <f>HYPERLINK(B1256,"Oppna PDF")</f>
        <v>Oppna PDF</v>
      </c>
      <c r="B1256" t="s">
        <v>3440</v>
      </c>
      <c r="C1256" t="s">
        <v>3444</v>
      </c>
      <c r="D1256" t="s">
        <v>3423</v>
      </c>
      <c r="E1256" t="s">
        <v>3442</v>
      </c>
      <c r="H1256" t="s">
        <v>268</v>
      </c>
      <c r="I1256" t="s">
        <v>3425</v>
      </c>
      <c r="J1256" t="s">
        <v>91</v>
      </c>
      <c r="K1256" t="s">
        <v>92</v>
      </c>
      <c r="L1256" t="s">
        <v>29</v>
      </c>
      <c r="M1256" t="s">
        <v>30</v>
      </c>
      <c r="N1256" t="s">
        <v>31</v>
      </c>
      <c r="Q1256" t="s">
        <v>3445</v>
      </c>
      <c r="R1256" t="s">
        <v>3445</v>
      </c>
    </row>
    <row r="1257" spans="1:18" x14ac:dyDescent="0.3">
      <c r="A1257" s="2" t="str">
        <f>HYPERLINK(B1257,"Oppna PDF")</f>
        <v>Oppna PDF</v>
      </c>
      <c r="B1257" t="s">
        <v>3440</v>
      </c>
      <c r="C1257" t="s">
        <v>3446</v>
      </c>
      <c r="D1257" t="s">
        <v>3423</v>
      </c>
      <c r="E1257" t="s">
        <v>3442</v>
      </c>
      <c r="H1257" t="s">
        <v>268</v>
      </c>
      <c r="I1257" t="s">
        <v>3425</v>
      </c>
      <c r="J1257" t="s">
        <v>91</v>
      </c>
      <c r="K1257" t="s">
        <v>92</v>
      </c>
      <c r="L1257" t="s">
        <v>29</v>
      </c>
      <c r="M1257" t="s">
        <v>30</v>
      </c>
      <c r="N1257" t="s">
        <v>31</v>
      </c>
      <c r="Q1257" t="s">
        <v>3447</v>
      </c>
      <c r="R1257" t="s">
        <v>3447</v>
      </c>
    </row>
    <row r="1258" spans="1:18" x14ac:dyDescent="0.3">
      <c r="A1258" s="2" t="str">
        <f>HYPERLINK(B1258,"Oppna PDF")</f>
        <v>Oppna PDF</v>
      </c>
      <c r="B1258" t="s">
        <v>3448</v>
      </c>
      <c r="C1258" t="s">
        <v>3449</v>
      </c>
      <c r="D1258" t="s">
        <v>3423</v>
      </c>
      <c r="E1258" t="s">
        <v>3450</v>
      </c>
      <c r="H1258" t="s">
        <v>268</v>
      </c>
      <c r="I1258" t="s">
        <v>3425</v>
      </c>
      <c r="J1258" t="s">
        <v>91</v>
      </c>
      <c r="K1258" t="s">
        <v>92</v>
      </c>
      <c r="L1258" t="s">
        <v>29</v>
      </c>
      <c r="M1258" t="s">
        <v>30</v>
      </c>
      <c r="N1258" t="s">
        <v>31</v>
      </c>
      <c r="Q1258" t="s">
        <v>3451</v>
      </c>
      <c r="R1258" t="s">
        <v>3451</v>
      </c>
    </row>
    <row r="1259" spans="1:18" x14ac:dyDescent="0.3">
      <c r="A1259" s="2" t="str">
        <f>HYPERLINK(B1259,"Oppna PDF")</f>
        <v>Oppna PDF</v>
      </c>
      <c r="B1259" t="s">
        <v>3448</v>
      </c>
      <c r="C1259" t="s">
        <v>3452</v>
      </c>
      <c r="D1259" t="s">
        <v>3423</v>
      </c>
      <c r="E1259" t="s">
        <v>3450</v>
      </c>
      <c r="H1259" t="s">
        <v>268</v>
      </c>
      <c r="I1259" t="s">
        <v>3425</v>
      </c>
      <c r="J1259" t="s">
        <v>91</v>
      </c>
      <c r="K1259" t="s">
        <v>92</v>
      </c>
      <c r="L1259" t="s">
        <v>29</v>
      </c>
      <c r="M1259" t="s">
        <v>30</v>
      </c>
      <c r="N1259" t="s">
        <v>31</v>
      </c>
      <c r="Q1259" t="s">
        <v>3453</v>
      </c>
      <c r="R1259" t="s">
        <v>3453</v>
      </c>
    </row>
    <row r="1260" spans="1:18" x14ac:dyDescent="0.3">
      <c r="A1260" s="2" t="str">
        <f>HYPERLINK(B1260,"Oppna PDF")</f>
        <v>Oppna PDF</v>
      </c>
      <c r="B1260" t="s">
        <v>3448</v>
      </c>
      <c r="C1260" t="s">
        <v>3454</v>
      </c>
      <c r="D1260" t="s">
        <v>3423</v>
      </c>
      <c r="E1260" t="s">
        <v>3450</v>
      </c>
      <c r="H1260" t="s">
        <v>268</v>
      </c>
      <c r="I1260" t="s">
        <v>3425</v>
      </c>
      <c r="J1260" t="s">
        <v>27</v>
      </c>
      <c r="K1260" t="s">
        <v>28</v>
      </c>
      <c r="L1260" t="s">
        <v>29</v>
      </c>
      <c r="M1260" t="s">
        <v>30</v>
      </c>
      <c r="N1260" t="s">
        <v>31</v>
      </c>
      <c r="Q1260" t="s">
        <v>3455</v>
      </c>
      <c r="R1260" t="s">
        <v>3455</v>
      </c>
    </row>
    <row r="1261" spans="1:18" x14ac:dyDescent="0.3">
      <c r="A1261" s="2" t="str">
        <f>HYPERLINK(B1261,"Oppna PDF")</f>
        <v>Oppna PDF</v>
      </c>
      <c r="B1261" t="s">
        <v>3456</v>
      </c>
      <c r="C1261" t="s">
        <v>3457</v>
      </c>
      <c r="D1261" t="s">
        <v>3423</v>
      </c>
      <c r="E1261" t="s">
        <v>3458</v>
      </c>
      <c r="H1261" t="s">
        <v>268</v>
      </c>
      <c r="I1261" t="s">
        <v>3425</v>
      </c>
      <c r="J1261" t="s">
        <v>38</v>
      </c>
      <c r="K1261" t="s">
        <v>39</v>
      </c>
      <c r="L1261" t="s">
        <v>142</v>
      </c>
      <c r="M1261" t="s">
        <v>30</v>
      </c>
      <c r="N1261" t="s">
        <v>31</v>
      </c>
      <c r="Q1261" t="s">
        <v>3459</v>
      </c>
      <c r="R1261" t="s">
        <v>3459</v>
      </c>
    </row>
    <row r="1262" spans="1:18" x14ac:dyDescent="0.3">
      <c r="A1262" s="2" t="str">
        <f>HYPERLINK(B1262,"Oppna PDF")</f>
        <v>Oppna PDF</v>
      </c>
      <c r="B1262" t="s">
        <v>3456</v>
      </c>
      <c r="C1262" t="s">
        <v>3460</v>
      </c>
      <c r="D1262" t="s">
        <v>3423</v>
      </c>
      <c r="E1262" t="s">
        <v>3458</v>
      </c>
      <c r="H1262" t="s">
        <v>268</v>
      </c>
      <c r="I1262" t="s">
        <v>3425</v>
      </c>
      <c r="J1262" t="s">
        <v>48</v>
      </c>
      <c r="K1262" t="s">
        <v>49</v>
      </c>
      <c r="L1262" t="s">
        <v>142</v>
      </c>
      <c r="M1262" t="s">
        <v>30</v>
      </c>
      <c r="N1262" t="s">
        <v>31</v>
      </c>
      <c r="Q1262" t="s">
        <v>3461</v>
      </c>
      <c r="R1262" t="s">
        <v>3461</v>
      </c>
    </row>
    <row r="1263" spans="1:18" x14ac:dyDescent="0.3">
      <c r="A1263" s="2" t="str">
        <f>HYPERLINK(B1263,"Oppna PDF")</f>
        <v>Oppna PDF</v>
      </c>
      <c r="B1263" t="s">
        <v>3456</v>
      </c>
      <c r="C1263" t="s">
        <v>3462</v>
      </c>
      <c r="D1263" t="s">
        <v>3423</v>
      </c>
      <c r="E1263" t="s">
        <v>3458</v>
      </c>
      <c r="H1263" t="s">
        <v>268</v>
      </c>
      <c r="I1263" t="s">
        <v>3425</v>
      </c>
      <c r="J1263" t="s">
        <v>48</v>
      </c>
      <c r="K1263" t="s">
        <v>49</v>
      </c>
      <c r="L1263" t="s">
        <v>142</v>
      </c>
      <c r="M1263" t="s">
        <v>30</v>
      </c>
      <c r="N1263" t="s">
        <v>31</v>
      </c>
      <c r="Q1263" t="s">
        <v>3463</v>
      </c>
      <c r="R1263" t="s">
        <v>3463</v>
      </c>
    </row>
    <row r="1264" spans="1:18" x14ac:dyDescent="0.3">
      <c r="A1264" s="2" t="str">
        <f>HYPERLINK(B1264,"Oppna PDF")</f>
        <v>Oppna PDF</v>
      </c>
      <c r="B1264" t="s">
        <v>3464</v>
      </c>
      <c r="C1264" t="s">
        <v>3465</v>
      </c>
      <c r="D1264" t="s">
        <v>3423</v>
      </c>
      <c r="E1264" t="s">
        <v>3466</v>
      </c>
      <c r="H1264" t="s">
        <v>268</v>
      </c>
      <c r="I1264" t="s">
        <v>3425</v>
      </c>
      <c r="J1264" t="s">
        <v>27</v>
      </c>
      <c r="K1264" t="s">
        <v>28</v>
      </c>
      <c r="L1264" t="s">
        <v>29</v>
      </c>
      <c r="M1264" t="s">
        <v>30</v>
      </c>
      <c r="N1264" t="s">
        <v>31</v>
      </c>
      <c r="Q1264" t="s">
        <v>3467</v>
      </c>
      <c r="R1264" t="s">
        <v>3467</v>
      </c>
    </row>
    <row r="1265" spans="1:18" x14ac:dyDescent="0.3">
      <c r="A1265" s="2" t="str">
        <f>HYPERLINK(B1265,"Oppna PDF")</f>
        <v>Oppna PDF</v>
      </c>
      <c r="B1265" t="s">
        <v>3468</v>
      </c>
      <c r="C1265" t="s">
        <v>3469</v>
      </c>
      <c r="D1265" t="s">
        <v>3423</v>
      </c>
      <c r="E1265" t="s">
        <v>3470</v>
      </c>
      <c r="H1265" t="s">
        <v>268</v>
      </c>
      <c r="I1265" t="s">
        <v>3425</v>
      </c>
      <c r="J1265" t="s">
        <v>87</v>
      </c>
      <c r="K1265" t="s">
        <v>88</v>
      </c>
      <c r="L1265" t="s">
        <v>29</v>
      </c>
      <c r="M1265" t="s">
        <v>30</v>
      </c>
      <c r="N1265" t="s">
        <v>31</v>
      </c>
      <c r="Q1265" t="s">
        <v>3471</v>
      </c>
      <c r="R1265" t="s">
        <v>3471</v>
      </c>
    </row>
    <row r="1266" spans="1:18" x14ac:dyDescent="0.3">
      <c r="A1266" s="2" t="str">
        <f>HYPERLINK(B1266,"Oppna PDF")</f>
        <v>Oppna PDF</v>
      </c>
      <c r="B1266" t="s">
        <v>3468</v>
      </c>
      <c r="C1266" t="s">
        <v>3472</v>
      </c>
      <c r="D1266" t="s">
        <v>3423</v>
      </c>
      <c r="E1266" t="s">
        <v>3470</v>
      </c>
      <c r="H1266" t="s">
        <v>268</v>
      </c>
      <c r="I1266" t="s">
        <v>3425</v>
      </c>
      <c r="J1266" t="s">
        <v>27</v>
      </c>
      <c r="K1266" t="s">
        <v>28</v>
      </c>
      <c r="L1266" t="s">
        <v>29</v>
      </c>
      <c r="M1266" t="s">
        <v>30</v>
      </c>
      <c r="N1266" t="s">
        <v>31</v>
      </c>
      <c r="Q1266" t="s">
        <v>3473</v>
      </c>
      <c r="R1266" t="s">
        <v>3473</v>
      </c>
    </row>
    <row r="1267" spans="1:18" x14ac:dyDescent="0.3">
      <c r="A1267" s="2" t="str">
        <f>HYPERLINK(B1267,"Oppna PDF")</f>
        <v>Oppna PDF</v>
      </c>
      <c r="B1267" t="s">
        <v>3474</v>
      </c>
      <c r="C1267" t="s">
        <v>3475</v>
      </c>
      <c r="D1267" t="s">
        <v>3476</v>
      </c>
      <c r="E1267" t="s">
        <v>3477</v>
      </c>
      <c r="H1267" t="s">
        <v>268</v>
      </c>
      <c r="I1267" t="s">
        <v>3425</v>
      </c>
      <c r="J1267" t="s">
        <v>34</v>
      </c>
      <c r="K1267" t="s">
        <v>35</v>
      </c>
      <c r="L1267" t="s">
        <v>29</v>
      </c>
      <c r="M1267" t="s">
        <v>30</v>
      </c>
      <c r="N1267" t="s">
        <v>31</v>
      </c>
      <c r="Q1267" t="s">
        <v>3426</v>
      </c>
      <c r="R1267" t="s">
        <v>3426</v>
      </c>
    </row>
    <row r="1268" spans="1:18" x14ac:dyDescent="0.3">
      <c r="A1268" s="2" t="str">
        <f>HYPERLINK(B1268,"Oppna PDF")</f>
        <v>Oppna PDF</v>
      </c>
      <c r="B1268" t="s">
        <v>3474</v>
      </c>
      <c r="C1268" t="s">
        <v>3478</v>
      </c>
      <c r="D1268" t="s">
        <v>3476</v>
      </c>
      <c r="E1268" t="s">
        <v>3477</v>
      </c>
      <c r="H1268" t="s">
        <v>268</v>
      </c>
      <c r="I1268" t="s">
        <v>3425</v>
      </c>
      <c r="J1268" t="s">
        <v>34</v>
      </c>
      <c r="K1268" t="s">
        <v>35</v>
      </c>
      <c r="L1268" t="s">
        <v>29</v>
      </c>
      <c r="M1268" t="s">
        <v>30</v>
      </c>
      <c r="N1268" t="s">
        <v>31</v>
      </c>
      <c r="Q1268" t="s">
        <v>3428</v>
      </c>
      <c r="R1268" t="s">
        <v>3429</v>
      </c>
    </row>
    <row r="1269" spans="1:18" x14ac:dyDescent="0.3">
      <c r="A1269" s="2" t="str">
        <f>HYPERLINK(B1269,"Oppna PDF")</f>
        <v>Oppna PDF</v>
      </c>
      <c r="B1269" t="s">
        <v>3474</v>
      </c>
      <c r="C1269" t="s">
        <v>3479</v>
      </c>
      <c r="D1269" t="s">
        <v>3476</v>
      </c>
      <c r="E1269" t="s">
        <v>3477</v>
      </c>
      <c r="H1269" t="s">
        <v>268</v>
      </c>
      <c r="I1269" t="s">
        <v>3425</v>
      </c>
      <c r="J1269" t="s">
        <v>27</v>
      </c>
      <c r="K1269" t="s">
        <v>28</v>
      </c>
      <c r="L1269" t="s">
        <v>29</v>
      </c>
      <c r="M1269" t="s">
        <v>30</v>
      </c>
      <c r="N1269" t="s">
        <v>31</v>
      </c>
      <c r="Q1269" t="s">
        <v>3431</v>
      </c>
      <c r="R1269" t="s">
        <v>3431</v>
      </c>
    </row>
    <row r="1270" spans="1:18" x14ac:dyDescent="0.3">
      <c r="A1270" s="2" t="str">
        <f>HYPERLINK(B1270,"Oppna PDF")</f>
        <v>Oppna PDF</v>
      </c>
      <c r="B1270" t="s">
        <v>3480</v>
      </c>
      <c r="C1270" t="s">
        <v>3481</v>
      </c>
      <c r="D1270" t="s">
        <v>3476</v>
      </c>
      <c r="E1270" t="s">
        <v>3482</v>
      </c>
      <c r="H1270" t="s">
        <v>268</v>
      </c>
      <c r="I1270" t="s">
        <v>3425</v>
      </c>
      <c r="J1270" t="s">
        <v>38</v>
      </c>
      <c r="K1270" t="s">
        <v>39</v>
      </c>
      <c r="L1270" t="s">
        <v>29</v>
      </c>
      <c r="M1270" t="s">
        <v>30</v>
      </c>
      <c r="N1270" t="s">
        <v>31</v>
      </c>
      <c r="Q1270" t="s">
        <v>3435</v>
      </c>
      <c r="R1270" t="s">
        <v>3435</v>
      </c>
    </row>
    <row r="1271" spans="1:18" x14ac:dyDescent="0.3">
      <c r="A1271" s="2" t="str">
        <f>HYPERLINK(B1271,"Oppna PDF")</f>
        <v>Oppna PDF</v>
      </c>
      <c r="B1271" t="s">
        <v>3480</v>
      </c>
      <c r="C1271" t="s">
        <v>3483</v>
      </c>
      <c r="D1271" t="s">
        <v>3476</v>
      </c>
      <c r="E1271" t="s">
        <v>3482</v>
      </c>
      <c r="H1271" t="s">
        <v>268</v>
      </c>
      <c r="I1271" t="s">
        <v>3425</v>
      </c>
      <c r="J1271" t="s">
        <v>87</v>
      </c>
      <c r="K1271" t="s">
        <v>88</v>
      </c>
      <c r="L1271" t="s">
        <v>29</v>
      </c>
      <c r="M1271" t="s">
        <v>30</v>
      </c>
      <c r="N1271" t="s">
        <v>31</v>
      </c>
      <c r="Q1271" t="s">
        <v>3437</v>
      </c>
      <c r="R1271" t="s">
        <v>3437</v>
      </c>
    </row>
    <row r="1272" spans="1:18" x14ac:dyDescent="0.3">
      <c r="A1272" s="2" t="str">
        <f>HYPERLINK(B1272,"Oppna PDF")</f>
        <v>Oppna PDF</v>
      </c>
      <c r="B1272" t="s">
        <v>3480</v>
      </c>
      <c r="C1272" t="s">
        <v>3484</v>
      </c>
      <c r="D1272" t="s">
        <v>3476</v>
      </c>
      <c r="E1272" t="s">
        <v>3482</v>
      </c>
      <c r="H1272" t="s">
        <v>268</v>
      </c>
      <c r="I1272" t="s">
        <v>3425</v>
      </c>
      <c r="J1272" t="s">
        <v>38</v>
      </c>
      <c r="K1272" t="s">
        <v>39</v>
      </c>
      <c r="L1272" t="s">
        <v>29</v>
      </c>
      <c r="M1272" t="s">
        <v>30</v>
      </c>
      <c r="N1272" t="s">
        <v>31</v>
      </c>
      <c r="Q1272" t="s">
        <v>3439</v>
      </c>
      <c r="R1272" t="s">
        <v>3439</v>
      </c>
    </row>
    <row r="1273" spans="1:18" x14ac:dyDescent="0.3">
      <c r="A1273" s="2" t="str">
        <f>HYPERLINK(B1273,"Oppna PDF")</f>
        <v>Oppna PDF</v>
      </c>
      <c r="B1273" t="s">
        <v>3485</v>
      </c>
      <c r="C1273" t="s">
        <v>3486</v>
      </c>
      <c r="D1273" t="s">
        <v>3476</v>
      </c>
      <c r="E1273" t="s">
        <v>3487</v>
      </c>
      <c r="H1273" t="s">
        <v>268</v>
      </c>
      <c r="I1273" t="s">
        <v>3425</v>
      </c>
      <c r="J1273" t="s">
        <v>91</v>
      </c>
      <c r="K1273" t="s">
        <v>92</v>
      </c>
      <c r="L1273" t="s">
        <v>29</v>
      </c>
      <c r="M1273" t="s">
        <v>30</v>
      </c>
      <c r="N1273" t="s">
        <v>31</v>
      </c>
      <c r="Q1273" t="s">
        <v>3443</v>
      </c>
      <c r="R1273" t="s">
        <v>3443</v>
      </c>
    </row>
    <row r="1274" spans="1:18" x14ac:dyDescent="0.3">
      <c r="A1274" s="2" t="str">
        <f>HYPERLINK(B1274,"Oppna PDF")</f>
        <v>Oppna PDF</v>
      </c>
      <c r="B1274" t="s">
        <v>3485</v>
      </c>
      <c r="C1274" t="s">
        <v>3488</v>
      </c>
      <c r="D1274" t="s">
        <v>3476</v>
      </c>
      <c r="E1274" t="s">
        <v>3487</v>
      </c>
      <c r="H1274" t="s">
        <v>268</v>
      </c>
      <c r="I1274" t="s">
        <v>3425</v>
      </c>
      <c r="J1274" t="s">
        <v>91</v>
      </c>
      <c r="K1274" t="s">
        <v>92</v>
      </c>
      <c r="L1274" t="s">
        <v>29</v>
      </c>
      <c r="M1274" t="s">
        <v>30</v>
      </c>
      <c r="N1274" t="s">
        <v>31</v>
      </c>
      <c r="Q1274" t="s">
        <v>3445</v>
      </c>
      <c r="R1274" t="s">
        <v>3445</v>
      </c>
    </row>
    <row r="1275" spans="1:18" x14ac:dyDescent="0.3">
      <c r="A1275" s="2" t="str">
        <f>HYPERLINK(B1275,"Oppna PDF")</f>
        <v>Oppna PDF</v>
      </c>
      <c r="B1275" t="s">
        <v>3485</v>
      </c>
      <c r="C1275" t="s">
        <v>3489</v>
      </c>
      <c r="D1275" t="s">
        <v>3476</v>
      </c>
      <c r="E1275" t="s">
        <v>3487</v>
      </c>
      <c r="H1275" t="s">
        <v>268</v>
      </c>
      <c r="I1275" t="s">
        <v>3425</v>
      </c>
      <c r="J1275" t="s">
        <v>91</v>
      </c>
      <c r="K1275" t="s">
        <v>92</v>
      </c>
      <c r="L1275" t="s">
        <v>29</v>
      </c>
      <c r="M1275" t="s">
        <v>30</v>
      </c>
      <c r="N1275" t="s">
        <v>31</v>
      </c>
      <c r="Q1275" t="s">
        <v>3447</v>
      </c>
      <c r="R1275" t="s">
        <v>3447</v>
      </c>
    </row>
    <row r="1276" spans="1:18" x14ac:dyDescent="0.3">
      <c r="A1276" s="2" t="str">
        <f>HYPERLINK(B1276,"Oppna PDF")</f>
        <v>Oppna PDF</v>
      </c>
      <c r="B1276" t="s">
        <v>3490</v>
      </c>
      <c r="C1276" t="s">
        <v>3491</v>
      </c>
      <c r="D1276" t="s">
        <v>3476</v>
      </c>
      <c r="E1276" t="s">
        <v>3492</v>
      </c>
      <c r="H1276" t="s">
        <v>268</v>
      </c>
      <c r="I1276" t="s">
        <v>3425</v>
      </c>
      <c r="J1276" t="s">
        <v>91</v>
      </c>
      <c r="K1276" t="s">
        <v>92</v>
      </c>
      <c r="L1276" t="s">
        <v>29</v>
      </c>
      <c r="M1276" t="s">
        <v>30</v>
      </c>
      <c r="N1276" t="s">
        <v>31</v>
      </c>
      <c r="Q1276" t="s">
        <v>3451</v>
      </c>
      <c r="R1276" t="s">
        <v>3451</v>
      </c>
    </row>
    <row r="1277" spans="1:18" x14ac:dyDescent="0.3">
      <c r="A1277" s="2" t="str">
        <f>HYPERLINK(B1277,"Oppna PDF")</f>
        <v>Oppna PDF</v>
      </c>
      <c r="B1277" t="s">
        <v>3490</v>
      </c>
      <c r="C1277" t="s">
        <v>3493</v>
      </c>
      <c r="D1277" t="s">
        <v>3476</v>
      </c>
      <c r="E1277" t="s">
        <v>3492</v>
      </c>
      <c r="H1277" t="s">
        <v>268</v>
      </c>
      <c r="I1277" t="s">
        <v>3425</v>
      </c>
      <c r="J1277" t="s">
        <v>91</v>
      </c>
      <c r="K1277" t="s">
        <v>92</v>
      </c>
      <c r="L1277" t="s">
        <v>29</v>
      </c>
      <c r="M1277" t="s">
        <v>30</v>
      </c>
      <c r="N1277" t="s">
        <v>31</v>
      </c>
      <c r="Q1277" t="s">
        <v>3453</v>
      </c>
      <c r="R1277" t="s">
        <v>3453</v>
      </c>
    </row>
    <row r="1278" spans="1:18" x14ac:dyDescent="0.3">
      <c r="A1278" s="2" t="str">
        <f>HYPERLINK(B1278,"Oppna PDF")</f>
        <v>Oppna PDF</v>
      </c>
      <c r="B1278" t="s">
        <v>3490</v>
      </c>
      <c r="C1278" t="s">
        <v>3494</v>
      </c>
      <c r="D1278" t="s">
        <v>3476</v>
      </c>
      <c r="E1278" t="s">
        <v>3492</v>
      </c>
      <c r="H1278" t="s">
        <v>268</v>
      </c>
      <c r="I1278" t="s">
        <v>3425</v>
      </c>
      <c r="J1278" t="s">
        <v>27</v>
      </c>
      <c r="K1278" t="s">
        <v>28</v>
      </c>
      <c r="L1278" t="s">
        <v>29</v>
      </c>
      <c r="M1278" t="s">
        <v>30</v>
      </c>
      <c r="N1278" t="s">
        <v>31</v>
      </c>
      <c r="Q1278" t="s">
        <v>3455</v>
      </c>
      <c r="R1278" t="s">
        <v>3455</v>
      </c>
    </row>
    <row r="1279" spans="1:18" x14ac:dyDescent="0.3">
      <c r="A1279" s="2" t="str">
        <f>HYPERLINK(B1279,"Oppna PDF")</f>
        <v>Oppna PDF</v>
      </c>
      <c r="B1279" t="s">
        <v>3495</v>
      </c>
      <c r="C1279" t="s">
        <v>3496</v>
      </c>
      <c r="D1279" t="s">
        <v>3476</v>
      </c>
      <c r="E1279" t="s">
        <v>3497</v>
      </c>
      <c r="H1279" t="s">
        <v>268</v>
      </c>
      <c r="I1279" t="s">
        <v>3425</v>
      </c>
      <c r="J1279" t="s">
        <v>38</v>
      </c>
      <c r="K1279" t="s">
        <v>39</v>
      </c>
      <c r="L1279" t="s">
        <v>142</v>
      </c>
      <c r="M1279" t="s">
        <v>30</v>
      </c>
      <c r="N1279" t="s">
        <v>31</v>
      </c>
      <c r="Q1279" t="s">
        <v>3459</v>
      </c>
      <c r="R1279" t="s">
        <v>3459</v>
      </c>
    </row>
    <row r="1280" spans="1:18" x14ac:dyDescent="0.3">
      <c r="A1280" s="2" t="str">
        <f>HYPERLINK(B1280,"Oppna PDF")</f>
        <v>Oppna PDF</v>
      </c>
      <c r="B1280" t="s">
        <v>3495</v>
      </c>
      <c r="C1280" t="s">
        <v>3498</v>
      </c>
      <c r="D1280" t="s">
        <v>3476</v>
      </c>
      <c r="E1280" t="s">
        <v>3497</v>
      </c>
      <c r="H1280" t="s">
        <v>268</v>
      </c>
      <c r="I1280" t="s">
        <v>3425</v>
      </c>
      <c r="J1280" t="s">
        <v>48</v>
      </c>
      <c r="K1280" t="s">
        <v>49</v>
      </c>
      <c r="L1280" t="s">
        <v>142</v>
      </c>
      <c r="M1280" t="s">
        <v>30</v>
      </c>
      <c r="N1280" t="s">
        <v>31</v>
      </c>
      <c r="Q1280" t="s">
        <v>3461</v>
      </c>
      <c r="R1280" t="s">
        <v>3461</v>
      </c>
    </row>
    <row r="1281" spans="1:18" x14ac:dyDescent="0.3">
      <c r="A1281" s="2" t="str">
        <f>HYPERLINK(B1281,"Oppna PDF")</f>
        <v>Oppna PDF</v>
      </c>
      <c r="B1281" t="s">
        <v>3495</v>
      </c>
      <c r="C1281" t="s">
        <v>3499</v>
      </c>
      <c r="D1281" t="s">
        <v>3476</v>
      </c>
      <c r="E1281" t="s">
        <v>3497</v>
      </c>
      <c r="H1281" t="s">
        <v>268</v>
      </c>
      <c r="I1281" t="s">
        <v>3425</v>
      </c>
      <c r="J1281" t="s">
        <v>48</v>
      </c>
      <c r="K1281" t="s">
        <v>49</v>
      </c>
      <c r="L1281" t="s">
        <v>142</v>
      </c>
      <c r="M1281" t="s">
        <v>30</v>
      </c>
      <c r="N1281" t="s">
        <v>31</v>
      </c>
      <c r="Q1281" t="s">
        <v>3463</v>
      </c>
      <c r="R1281" t="s">
        <v>3463</v>
      </c>
    </row>
    <row r="1282" spans="1:18" x14ac:dyDescent="0.3">
      <c r="A1282" s="2" t="str">
        <f>HYPERLINK(B1282,"Oppna PDF")</f>
        <v>Oppna PDF</v>
      </c>
      <c r="B1282" t="s">
        <v>3500</v>
      </c>
      <c r="C1282" t="s">
        <v>3501</v>
      </c>
      <c r="D1282" t="s">
        <v>3476</v>
      </c>
      <c r="E1282" t="s">
        <v>3502</v>
      </c>
      <c r="H1282" t="s">
        <v>268</v>
      </c>
      <c r="I1282" t="s">
        <v>3425</v>
      </c>
      <c r="J1282" t="s">
        <v>27</v>
      </c>
      <c r="K1282" t="s">
        <v>28</v>
      </c>
      <c r="L1282" t="s">
        <v>29</v>
      </c>
      <c r="M1282" t="s">
        <v>30</v>
      </c>
      <c r="N1282" t="s">
        <v>31</v>
      </c>
      <c r="Q1282" t="s">
        <v>3467</v>
      </c>
      <c r="R1282" t="s">
        <v>3467</v>
      </c>
    </row>
    <row r="1283" spans="1:18" x14ac:dyDescent="0.3">
      <c r="A1283" s="2" t="str">
        <f>HYPERLINK(B1283,"Oppna PDF")</f>
        <v>Oppna PDF</v>
      </c>
      <c r="B1283" t="s">
        <v>3503</v>
      </c>
      <c r="C1283" t="s">
        <v>3504</v>
      </c>
      <c r="D1283" t="s">
        <v>3476</v>
      </c>
      <c r="E1283" t="s">
        <v>3505</v>
      </c>
      <c r="H1283" t="s">
        <v>268</v>
      </c>
      <c r="I1283" t="s">
        <v>3425</v>
      </c>
      <c r="J1283" t="s">
        <v>87</v>
      </c>
      <c r="K1283" t="s">
        <v>88</v>
      </c>
      <c r="L1283" t="s">
        <v>29</v>
      </c>
      <c r="M1283" t="s">
        <v>30</v>
      </c>
      <c r="N1283" t="s">
        <v>31</v>
      </c>
      <c r="Q1283" t="s">
        <v>3471</v>
      </c>
      <c r="R1283" t="s">
        <v>3471</v>
      </c>
    </row>
    <row r="1284" spans="1:18" x14ac:dyDescent="0.3">
      <c r="A1284" s="2" t="str">
        <f>HYPERLINK(B1284,"Oppna PDF")</f>
        <v>Oppna PDF</v>
      </c>
      <c r="B1284" t="s">
        <v>3503</v>
      </c>
      <c r="C1284" t="s">
        <v>3506</v>
      </c>
      <c r="D1284" t="s">
        <v>3476</v>
      </c>
      <c r="E1284" t="s">
        <v>3505</v>
      </c>
      <c r="H1284" t="s">
        <v>268</v>
      </c>
      <c r="I1284" t="s">
        <v>3425</v>
      </c>
      <c r="J1284" t="s">
        <v>27</v>
      </c>
      <c r="K1284" t="s">
        <v>28</v>
      </c>
      <c r="L1284" t="s">
        <v>29</v>
      </c>
      <c r="M1284" t="s">
        <v>30</v>
      </c>
      <c r="N1284" t="s">
        <v>31</v>
      </c>
      <c r="Q1284" t="s">
        <v>3473</v>
      </c>
      <c r="R1284" t="s">
        <v>3473</v>
      </c>
    </row>
    <row r="1285" spans="1:18" x14ac:dyDescent="0.3">
      <c r="A1285" s="2" t="str">
        <f>HYPERLINK(B1285,"Oppna PDF")</f>
        <v>Oppna PDF</v>
      </c>
      <c r="B1285" t="s">
        <v>3507</v>
      </c>
      <c r="C1285" t="s">
        <v>3508</v>
      </c>
      <c r="D1285" t="s">
        <v>3509</v>
      </c>
      <c r="E1285" t="s">
        <v>3510</v>
      </c>
      <c r="F1285" t="s">
        <v>3511</v>
      </c>
      <c r="G1285" t="s">
        <v>3512</v>
      </c>
      <c r="H1285" t="s">
        <v>61</v>
      </c>
      <c r="I1285" t="s">
        <v>3513</v>
      </c>
      <c r="J1285" t="s">
        <v>48</v>
      </c>
      <c r="K1285" t="s">
        <v>49</v>
      </c>
      <c r="L1285" t="s">
        <v>29</v>
      </c>
      <c r="M1285" t="s">
        <v>30</v>
      </c>
      <c r="N1285" t="s">
        <v>31</v>
      </c>
      <c r="Q1285" t="s">
        <v>3514</v>
      </c>
      <c r="R1285" t="s">
        <v>3514</v>
      </c>
    </row>
    <row r="1286" spans="1:18" x14ac:dyDescent="0.3">
      <c r="A1286" s="2" t="str">
        <f>HYPERLINK(B1286,"Oppna PDF")</f>
        <v>Oppna PDF</v>
      </c>
      <c r="B1286" t="s">
        <v>3515</v>
      </c>
      <c r="C1286" t="s">
        <v>3516</v>
      </c>
      <c r="D1286" t="s">
        <v>3517</v>
      </c>
      <c r="E1286" t="s">
        <v>3518</v>
      </c>
      <c r="F1286" t="s">
        <v>3511</v>
      </c>
      <c r="G1286" t="s">
        <v>3512</v>
      </c>
      <c r="H1286" t="s">
        <v>61</v>
      </c>
      <c r="I1286" t="s">
        <v>3513</v>
      </c>
      <c r="J1286" t="s">
        <v>48</v>
      </c>
      <c r="K1286" t="s">
        <v>49</v>
      </c>
      <c r="L1286" t="s">
        <v>29</v>
      </c>
      <c r="M1286" t="s">
        <v>30</v>
      </c>
      <c r="N1286" t="s">
        <v>31</v>
      </c>
      <c r="Q1286" t="s">
        <v>3514</v>
      </c>
      <c r="R1286" t="s">
        <v>3514</v>
      </c>
    </row>
    <row r="1287" spans="1:18" x14ac:dyDescent="0.3">
      <c r="A1287" s="2" t="str">
        <f>HYPERLINK(B1287,"Oppna PDF")</f>
        <v>Oppna PDF</v>
      </c>
      <c r="B1287" t="s">
        <v>3519</v>
      </c>
      <c r="C1287" t="s">
        <v>3520</v>
      </c>
      <c r="D1287" t="s">
        <v>3521</v>
      </c>
      <c r="E1287" t="s">
        <v>3522</v>
      </c>
      <c r="F1287" t="s">
        <v>3523</v>
      </c>
      <c r="G1287" t="s">
        <v>3524</v>
      </c>
      <c r="H1287" t="s">
        <v>61</v>
      </c>
      <c r="I1287" t="s">
        <v>3525</v>
      </c>
      <c r="J1287" t="s">
        <v>48</v>
      </c>
      <c r="K1287" t="s">
        <v>49</v>
      </c>
      <c r="L1287" t="s">
        <v>142</v>
      </c>
      <c r="M1287" t="s">
        <v>30</v>
      </c>
      <c r="N1287" t="s">
        <v>31</v>
      </c>
      <c r="Q1287" t="s">
        <v>3526</v>
      </c>
      <c r="R1287" t="s">
        <v>3526</v>
      </c>
    </row>
    <row r="1288" spans="1:18" x14ac:dyDescent="0.3">
      <c r="A1288" s="2" t="str">
        <f>HYPERLINK(B1288,"Oppna PDF")</f>
        <v>Oppna PDF</v>
      </c>
      <c r="B1288" t="s">
        <v>3519</v>
      </c>
      <c r="C1288" t="s">
        <v>3527</v>
      </c>
      <c r="D1288" t="s">
        <v>3521</v>
      </c>
      <c r="E1288" t="s">
        <v>3522</v>
      </c>
      <c r="F1288" t="s">
        <v>3523</v>
      </c>
      <c r="G1288" t="s">
        <v>3524</v>
      </c>
      <c r="H1288" t="s">
        <v>61</v>
      </c>
      <c r="I1288" t="s">
        <v>3525</v>
      </c>
      <c r="J1288" t="s">
        <v>48</v>
      </c>
      <c r="K1288" t="s">
        <v>49</v>
      </c>
      <c r="L1288" t="s">
        <v>142</v>
      </c>
      <c r="M1288" t="s">
        <v>30</v>
      </c>
      <c r="N1288" t="s">
        <v>31</v>
      </c>
      <c r="Q1288" t="s">
        <v>3528</v>
      </c>
      <c r="R1288" t="s">
        <v>3528</v>
      </c>
    </row>
    <row r="1289" spans="1:18" x14ac:dyDescent="0.3">
      <c r="A1289" s="2" t="str">
        <f>HYPERLINK(B1289,"Oppna PDF")</f>
        <v>Oppna PDF</v>
      </c>
      <c r="B1289" t="s">
        <v>3519</v>
      </c>
      <c r="C1289" t="s">
        <v>3529</v>
      </c>
      <c r="D1289" t="s">
        <v>3521</v>
      </c>
      <c r="E1289" t="s">
        <v>3522</v>
      </c>
      <c r="F1289" t="s">
        <v>3523</v>
      </c>
      <c r="G1289" t="s">
        <v>3524</v>
      </c>
      <c r="H1289" t="s">
        <v>61</v>
      </c>
      <c r="I1289" t="s">
        <v>3525</v>
      </c>
      <c r="J1289" t="s">
        <v>38</v>
      </c>
      <c r="K1289" t="s">
        <v>39</v>
      </c>
      <c r="L1289" t="s">
        <v>142</v>
      </c>
      <c r="M1289" t="s">
        <v>30</v>
      </c>
      <c r="N1289" t="s">
        <v>31</v>
      </c>
      <c r="Q1289" t="s">
        <v>3530</v>
      </c>
      <c r="R1289" t="s">
        <v>3530</v>
      </c>
    </row>
    <row r="1290" spans="1:18" x14ac:dyDescent="0.3">
      <c r="A1290" s="2" t="str">
        <f>HYPERLINK(B1290,"Oppna PDF")</f>
        <v>Oppna PDF</v>
      </c>
      <c r="B1290" t="s">
        <v>3531</v>
      </c>
      <c r="C1290" t="s">
        <v>3532</v>
      </c>
      <c r="D1290" t="s">
        <v>3521</v>
      </c>
      <c r="E1290" t="s">
        <v>3533</v>
      </c>
      <c r="F1290" t="s">
        <v>3523</v>
      </c>
      <c r="G1290" t="s">
        <v>3524</v>
      </c>
      <c r="H1290" t="s">
        <v>61</v>
      </c>
      <c r="I1290" t="s">
        <v>3525</v>
      </c>
      <c r="J1290" t="s">
        <v>38</v>
      </c>
      <c r="K1290" t="s">
        <v>39</v>
      </c>
      <c r="L1290" t="s">
        <v>142</v>
      </c>
      <c r="M1290" t="s">
        <v>30</v>
      </c>
      <c r="N1290" t="s">
        <v>31</v>
      </c>
      <c r="Q1290" t="s">
        <v>3534</v>
      </c>
      <c r="R1290" t="s">
        <v>3534</v>
      </c>
    </row>
    <row r="1291" spans="1:18" x14ac:dyDescent="0.3">
      <c r="A1291" s="2" t="str">
        <f>HYPERLINK(B1291,"Oppna PDF")</f>
        <v>Oppna PDF</v>
      </c>
      <c r="B1291" t="s">
        <v>3531</v>
      </c>
      <c r="C1291" t="s">
        <v>3535</v>
      </c>
      <c r="D1291" t="s">
        <v>3521</v>
      </c>
      <c r="E1291" t="s">
        <v>3533</v>
      </c>
      <c r="F1291" t="s">
        <v>3523</v>
      </c>
      <c r="G1291" t="s">
        <v>3524</v>
      </c>
      <c r="H1291" t="s">
        <v>61</v>
      </c>
      <c r="I1291" t="s">
        <v>3525</v>
      </c>
      <c r="J1291" t="s">
        <v>34</v>
      </c>
      <c r="K1291" t="s">
        <v>35</v>
      </c>
      <c r="L1291" t="s">
        <v>142</v>
      </c>
      <c r="M1291" t="s">
        <v>30</v>
      </c>
      <c r="N1291" t="s">
        <v>31</v>
      </c>
      <c r="Q1291" t="s">
        <v>3536</v>
      </c>
      <c r="R1291" t="s">
        <v>3536</v>
      </c>
    </row>
    <row r="1292" spans="1:18" x14ac:dyDescent="0.3">
      <c r="A1292" s="2" t="str">
        <f>HYPERLINK(B1292,"Oppna PDF")</f>
        <v>Oppna PDF</v>
      </c>
      <c r="B1292" t="s">
        <v>3531</v>
      </c>
      <c r="C1292" t="s">
        <v>3537</v>
      </c>
      <c r="D1292" t="s">
        <v>3521</v>
      </c>
      <c r="E1292" t="s">
        <v>3533</v>
      </c>
      <c r="F1292" t="s">
        <v>3523</v>
      </c>
      <c r="G1292" t="s">
        <v>3524</v>
      </c>
      <c r="H1292" t="s">
        <v>61</v>
      </c>
      <c r="I1292" t="s">
        <v>3525</v>
      </c>
      <c r="J1292" t="s">
        <v>91</v>
      </c>
      <c r="K1292" t="s">
        <v>92</v>
      </c>
      <c r="L1292" t="s">
        <v>142</v>
      </c>
      <c r="M1292" t="s">
        <v>30</v>
      </c>
      <c r="N1292" t="s">
        <v>31</v>
      </c>
      <c r="Q1292" t="s">
        <v>3538</v>
      </c>
      <c r="R1292" t="s">
        <v>3538</v>
      </c>
    </row>
    <row r="1293" spans="1:18" x14ac:dyDescent="0.3">
      <c r="A1293" s="2" t="str">
        <f>HYPERLINK(B1293,"Oppna PDF")</f>
        <v>Oppna PDF</v>
      </c>
      <c r="B1293" t="s">
        <v>3539</v>
      </c>
      <c r="C1293" t="s">
        <v>3540</v>
      </c>
      <c r="D1293" t="s">
        <v>3521</v>
      </c>
      <c r="E1293" t="s">
        <v>3541</v>
      </c>
      <c r="F1293" t="s">
        <v>3523</v>
      </c>
      <c r="G1293" t="s">
        <v>3524</v>
      </c>
      <c r="H1293" t="s">
        <v>61</v>
      </c>
      <c r="I1293" t="s">
        <v>3525</v>
      </c>
      <c r="J1293" t="s">
        <v>38</v>
      </c>
      <c r="K1293" t="s">
        <v>39</v>
      </c>
      <c r="L1293" t="s">
        <v>29</v>
      </c>
      <c r="M1293" t="s">
        <v>30</v>
      </c>
      <c r="N1293" t="s">
        <v>31</v>
      </c>
      <c r="Q1293" t="s">
        <v>3542</v>
      </c>
      <c r="R1293" t="s">
        <v>3543</v>
      </c>
    </row>
    <row r="1294" spans="1:18" x14ac:dyDescent="0.3">
      <c r="A1294" s="2" t="str">
        <f>HYPERLINK(B1294,"Oppna PDF")</f>
        <v>Oppna PDF</v>
      </c>
      <c r="B1294" t="s">
        <v>3544</v>
      </c>
      <c r="C1294" t="s">
        <v>3545</v>
      </c>
      <c r="D1294" t="s">
        <v>3546</v>
      </c>
      <c r="E1294" t="s">
        <v>3547</v>
      </c>
      <c r="F1294" t="s">
        <v>3523</v>
      </c>
      <c r="G1294" t="s">
        <v>3524</v>
      </c>
      <c r="H1294" t="s">
        <v>61</v>
      </c>
      <c r="I1294" t="s">
        <v>3525</v>
      </c>
      <c r="J1294" t="s">
        <v>48</v>
      </c>
      <c r="K1294" t="s">
        <v>49</v>
      </c>
      <c r="L1294" t="s">
        <v>142</v>
      </c>
      <c r="M1294" t="s">
        <v>30</v>
      </c>
      <c r="N1294" t="s">
        <v>31</v>
      </c>
      <c r="Q1294" t="s">
        <v>3526</v>
      </c>
      <c r="R1294" t="s">
        <v>3526</v>
      </c>
    </row>
    <row r="1295" spans="1:18" x14ac:dyDescent="0.3">
      <c r="A1295" s="2" t="str">
        <f>HYPERLINK(B1295,"Oppna PDF")</f>
        <v>Oppna PDF</v>
      </c>
      <c r="B1295" t="s">
        <v>3544</v>
      </c>
      <c r="C1295" t="s">
        <v>3548</v>
      </c>
      <c r="D1295" t="s">
        <v>3546</v>
      </c>
      <c r="E1295" t="s">
        <v>3547</v>
      </c>
      <c r="F1295" t="s">
        <v>3523</v>
      </c>
      <c r="G1295" t="s">
        <v>3524</v>
      </c>
      <c r="H1295" t="s">
        <v>61</v>
      </c>
      <c r="I1295" t="s">
        <v>3525</v>
      </c>
      <c r="J1295" t="s">
        <v>48</v>
      </c>
      <c r="K1295" t="s">
        <v>49</v>
      </c>
      <c r="L1295" t="s">
        <v>142</v>
      </c>
      <c r="M1295" t="s">
        <v>30</v>
      </c>
      <c r="N1295" t="s">
        <v>31</v>
      </c>
      <c r="Q1295" t="s">
        <v>3528</v>
      </c>
      <c r="R1295" t="s">
        <v>3528</v>
      </c>
    </row>
    <row r="1296" spans="1:18" x14ac:dyDescent="0.3">
      <c r="A1296" s="2" t="str">
        <f>HYPERLINK(B1296,"Oppna PDF")</f>
        <v>Oppna PDF</v>
      </c>
      <c r="B1296" t="s">
        <v>3544</v>
      </c>
      <c r="C1296" t="s">
        <v>3549</v>
      </c>
      <c r="D1296" t="s">
        <v>3546</v>
      </c>
      <c r="E1296" t="s">
        <v>3547</v>
      </c>
      <c r="F1296" t="s">
        <v>3523</v>
      </c>
      <c r="G1296" t="s">
        <v>3524</v>
      </c>
      <c r="H1296" t="s">
        <v>61</v>
      </c>
      <c r="I1296" t="s">
        <v>3525</v>
      </c>
      <c r="J1296" t="s">
        <v>38</v>
      </c>
      <c r="K1296" t="s">
        <v>39</v>
      </c>
      <c r="L1296" t="s">
        <v>142</v>
      </c>
      <c r="M1296" t="s">
        <v>30</v>
      </c>
      <c r="N1296" t="s">
        <v>31</v>
      </c>
      <c r="Q1296" t="s">
        <v>3530</v>
      </c>
      <c r="R1296" t="s">
        <v>3530</v>
      </c>
    </row>
    <row r="1297" spans="1:18" x14ac:dyDescent="0.3">
      <c r="A1297" s="2" t="str">
        <f>HYPERLINK(B1297,"Oppna PDF")</f>
        <v>Oppna PDF</v>
      </c>
      <c r="B1297" t="s">
        <v>3550</v>
      </c>
      <c r="C1297" t="s">
        <v>3551</v>
      </c>
      <c r="D1297" t="s">
        <v>3546</v>
      </c>
      <c r="E1297" t="s">
        <v>3552</v>
      </c>
      <c r="F1297" t="s">
        <v>3523</v>
      </c>
      <c r="G1297" t="s">
        <v>3524</v>
      </c>
      <c r="H1297" t="s">
        <v>61</v>
      </c>
      <c r="I1297" t="s">
        <v>3525</v>
      </c>
      <c r="J1297" t="s">
        <v>38</v>
      </c>
      <c r="K1297" t="s">
        <v>39</v>
      </c>
      <c r="L1297" t="s">
        <v>142</v>
      </c>
      <c r="M1297" t="s">
        <v>30</v>
      </c>
      <c r="N1297" t="s">
        <v>31</v>
      </c>
      <c r="Q1297" t="s">
        <v>3534</v>
      </c>
      <c r="R1297" t="s">
        <v>3534</v>
      </c>
    </row>
    <row r="1298" spans="1:18" x14ac:dyDescent="0.3">
      <c r="A1298" s="2" t="str">
        <f>HYPERLINK(B1298,"Oppna PDF")</f>
        <v>Oppna PDF</v>
      </c>
      <c r="B1298" t="s">
        <v>3550</v>
      </c>
      <c r="C1298" t="s">
        <v>3553</v>
      </c>
      <c r="D1298" t="s">
        <v>3546</v>
      </c>
      <c r="E1298" t="s">
        <v>3552</v>
      </c>
      <c r="F1298" t="s">
        <v>3523</v>
      </c>
      <c r="G1298" t="s">
        <v>3524</v>
      </c>
      <c r="H1298" t="s">
        <v>61</v>
      </c>
      <c r="I1298" t="s">
        <v>3525</v>
      </c>
      <c r="J1298" t="s">
        <v>34</v>
      </c>
      <c r="K1298" t="s">
        <v>35</v>
      </c>
      <c r="L1298" t="s">
        <v>142</v>
      </c>
      <c r="M1298" t="s">
        <v>30</v>
      </c>
      <c r="N1298" t="s">
        <v>31</v>
      </c>
      <c r="Q1298" t="s">
        <v>3536</v>
      </c>
      <c r="R1298" t="s">
        <v>3536</v>
      </c>
    </row>
    <row r="1299" spans="1:18" x14ac:dyDescent="0.3">
      <c r="A1299" s="2" t="str">
        <f>HYPERLINK(B1299,"Oppna PDF")</f>
        <v>Oppna PDF</v>
      </c>
      <c r="B1299" t="s">
        <v>3550</v>
      </c>
      <c r="C1299" t="s">
        <v>3554</v>
      </c>
      <c r="D1299" t="s">
        <v>3546</v>
      </c>
      <c r="E1299" t="s">
        <v>3552</v>
      </c>
      <c r="F1299" t="s">
        <v>3523</v>
      </c>
      <c r="G1299" t="s">
        <v>3524</v>
      </c>
      <c r="H1299" t="s">
        <v>61</v>
      </c>
      <c r="I1299" t="s">
        <v>3525</v>
      </c>
      <c r="J1299" t="s">
        <v>91</v>
      </c>
      <c r="K1299" t="s">
        <v>92</v>
      </c>
      <c r="L1299" t="s">
        <v>142</v>
      </c>
      <c r="M1299" t="s">
        <v>30</v>
      </c>
      <c r="N1299" t="s">
        <v>31</v>
      </c>
      <c r="Q1299" t="s">
        <v>3538</v>
      </c>
      <c r="R1299" t="s">
        <v>3538</v>
      </c>
    </row>
    <row r="1300" spans="1:18" x14ac:dyDescent="0.3">
      <c r="A1300" s="2" t="str">
        <f>HYPERLINK(B1300,"Oppna PDF")</f>
        <v>Oppna PDF</v>
      </c>
      <c r="B1300" t="s">
        <v>3555</v>
      </c>
      <c r="C1300" t="s">
        <v>3556</v>
      </c>
      <c r="D1300" t="s">
        <v>3546</v>
      </c>
      <c r="E1300" t="s">
        <v>3557</v>
      </c>
      <c r="F1300" t="s">
        <v>3523</v>
      </c>
      <c r="G1300" t="s">
        <v>3524</v>
      </c>
      <c r="H1300" t="s">
        <v>61</v>
      </c>
      <c r="I1300" t="s">
        <v>3525</v>
      </c>
      <c r="J1300" t="s">
        <v>38</v>
      </c>
      <c r="K1300" t="s">
        <v>39</v>
      </c>
      <c r="L1300" t="s">
        <v>29</v>
      </c>
      <c r="M1300" t="s">
        <v>30</v>
      </c>
      <c r="N1300" t="s">
        <v>31</v>
      </c>
      <c r="Q1300" t="s">
        <v>3542</v>
      </c>
      <c r="R1300" t="s">
        <v>3543</v>
      </c>
    </row>
    <row r="1301" spans="1:18" x14ac:dyDescent="0.3">
      <c r="A1301" s="2" t="str">
        <f>HYPERLINK(B1301,"Oppna PDF")</f>
        <v>Oppna PDF</v>
      </c>
      <c r="B1301" t="s">
        <v>3558</v>
      </c>
      <c r="C1301" t="s">
        <v>3559</v>
      </c>
      <c r="D1301" t="s">
        <v>3560</v>
      </c>
      <c r="E1301" t="s">
        <v>3561</v>
      </c>
      <c r="F1301" t="s">
        <v>3562</v>
      </c>
      <c r="G1301" t="s">
        <v>3563</v>
      </c>
      <c r="H1301" t="s">
        <v>61</v>
      </c>
      <c r="I1301" t="s">
        <v>3564</v>
      </c>
      <c r="J1301" t="s">
        <v>27</v>
      </c>
      <c r="K1301" t="s">
        <v>28</v>
      </c>
      <c r="L1301" t="s">
        <v>29</v>
      </c>
      <c r="M1301" t="s">
        <v>30</v>
      </c>
      <c r="N1301" t="s">
        <v>31</v>
      </c>
      <c r="Q1301" t="s">
        <v>3565</v>
      </c>
      <c r="R1301" t="s">
        <v>3566</v>
      </c>
    </row>
    <row r="1302" spans="1:18" x14ac:dyDescent="0.3">
      <c r="A1302" s="2" t="str">
        <f>HYPERLINK(B1302,"Oppna PDF")</f>
        <v>Oppna PDF</v>
      </c>
      <c r="B1302" t="s">
        <v>3567</v>
      </c>
      <c r="C1302" t="s">
        <v>3568</v>
      </c>
      <c r="D1302" t="s">
        <v>3560</v>
      </c>
      <c r="E1302" t="s">
        <v>3569</v>
      </c>
      <c r="F1302" t="s">
        <v>3562</v>
      </c>
      <c r="G1302" t="s">
        <v>3563</v>
      </c>
      <c r="H1302" t="s">
        <v>61</v>
      </c>
      <c r="I1302" t="s">
        <v>3564</v>
      </c>
      <c r="J1302" t="s">
        <v>27</v>
      </c>
      <c r="K1302" t="s">
        <v>28</v>
      </c>
      <c r="L1302" t="s">
        <v>29</v>
      </c>
      <c r="M1302" t="s">
        <v>30</v>
      </c>
      <c r="N1302" t="s">
        <v>31</v>
      </c>
      <c r="Q1302" t="s">
        <v>3570</v>
      </c>
      <c r="R1302" t="s">
        <v>3570</v>
      </c>
    </row>
    <row r="1303" spans="1:18" x14ac:dyDescent="0.3">
      <c r="A1303" s="2" t="str">
        <f>HYPERLINK(B1303,"Oppna PDF")</f>
        <v>Oppna PDF</v>
      </c>
      <c r="B1303" t="s">
        <v>3567</v>
      </c>
      <c r="C1303" t="s">
        <v>3571</v>
      </c>
      <c r="D1303" t="s">
        <v>3560</v>
      </c>
      <c r="E1303" t="s">
        <v>3569</v>
      </c>
      <c r="F1303" t="s">
        <v>3562</v>
      </c>
      <c r="G1303" t="s">
        <v>3563</v>
      </c>
      <c r="H1303" t="s">
        <v>61</v>
      </c>
      <c r="I1303" t="s">
        <v>3564</v>
      </c>
      <c r="J1303" t="s">
        <v>27</v>
      </c>
      <c r="K1303" t="s">
        <v>28</v>
      </c>
      <c r="L1303" t="s">
        <v>29</v>
      </c>
      <c r="M1303" t="s">
        <v>30</v>
      </c>
      <c r="N1303" t="s">
        <v>31</v>
      </c>
      <c r="Q1303" t="s">
        <v>3572</v>
      </c>
      <c r="R1303" t="s">
        <v>3572</v>
      </c>
    </row>
    <row r="1304" spans="1:18" x14ac:dyDescent="0.3">
      <c r="A1304" s="2" t="str">
        <f>HYPERLINK(B1304,"Oppna PDF")</f>
        <v>Oppna PDF</v>
      </c>
      <c r="B1304" t="s">
        <v>3567</v>
      </c>
      <c r="C1304" t="s">
        <v>3573</v>
      </c>
      <c r="D1304" t="s">
        <v>3560</v>
      </c>
      <c r="E1304" t="s">
        <v>3569</v>
      </c>
      <c r="F1304" t="s">
        <v>3562</v>
      </c>
      <c r="G1304" t="s">
        <v>3563</v>
      </c>
      <c r="H1304" t="s">
        <v>61</v>
      </c>
      <c r="I1304" t="s">
        <v>3564</v>
      </c>
      <c r="J1304" t="s">
        <v>87</v>
      </c>
      <c r="K1304" t="s">
        <v>88</v>
      </c>
      <c r="L1304" t="s">
        <v>29</v>
      </c>
      <c r="M1304" t="s">
        <v>30</v>
      </c>
      <c r="N1304" t="s">
        <v>31</v>
      </c>
      <c r="Q1304" t="s">
        <v>3574</v>
      </c>
      <c r="R1304" t="s">
        <v>3574</v>
      </c>
    </row>
    <row r="1305" spans="1:18" x14ac:dyDescent="0.3">
      <c r="A1305" s="2" t="str">
        <f>HYPERLINK(B1305,"Oppna PDF")</f>
        <v>Oppna PDF</v>
      </c>
      <c r="B1305" t="s">
        <v>3575</v>
      </c>
      <c r="C1305" t="s">
        <v>3576</v>
      </c>
      <c r="D1305" t="s">
        <v>3560</v>
      </c>
      <c r="E1305" t="s">
        <v>3577</v>
      </c>
      <c r="F1305" t="s">
        <v>3562</v>
      </c>
      <c r="G1305" t="s">
        <v>3563</v>
      </c>
      <c r="H1305" t="s">
        <v>61</v>
      </c>
      <c r="I1305" t="s">
        <v>3564</v>
      </c>
      <c r="J1305" t="s">
        <v>27</v>
      </c>
      <c r="K1305" t="s">
        <v>28</v>
      </c>
      <c r="L1305" t="s">
        <v>29</v>
      </c>
      <c r="M1305" t="s">
        <v>30</v>
      </c>
      <c r="N1305" t="s">
        <v>31</v>
      </c>
      <c r="Q1305" t="s">
        <v>3578</v>
      </c>
      <c r="R1305" t="s">
        <v>3578</v>
      </c>
    </row>
    <row r="1306" spans="1:18" x14ac:dyDescent="0.3">
      <c r="A1306" s="2" t="str">
        <f>HYPERLINK(B1306,"Oppna PDF")</f>
        <v>Oppna PDF</v>
      </c>
      <c r="B1306" t="s">
        <v>3575</v>
      </c>
      <c r="C1306" t="s">
        <v>3579</v>
      </c>
      <c r="D1306" t="s">
        <v>3560</v>
      </c>
      <c r="E1306" t="s">
        <v>3577</v>
      </c>
      <c r="F1306" t="s">
        <v>3562</v>
      </c>
      <c r="G1306" t="s">
        <v>3563</v>
      </c>
      <c r="H1306" t="s">
        <v>61</v>
      </c>
      <c r="I1306" t="s">
        <v>3564</v>
      </c>
      <c r="J1306" t="s">
        <v>91</v>
      </c>
      <c r="K1306" t="s">
        <v>92</v>
      </c>
      <c r="L1306" t="s">
        <v>29</v>
      </c>
      <c r="M1306" t="s">
        <v>30</v>
      </c>
      <c r="N1306" t="s">
        <v>31</v>
      </c>
      <c r="Q1306" t="s">
        <v>3580</v>
      </c>
      <c r="R1306" t="s">
        <v>3580</v>
      </c>
    </row>
    <row r="1307" spans="1:18" x14ac:dyDescent="0.3">
      <c r="A1307" s="2" t="str">
        <f>HYPERLINK(B1307,"Oppna PDF")</f>
        <v>Oppna PDF</v>
      </c>
      <c r="B1307" t="s">
        <v>3575</v>
      </c>
      <c r="C1307" t="s">
        <v>3581</v>
      </c>
      <c r="D1307" t="s">
        <v>3560</v>
      </c>
      <c r="E1307" t="s">
        <v>3577</v>
      </c>
      <c r="F1307" t="s">
        <v>3562</v>
      </c>
      <c r="G1307" t="s">
        <v>3563</v>
      </c>
      <c r="H1307" t="s">
        <v>61</v>
      </c>
      <c r="I1307" t="s">
        <v>3564</v>
      </c>
      <c r="J1307" t="s">
        <v>34</v>
      </c>
      <c r="K1307" t="s">
        <v>35</v>
      </c>
      <c r="L1307" t="s">
        <v>29</v>
      </c>
      <c r="M1307" t="s">
        <v>30</v>
      </c>
      <c r="N1307" t="s">
        <v>31</v>
      </c>
      <c r="Q1307" t="s">
        <v>3582</v>
      </c>
      <c r="R1307" t="s">
        <v>3582</v>
      </c>
    </row>
    <row r="1308" spans="1:18" x14ac:dyDescent="0.3">
      <c r="A1308" s="2" t="str">
        <f>HYPERLINK(B1308,"Oppna PDF")</f>
        <v>Oppna PDF</v>
      </c>
      <c r="B1308" t="s">
        <v>3583</v>
      </c>
      <c r="C1308" t="s">
        <v>3584</v>
      </c>
      <c r="D1308" t="s">
        <v>3560</v>
      </c>
      <c r="E1308" t="s">
        <v>3585</v>
      </c>
      <c r="F1308" t="s">
        <v>3562</v>
      </c>
      <c r="G1308" t="s">
        <v>3563</v>
      </c>
      <c r="H1308" t="s">
        <v>61</v>
      </c>
      <c r="I1308" t="s">
        <v>3564</v>
      </c>
      <c r="J1308" t="s">
        <v>27</v>
      </c>
      <c r="K1308" t="s">
        <v>28</v>
      </c>
      <c r="L1308" t="s">
        <v>300</v>
      </c>
      <c r="M1308" t="s">
        <v>30</v>
      </c>
      <c r="N1308" t="s">
        <v>31</v>
      </c>
      <c r="Q1308" t="s">
        <v>3586</v>
      </c>
      <c r="R1308" t="s">
        <v>3586</v>
      </c>
    </row>
    <row r="1309" spans="1:18" x14ac:dyDescent="0.3">
      <c r="A1309" s="2" t="str">
        <f>HYPERLINK(B1309,"Oppna PDF")</f>
        <v>Oppna PDF</v>
      </c>
      <c r="B1309" t="s">
        <v>3583</v>
      </c>
      <c r="C1309" t="s">
        <v>3587</v>
      </c>
      <c r="D1309" t="s">
        <v>3560</v>
      </c>
      <c r="E1309" t="s">
        <v>3585</v>
      </c>
      <c r="F1309" t="s">
        <v>3562</v>
      </c>
      <c r="G1309" t="s">
        <v>3563</v>
      </c>
      <c r="H1309" t="s">
        <v>61</v>
      </c>
      <c r="I1309" t="s">
        <v>3564</v>
      </c>
      <c r="J1309" t="s">
        <v>34</v>
      </c>
      <c r="K1309" t="s">
        <v>35</v>
      </c>
      <c r="L1309" t="s">
        <v>300</v>
      </c>
      <c r="M1309" t="s">
        <v>30</v>
      </c>
      <c r="N1309" t="s">
        <v>31</v>
      </c>
      <c r="Q1309" t="s">
        <v>3588</v>
      </c>
      <c r="R1309" t="s">
        <v>3588</v>
      </c>
    </row>
    <row r="1310" spans="1:18" x14ac:dyDescent="0.3">
      <c r="A1310" s="2" t="str">
        <f>HYPERLINK(B1310,"Oppna PDF")</f>
        <v>Oppna PDF</v>
      </c>
      <c r="B1310" t="s">
        <v>3583</v>
      </c>
      <c r="C1310" t="s">
        <v>3589</v>
      </c>
      <c r="D1310" t="s">
        <v>3560</v>
      </c>
      <c r="E1310" t="s">
        <v>3585</v>
      </c>
      <c r="F1310" t="s">
        <v>3562</v>
      </c>
      <c r="G1310" t="s">
        <v>3563</v>
      </c>
      <c r="H1310" t="s">
        <v>61</v>
      </c>
      <c r="I1310" t="s">
        <v>3564</v>
      </c>
      <c r="J1310" t="s">
        <v>34</v>
      </c>
      <c r="K1310" t="s">
        <v>35</v>
      </c>
      <c r="L1310" t="s">
        <v>300</v>
      </c>
      <c r="M1310" t="s">
        <v>30</v>
      </c>
      <c r="N1310" t="s">
        <v>31</v>
      </c>
      <c r="Q1310" t="s">
        <v>3590</v>
      </c>
      <c r="R1310" t="s">
        <v>3590</v>
      </c>
    </row>
    <row r="1311" spans="1:18" x14ac:dyDescent="0.3">
      <c r="A1311" s="2" t="str">
        <f>HYPERLINK(B1311,"Oppna PDF")</f>
        <v>Oppna PDF</v>
      </c>
      <c r="B1311" t="s">
        <v>3591</v>
      </c>
      <c r="C1311" t="s">
        <v>3592</v>
      </c>
      <c r="D1311" t="s">
        <v>3560</v>
      </c>
      <c r="E1311" t="s">
        <v>3593</v>
      </c>
      <c r="F1311" t="s">
        <v>3562</v>
      </c>
      <c r="G1311" t="s">
        <v>3563</v>
      </c>
      <c r="H1311" t="s">
        <v>61</v>
      </c>
      <c r="I1311" t="s">
        <v>3564</v>
      </c>
      <c r="J1311" t="s">
        <v>27</v>
      </c>
      <c r="K1311" t="s">
        <v>28</v>
      </c>
      <c r="L1311" t="s">
        <v>142</v>
      </c>
      <c r="M1311" t="s">
        <v>30</v>
      </c>
      <c r="N1311" t="s">
        <v>31</v>
      </c>
      <c r="Q1311" t="s">
        <v>3594</v>
      </c>
      <c r="R1311" t="s">
        <v>3594</v>
      </c>
    </row>
    <row r="1312" spans="1:18" x14ac:dyDescent="0.3">
      <c r="A1312" s="2" t="str">
        <f>HYPERLINK(B1312,"Oppna PDF")</f>
        <v>Oppna PDF</v>
      </c>
      <c r="B1312" t="s">
        <v>3591</v>
      </c>
      <c r="C1312" t="s">
        <v>3595</v>
      </c>
      <c r="D1312" t="s">
        <v>3560</v>
      </c>
      <c r="E1312" t="s">
        <v>3593</v>
      </c>
      <c r="F1312" t="s">
        <v>3562</v>
      </c>
      <c r="G1312" t="s">
        <v>3563</v>
      </c>
      <c r="H1312" t="s">
        <v>61</v>
      </c>
      <c r="I1312" t="s">
        <v>3564</v>
      </c>
      <c r="J1312" t="s">
        <v>27</v>
      </c>
      <c r="K1312" t="s">
        <v>28</v>
      </c>
      <c r="L1312" t="s">
        <v>29</v>
      </c>
      <c r="M1312" t="s">
        <v>30</v>
      </c>
      <c r="N1312" t="s">
        <v>31</v>
      </c>
      <c r="Q1312" t="s">
        <v>3596</v>
      </c>
      <c r="R1312" t="s">
        <v>3596</v>
      </c>
    </row>
    <row r="1313" spans="1:18" x14ac:dyDescent="0.3">
      <c r="A1313" s="2" t="str">
        <f>HYPERLINK(B1313,"Oppna PDF")</f>
        <v>Oppna PDF</v>
      </c>
      <c r="B1313" t="s">
        <v>3591</v>
      </c>
      <c r="C1313" t="s">
        <v>3597</v>
      </c>
      <c r="D1313" t="s">
        <v>3560</v>
      </c>
      <c r="E1313" t="s">
        <v>3593</v>
      </c>
      <c r="F1313" t="s">
        <v>3562</v>
      </c>
      <c r="G1313" t="s">
        <v>3563</v>
      </c>
      <c r="H1313" t="s">
        <v>61</v>
      </c>
      <c r="I1313" t="s">
        <v>3564</v>
      </c>
      <c r="J1313" t="s">
        <v>34</v>
      </c>
      <c r="K1313" t="s">
        <v>35</v>
      </c>
      <c r="L1313" t="s">
        <v>29</v>
      </c>
      <c r="M1313" t="s">
        <v>30</v>
      </c>
      <c r="N1313" t="s">
        <v>31</v>
      </c>
      <c r="Q1313" t="s">
        <v>3598</v>
      </c>
      <c r="R1313" t="s">
        <v>3598</v>
      </c>
    </row>
    <row r="1314" spans="1:18" x14ac:dyDescent="0.3">
      <c r="A1314" s="2" t="str">
        <f>HYPERLINK(B1314,"Oppna PDF")</f>
        <v>Oppna PDF</v>
      </c>
      <c r="B1314" t="s">
        <v>3599</v>
      </c>
      <c r="C1314" t="s">
        <v>3600</v>
      </c>
      <c r="D1314" t="s">
        <v>3560</v>
      </c>
      <c r="E1314" t="s">
        <v>3601</v>
      </c>
      <c r="F1314" t="s">
        <v>3562</v>
      </c>
      <c r="G1314" t="s">
        <v>3563</v>
      </c>
      <c r="H1314" t="s">
        <v>61</v>
      </c>
      <c r="I1314" t="s">
        <v>3564</v>
      </c>
      <c r="J1314" t="s">
        <v>34</v>
      </c>
      <c r="K1314" t="s">
        <v>35</v>
      </c>
      <c r="L1314" t="s">
        <v>29</v>
      </c>
      <c r="M1314" t="s">
        <v>30</v>
      </c>
      <c r="N1314" t="s">
        <v>31</v>
      </c>
      <c r="Q1314" t="s">
        <v>3598</v>
      </c>
      <c r="R1314" t="s">
        <v>3598</v>
      </c>
    </row>
    <row r="1315" spans="1:18" x14ac:dyDescent="0.3">
      <c r="A1315" s="2" t="str">
        <f>HYPERLINK(B1315,"Oppna PDF")</f>
        <v>Oppna PDF</v>
      </c>
      <c r="B1315" t="s">
        <v>3599</v>
      </c>
      <c r="C1315" t="s">
        <v>3602</v>
      </c>
      <c r="D1315" t="s">
        <v>3560</v>
      </c>
      <c r="E1315" t="s">
        <v>3601</v>
      </c>
      <c r="F1315" t="s">
        <v>3562</v>
      </c>
      <c r="G1315" t="s">
        <v>3563</v>
      </c>
      <c r="H1315" t="s">
        <v>61</v>
      </c>
      <c r="I1315" t="s">
        <v>3564</v>
      </c>
      <c r="J1315" t="s">
        <v>34</v>
      </c>
      <c r="K1315" t="s">
        <v>35</v>
      </c>
      <c r="L1315" t="s">
        <v>142</v>
      </c>
      <c r="M1315" t="s">
        <v>30</v>
      </c>
      <c r="N1315" t="s">
        <v>31</v>
      </c>
      <c r="Q1315" t="s">
        <v>3603</v>
      </c>
      <c r="R1315" t="s">
        <v>3603</v>
      </c>
    </row>
    <row r="1316" spans="1:18" x14ac:dyDescent="0.3">
      <c r="A1316" s="2" t="str">
        <f>HYPERLINK(B1316,"Oppna PDF")</f>
        <v>Oppna PDF</v>
      </c>
      <c r="B1316" t="s">
        <v>3604</v>
      </c>
      <c r="C1316" t="s">
        <v>3605</v>
      </c>
      <c r="D1316" t="s">
        <v>3560</v>
      </c>
      <c r="E1316" t="s">
        <v>3606</v>
      </c>
      <c r="F1316" t="s">
        <v>3562</v>
      </c>
      <c r="G1316" t="s">
        <v>3563</v>
      </c>
      <c r="H1316" t="s">
        <v>61</v>
      </c>
      <c r="I1316" t="s">
        <v>3564</v>
      </c>
      <c r="J1316" t="s">
        <v>34</v>
      </c>
      <c r="K1316" t="s">
        <v>35</v>
      </c>
      <c r="L1316" t="s">
        <v>29</v>
      </c>
      <c r="M1316" t="s">
        <v>30</v>
      </c>
      <c r="N1316" t="s">
        <v>31</v>
      </c>
      <c r="Q1316" t="s">
        <v>3607</v>
      </c>
      <c r="R1316" t="s">
        <v>3607</v>
      </c>
    </row>
    <row r="1317" spans="1:18" x14ac:dyDescent="0.3">
      <c r="A1317" s="2" t="str">
        <f>HYPERLINK(B1317,"Oppna PDF")</f>
        <v>Oppna PDF</v>
      </c>
      <c r="B1317" t="s">
        <v>3608</v>
      </c>
      <c r="C1317" t="s">
        <v>3609</v>
      </c>
      <c r="D1317" t="s">
        <v>3560</v>
      </c>
      <c r="E1317" t="s">
        <v>3610</v>
      </c>
      <c r="F1317" t="s">
        <v>3562</v>
      </c>
      <c r="G1317" t="s">
        <v>3563</v>
      </c>
      <c r="H1317" t="s">
        <v>61</v>
      </c>
      <c r="I1317" t="s">
        <v>3564</v>
      </c>
      <c r="J1317" t="s">
        <v>27</v>
      </c>
      <c r="K1317" t="s">
        <v>28</v>
      </c>
      <c r="L1317" t="s">
        <v>29</v>
      </c>
      <c r="M1317" t="s">
        <v>30</v>
      </c>
      <c r="N1317" t="s">
        <v>31</v>
      </c>
      <c r="Q1317" t="s">
        <v>3611</v>
      </c>
      <c r="R1317" t="s">
        <v>3612</v>
      </c>
    </row>
    <row r="1318" spans="1:18" x14ac:dyDescent="0.3">
      <c r="A1318" s="2" t="str">
        <f>HYPERLINK(B1318,"Oppna PDF")</f>
        <v>Oppna PDF</v>
      </c>
      <c r="B1318" t="s">
        <v>3613</v>
      </c>
      <c r="C1318" t="s">
        <v>3614</v>
      </c>
      <c r="D1318" t="s">
        <v>3615</v>
      </c>
      <c r="E1318" t="s">
        <v>3616</v>
      </c>
      <c r="F1318" t="s">
        <v>3562</v>
      </c>
      <c r="G1318" t="s">
        <v>3563</v>
      </c>
      <c r="H1318" t="s">
        <v>61</v>
      </c>
      <c r="I1318" t="s">
        <v>3564</v>
      </c>
      <c r="J1318" t="s">
        <v>27</v>
      </c>
      <c r="K1318" t="s">
        <v>28</v>
      </c>
      <c r="L1318" t="s">
        <v>29</v>
      </c>
      <c r="M1318" t="s">
        <v>30</v>
      </c>
      <c r="N1318" t="s">
        <v>31</v>
      </c>
      <c r="Q1318" t="s">
        <v>3565</v>
      </c>
      <c r="R1318" t="s">
        <v>3566</v>
      </c>
    </row>
    <row r="1319" spans="1:18" x14ac:dyDescent="0.3">
      <c r="A1319" s="2" t="str">
        <f>HYPERLINK(B1319,"Oppna PDF")</f>
        <v>Oppna PDF</v>
      </c>
      <c r="B1319" t="s">
        <v>3617</v>
      </c>
      <c r="C1319" t="s">
        <v>3618</v>
      </c>
      <c r="D1319" t="s">
        <v>3615</v>
      </c>
      <c r="E1319" t="s">
        <v>3619</v>
      </c>
      <c r="F1319" t="s">
        <v>3562</v>
      </c>
      <c r="G1319" t="s">
        <v>3563</v>
      </c>
      <c r="H1319" t="s">
        <v>61</v>
      </c>
      <c r="I1319" t="s">
        <v>3564</v>
      </c>
      <c r="J1319" t="s">
        <v>27</v>
      </c>
      <c r="K1319" t="s">
        <v>28</v>
      </c>
      <c r="L1319" t="s">
        <v>29</v>
      </c>
      <c r="M1319" t="s">
        <v>30</v>
      </c>
      <c r="N1319" t="s">
        <v>31</v>
      </c>
      <c r="Q1319" t="s">
        <v>3570</v>
      </c>
      <c r="R1319" t="s">
        <v>3570</v>
      </c>
    </row>
    <row r="1320" spans="1:18" x14ac:dyDescent="0.3">
      <c r="A1320" s="2" t="str">
        <f>HYPERLINK(B1320,"Oppna PDF")</f>
        <v>Oppna PDF</v>
      </c>
      <c r="B1320" t="s">
        <v>3617</v>
      </c>
      <c r="C1320" t="s">
        <v>3620</v>
      </c>
      <c r="D1320" t="s">
        <v>3615</v>
      </c>
      <c r="E1320" t="s">
        <v>3619</v>
      </c>
      <c r="F1320" t="s">
        <v>3562</v>
      </c>
      <c r="G1320" t="s">
        <v>3563</v>
      </c>
      <c r="H1320" t="s">
        <v>61</v>
      </c>
      <c r="I1320" t="s">
        <v>3564</v>
      </c>
      <c r="J1320" t="s">
        <v>27</v>
      </c>
      <c r="K1320" t="s">
        <v>28</v>
      </c>
      <c r="L1320" t="s">
        <v>29</v>
      </c>
      <c r="M1320" t="s">
        <v>30</v>
      </c>
      <c r="N1320" t="s">
        <v>31</v>
      </c>
      <c r="Q1320" t="s">
        <v>3572</v>
      </c>
      <c r="R1320" t="s">
        <v>3572</v>
      </c>
    </row>
    <row r="1321" spans="1:18" x14ac:dyDescent="0.3">
      <c r="A1321" s="2" t="str">
        <f>HYPERLINK(B1321,"Oppna PDF")</f>
        <v>Oppna PDF</v>
      </c>
      <c r="B1321" t="s">
        <v>3617</v>
      </c>
      <c r="C1321" t="s">
        <v>3621</v>
      </c>
      <c r="D1321" t="s">
        <v>3615</v>
      </c>
      <c r="E1321" t="s">
        <v>3619</v>
      </c>
      <c r="F1321" t="s">
        <v>3562</v>
      </c>
      <c r="G1321" t="s">
        <v>3563</v>
      </c>
      <c r="H1321" t="s">
        <v>61</v>
      </c>
      <c r="I1321" t="s">
        <v>3564</v>
      </c>
      <c r="J1321" t="s">
        <v>87</v>
      </c>
      <c r="K1321" t="s">
        <v>88</v>
      </c>
      <c r="L1321" t="s">
        <v>29</v>
      </c>
      <c r="M1321" t="s">
        <v>30</v>
      </c>
      <c r="N1321" t="s">
        <v>31</v>
      </c>
      <c r="Q1321" t="s">
        <v>3574</v>
      </c>
      <c r="R1321" t="s">
        <v>3574</v>
      </c>
    </row>
    <row r="1322" spans="1:18" x14ac:dyDescent="0.3">
      <c r="A1322" s="2" t="str">
        <f>HYPERLINK(B1322,"Oppna PDF")</f>
        <v>Oppna PDF</v>
      </c>
      <c r="B1322" t="s">
        <v>3622</v>
      </c>
      <c r="C1322" t="s">
        <v>3623</v>
      </c>
      <c r="D1322" t="s">
        <v>3615</v>
      </c>
      <c r="E1322" t="s">
        <v>3624</v>
      </c>
      <c r="F1322" t="s">
        <v>3562</v>
      </c>
      <c r="G1322" t="s">
        <v>3563</v>
      </c>
      <c r="H1322" t="s">
        <v>61</v>
      </c>
      <c r="I1322" t="s">
        <v>3564</v>
      </c>
      <c r="J1322" t="s">
        <v>27</v>
      </c>
      <c r="K1322" t="s">
        <v>28</v>
      </c>
      <c r="L1322" t="s">
        <v>29</v>
      </c>
      <c r="M1322" t="s">
        <v>30</v>
      </c>
      <c r="N1322" t="s">
        <v>31</v>
      </c>
      <c r="Q1322" t="s">
        <v>3578</v>
      </c>
      <c r="R1322" t="s">
        <v>3578</v>
      </c>
    </row>
    <row r="1323" spans="1:18" x14ac:dyDescent="0.3">
      <c r="A1323" s="2" t="str">
        <f>HYPERLINK(B1323,"Oppna PDF")</f>
        <v>Oppna PDF</v>
      </c>
      <c r="B1323" t="s">
        <v>3622</v>
      </c>
      <c r="C1323" t="s">
        <v>3625</v>
      </c>
      <c r="D1323" t="s">
        <v>3615</v>
      </c>
      <c r="E1323" t="s">
        <v>3624</v>
      </c>
      <c r="F1323" t="s">
        <v>3562</v>
      </c>
      <c r="G1323" t="s">
        <v>3563</v>
      </c>
      <c r="H1323" t="s">
        <v>61</v>
      </c>
      <c r="I1323" t="s">
        <v>3564</v>
      </c>
      <c r="J1323" t="s">
        <v>91</v>
      </c>
      <c r="K1323" t="s">
        <v>92</v>
      </c>
      <c r="L1323" t="s">
        <v>29</v>
      </c>
      <c r="M1323" t="s">
        <v>30</v>
      </c>
      <c r="N1323" t="s">
        <v>31</v>
      </c>
      <c r="Q1323" t="s">
        <v>3580</v>
      </c>
      <c r="R1323" t="s">
        <v>3580</v>
      </c>
    </row>
    <row r="1324" spans="1:18" x14ac:dyDescent="0.3">
      <c r="A1324" s="2" t="str">
        <f>HYPERLINK(B1324,"Oppna PDF")</f>
        <v>Oppna PDF</v>
      </c>
      <c r="B1324" t="s">
        <v>3622</v>
      </c>
      <c r="C1324" t="s">
        <v>3626</v>
      </c>
      <c r="D1324" t="s">
        <v>3615</v>
      </c>
      <c r="E1324" t="s">
        <v>3624</v>
      </c>
      <c r="F1324" t="s">
        <v>3562</v>
      </c>
      <c r="G1324" t="s">
        <v>3563</v>
      </c>
      <c r="H1324" t="s">
        <v>61</v>
      </c>
      <c r="I1324" t="s">
        <v>3564</v>
      </c>
      <c r="J1324" t="s">
        <v>34</v>
      </c>
      <c r="K1324" t="s">
        <v>35</v>
      </c>
      <c r="L1324" t="s">
        <v>29</v>
      </c>
      <c r="M1324" t="s">
        <v>30</v>
      </c>
      <c r="N1324" t="s">
        <v>31</v>
      </c>
      <c r="Q1324" t="s">
        <v>3582</v>
      </c>
      <c r="R1324" t="s">
        <v>3582</v>
      </c>
    </row>
    <row r="1325" spans="1:18" x14ac:dyDescent="0.3">
      <c r="A1325" s="2" t="str">
        <f>HYPERLINK(B1325,"Oppna PDF")</f>
        <v>Oppna PDF</v>
      </c>
      <c r="B1325" t="s">
        <v>3627</v>
      </c>
      <c r="C1325" t="s">
        <v>3628</v>
      </c>
      <c r="D1325" t="s">
        <v>3615</v>
      </c>
      <c r="E1325" t="s">
        <v>3629</v>
      </c>
      <c r="F1325" t="s">
        <v>3562</v>
      </c>
      <c r="G1325" t="s">
        <v>3563</v>
      </c>
      <c r="H1325" t="s">
        <v>61</v>
      </c>
      <c r="I1325" t="s">
        <v>3564</v>
      </c>
      <c r="J1325" t="s">
        <v>27</v>
      </c>
      <c r="K1325" t="s">
        <v>28</v>
      </c>
      <c r="L1325" t="s">
        <v>300</v>
      </c>
      <c r="M1325" t="s">
        <v>30</v>
      </c>
      <c r="N1325" t="s">
        <v>31</v>
      </c>
      <c r="Q1325" t="s">
        <v>3586</v>
      </c>
      <c r="R1325" t="s">
        <v>3586</v>
      </c>
    </row>
    <row r="1326" spans="1:18" x14ac:dyDescent="0.3">
      <c r="A1326" s="2" t="str">
        <f>HYPERLINK(B1326,"Oppna PDF")</f>
        <v>Oppna PDF</v>
      </c>
      <c r="B1326" t="s">
        <v>3627</v>
      </c>
      <c r="C1326" t="s">
        <v>3630</v>
      </c>
      <c r="D1326" t="s">
        <v>3615</v>
      </c>
      <c r="E1326" t="s">
        <v>3629</v>
      </c>
      <c r="F1326" t="s">
        <v>3562</v>
      </c>
      <c r="G1326" t="s">
        <v>3563</v>
      </c>
      <c r="H1326" t="s">
        <v>61</v>
      </c>
      <c r="I1326" t="s">
        <v>3564</v>
      </c>
      <c r="J1326" t="s">
        <v>34</v>
      </c>
      <c r="K1326" t="s">
        <v>35</v>
      </c>
      <c r="L1326" t="s">
        <v>300</v>
      </c>
      <c r="M1326" t="s">
        <v>30</v>
      </c>
      <c r="N1326" t="s">
        <v>31</v>
      </c>
      <c r="Q1326" t="s">
        <v>3588</v>
      </c>
      <c r="R1326" t="s">
        <v>3588</v>
      </c>
    </row>
    <row r="1327" spans="1:18" x14ac:dyDescent="0.3">
      <c r="A1327" s="2" t="str">
        <f>HYPERLINK(B1327,"Oppna PDF")</f>
        <v>Oppna PDF</v>
      </c>
      <c r="B1327" t="s">
        <v>3627</v>
      </c>
      <c r="C1327" t="s">
        <v>3631</v>
      </c>
      <c r="D1327" t="s">
        <v>3615</v>
      </c>
      <c r="E1327" t="s">
        <v>3629</v>
      </c>
      <c r="F1327" t="s">
        <v>3562</v>
      </c>
      <c r="G1327" t="s">
        <v>3563</v>
      </c>
      <c r="H1327" t="s">
        <v>61</v>
      </c>
      <c r="I1327" t="s">
        <v>3564</v>
      </c>
      <c r="J1327" t="s">
        <v>34</v>
      </c>
      <c r="K1327" t="s">
        <v>35</v>
      </c>
      <c r="L1327" t="s">
        <v>300</v>
      </c>
      <c r="M1327" t="s">
        <v>30</v>
      </c>
      <c r="N1327" t="s">
        <v>31</v>
      </c>
      <c r="Q1327" t="s">
        <v>3590</v>
      </c>
      <c r="R1327" t="s">
        <v>3590</v>
      </c>
    </row>
    <row r="1328" spans="1:18" x14ac:dyDescent="0.3">
      <c r="A1328" s="2" t="str">
        <f>HYPERLINK(B1328,"Oppna PDF")</f>
        <v>Oppna PDF</v>
      </c>
      <c r="B1328" t="s">
        <v>3632</v>
      </c>
      <c r="C1328" t="s">
        <v>3633</v>
      </c>
      <c r="D1328" t="s">
        <v>3615</v>
      </c>
      <c r="E1328" t="s">
        <v>3634</v>
      </c>
      <c r="F1328" t="s">
        <v>3562</v>
      </c>
      <c r="G1328" t="s">
        <v>3563</v>
      </c>
      <c r="H1328" t="s">
        <v>61</v>
      </c>
      <c r="I1328" t="s">
        <v>3564</v>
      </c>
      <c r="J1328" t="s">
        <v>27</v>
      </c>
      <c r="K1328" t="s">
        <v>28</v>
      </c>
      <c r="L1328" t="s">
        <v>142</v>
      </c>
      <c r="M1328" t="s">
        <v>30</v>
      </c>
      <c r="N1328" t="s">
        <v>31</v>
      </c>
      <c r="Q1328" t="s">
        <v>3594</v>
      </c>
      <c r="R1328" t="s">
        <v>3594</v>
      </c>
    </row>
    <row r="1329" spans="1:18" x14ac:dyDescent="0.3">
      <c r="A1329" s="2" t="str">
        <f>HYPERLINK(B1329,"Oppna PDF")</f>
        <v>Oppna PDF</v>
      </c>
      <c r="B1329" t="s">
        <v>3632</v>
      </c>
      <c r="C1329" t="s">
        <v>3635</v>
      </c>
      <c r="D1329" t="s">
        <v>3615</v>
      </c>
      <c r="E1329" t="s">
        <v>3634</v>
      </c>
      <c r="F1329" t="s">
        <v>3562</v>
      </c>
      <c r="G1329" t="s">
        <v>3563</v>
      </c>
      <c r="H1329" t="s">
        <v>61</v>
      </c>
      <c r="I1329" t="s">
        <v>3564</v>
      </c>
      <c r="J1329" t="s">
        <v>27</v>
      </c>
      <c r="K1329" t="s">
        <v>28</v>
      </c>
      <c r="L1329" t="s">
        <v>29</v>
      </c>
      <c r="M1329" t="s">
        <v>30</v>
      </c>
      <c r="N1329" t="s">
        <v>31</v>
      </c>
      <c r="Q1329" t="s">
        <v>3596</v>
      </c>
      <c r="R1329" t="s">
        <v>3596</v>
      </c>
    </row>
    <row r="1330" spans="1:18" x14ac:dyDescent="0.3">
      <c r="A1330" s="2" t="str">
        <f>HYPERLINK(B1330,"Oppna PDF")</f>
        <v>Oppna PDF</v>
      </c>
      <c r="B1330" t="s">
        <v>3632</v>
      </c>
      <c r="C1330" t="s">
        <v>3636</v>
      </c>
      <c r="D1330" t="s">
        <v>3615</v>
      </c>
      <c r="E1330" t="s">
        <v>3634</v>
      </c>
      <c r="F1330" t="s">
        <v>3562</v>
      </c>
      <c r="G1330" t="s">
        <v>3563</v>
      </c>
      <c r="H1330" t="s">
        <v>61</v>
      </c>
      <c r="I1330" t="s">
        <v>3564</v>
      </c>
      <c r="J1330" t="s">
        <v>34</v>
      </c>
      <c r="K1330" t="s">
        <v>35</v>
      </c>
      <c r="L1330" t="s">
        <v>29</v>
      </c>
      <c r="M1330" t="s">
        <v>30</v>
      </c>
      <c r="N1330" t="s">
        <v>31</v>
      </c>
      <c r="Q1330" t="s">
        <v>3598</v>
      </c>
      <c r="R1330" t="s">
        <v>3598</v>
      </c>
    </row>
    <row r="1331" spans="1:18" x14ac:dyDescent="0.3">
      <c r="A1331" s="2" t="str">
        <f>HYPERLINK(B1331,"Oppna PDF")</f>
        <v>Oppna PDF</v>
      </c>
      <c r="B1331" t="s">
        <v>3637</v>
      </c>
      <c r="C1331" t="s">
        <v>3638</v>
      </c>
      <c r="D1331" t="s">
        <v>3615</v>
      </c>
      <c r="E1331" t="s">
        <v>3639</v>
      </c>
      <c r="F1331" t="s">
        <v>3562</v>
      </c>
      <c r="G1331" t="s">
        <v>3563</v>
      </c>
      <c r="H1331" t="s">
        <v>61</v>
      </c>
      <c r="I1331" t="s">
        <v>3564</v>
      </c>
      <c r="J1331" t="s">
        <v>34</v>
      </c>
      <c r="K1331" t="s">
        <v>35</v>
      </c>
      <c r="L1331" t="s">
        <v>29</v>
      </c>
      <c r="M1331" t="s">
        <v>30</v>
      </c>
      <c r="N1331" t="s">
        <v>31</v>
      </c>
      <c r="Q1331" t="s">
        <v>3598</v>
      </c>
      <c r="R1331" t="s">
        <v>3598</v>
      </c>
    </row>
    <row r="1332" spans="1:18" x14ac:dyDescent="0.3">
      <c r="A1332" s="2" t="str">
        <f>HYPERLINK(B1332,"Oppna PDF")</f>
        <v>Oppna PDF</v>
      </c>
      <c r="B1332" t="s">
        <v>3637</v>
      </c>
      <c r="C1332" t="s">
        <v>3640</v>
      </c>
      <c r="D1332" t="s">
        <v>3615</v>
      </c>
      <c r="E1332" t="s">
        <v>3639</v>
      </c>
      <c r="F1332" t="s">
        <v>3562</v>
      </c>
      <c r="G1332" t="s">
        <v>3563</v>
      </c>
      <c r="H1332" t="s">
        <v>61</v>
      </c>
      <c r="I1332" t="s">
        <v>3564</v>
      </c>
      <c r="J1332" t="s">
        <v>34</v>
      </c>
      <c r="K1332" t="s">
        <v>35</v>
      </c>
      <c r="L1332" t="s">
        <v>142</v>
      </c>
      <c r="M1332" t="s">
        <v>30</v>
      </c>
      <c r="N1332" t="s">
        <v>31</v>
      </c>
      <c r="Q1332" t="s">
        <v>3603</v>
      </c>
      <c r="R1332" t="s">
        <v>3603</v>
      </c>
    </row>
    <row r="1333" spans="1:18" x14ac:dyDescent="0.3">
      <c r="A1333" s="2" t="str">
        <f>HYPERLINK(B1333,"Oppna PDF")</f>
        <v>Oppna PDF</v>
      </c>
      <c r="B1333" t="s">
        <v>3641</v>
      </c>
      <c r="C1333" t="s">
        <v>3642</v>
      </c>
      <c r="D1333" t="s">
        <v>3615</v>
      </c>
      <c r="E1333" t="s">
        <v>3643</v>
      </c>
      <c r="F1333" t="s">
        <v>3562</v>
      </c>
      <c r="G1333" t="s">
        <v>3563</v>
      </c>
      <c r="H1333" t="s">
        <v>61</v>
      </c>
      <c r="I1333" t="s">
        <v>3564</v>
      </c>
      <c r="J1333" t="s">
        <v>34</v>
      </c>
      <c r="K1333" t="s">
        <v>35</v>
      </c>
      <c r="L1333" t="s">
        <v>29</v>
      </c>
      <c r="M1333" t="s">
        <v>30</v>
      </c>
      <c r="N1333" t="s">
        <v>31</v>
      </c>
      <c r="Q1333" t="s">
        <v>3607</v>
      </c>
      <c r="R1333" t="s">
        <v>3607</v>
      </c>
    </row>
    <row r="1334" spans="1:18" x14ac:dyDescent="0.3">
      <c r="A1334" s="2" t="str">
        <f>HYPERLINK(B1334,"Oppna PDF")</f>
        <v>Oppna PDF</v>
      </c>
      <c r="B1334" t="s">
        <v>3644</v>
      </c>
      <c r="C1334" t="s">
        <v>3645</v>
      </c>
      <c r="D1334" t="s">
        <v>3615</v>
      </c>
      <c r="E1334" t="s">
        <v>3646</v>
      </c>
      <c r="F1334" t="s">
        <v>3562</v>
      </c>
      <c r="G1334" t="s">
        <v>3563</v>
      </c>
      <c r="H1334" t="s">
        <v>61</v>
      </c>
      <c r="I1334" t="s">
        <v>3564</v>
      </c>
      <c r="J1334" t="s">
        <v>27</v>
      </c>
      <c r="K1334" t="s">
        <v>28</v>
      </c>
      <c r="L1334" t="s">
        <v>29</v>
      </c>
      <c r="M1334" t="s">
        <v>30</v>
      </c>
      <c r="N1334" t="s">
        <v>31</v>
      </c>
      <c r="Q1334" t="s">
        <v>3611</v>
      </c>
      <c r="R1334" t="s">
        <v>3612</v>
      </c>
    </row>
    <row r="1335" spans="1:18" x14ac:dyDescent="0.3">
      <c r="A1335" s="2" t="str">
        <f>HYPERLINK(B1335,"Oppna PDF")</f>
        <v>Oppna PDF</v>
      </c>
      <c r="B1335" t="s">
        <v>3647</v>
      </c>
      <c r="C1335" t="s">
        <v>3648</v>
      </c>
      <c r="D1335" t="s">
        <v>3649</v>
      </c>
      <c r="E1335" t="s">
        <v>3650</v>
      </c>
      <c r="F1335" t="e">
        <f>-- Miljökontoret Söderköpings</f>
        <v>#NAME?</v>
      </c>
      <c r="G1335" t="e">
        <f>-- Miljökontoret Söderköpings kommun</f>
        <v>#NAME?</v>
      </c>
      <c r="H1335" t="s">
        <v>25</v>
      </c>
      <c r="I1335" t="s">
        <v>3651</v>
      </c>
      <c r="J1335" t="s">
        <v>27</v>
      </c>
      <c r="K1335" t="s">
        <v>28</v>
      </c>
      <c r="L1335" t="s">
        <v>29</v>
      </c>
      <c r="M1335" t="s">
        <v>30</v>
      </c>
      <c r="N1335" t="s">
        <v>31</v>
      </c>
      <c r="Q1335" t="s">
        <v>3652</v>
      </c>
      <c r="R1335" t="s">
        <v>3652</v>
      </c>
    </row>
    <row r="1336" spans="1:18" x14ac:dyDescent="0.3">
      <c r="A1336" s="2" t="str">
        <f>HYPERLINK(B1336,"Oppna PDF")</f>
        <v>Oppna PDF</v>
      </c>
      <c r="B1336" t="s">
        <v>3647</v>
      </c>
      <c r="C1336" t="s">
        <v>3653</v>
      </c>
      <c r="D1336" t="s">
        <v>3649</v>
      </c>
      <c r="E1336" t="s">
        <v>3650</v>
      </c>
      <c r="F1336" t="e">
        <f>-- Miljökontoret Söderköpings</f>
        <v>#NAME?</v>
      </c>
      <c r="G1336" t="e">
        <f>-- Miljökontoret Söderköpings kommun</f>
        <v>#NAME?</v>
      </c>
      <c r="H1336" t="s">
        <v>25</v>
      </c>
      <c r="I1336" t="s">
        <v>3651</v>
      </c>
      <c r="J1336" t="s">
        <v>3654</v>
      </c>
      <c r="K1336" t="s">
        <v>3655</v>
      </c>
      <c r="L1336" t="s">
        <v>29</v>
      </c>
      <c r="M1336" t="s">
        <v>30</v>
      </c>
      <c r="N1336" t="s">
        <v>31</v>
      </c>
      <c r="Q1336" t="s">
        <v>3656</v>
      </c>
      <c r="R1336" t="s">
        <v>3656</v>
      </c>
    </row>
    <row r="1337" spans="1:18" x14ac:dyDescent="0.3">
      <c r="A1337" s="2" t="str">
        <f>HYPERLINK(B1337,"Oppna PDF")</f>
        <v>Oppna PDF</v>
      </c>
      <c r="B1337" t="s">
        <v>3657</v>
      </c>
      <c r="C1337" t="s">
        <v>3658</v>
      </c>
      <c r="D1337" t="s">
        <v>3659</v>
      </c>
      <c r="E1337" t="s">
        <v>3660</v>
      </c>
      <c r="F1337" t="s">
        <v>3661</v>
      </c>
      <c r="G1337" t="s">
        <v>3662</v>
      </c>
      <c r="H1337" t="s">
        <v>25</v>
      </c>
      <c r="I1337" t="s">
        <v>3651</v>
      </c>
      <c r="J1337" t="s">
        <v>27</v>
      </c>
      <c r="K1337" t="s">
        <v>28</v>
      </c>
      <c r="L1337" t="s">
        <v>29</v>
      </c>
      <c r="M1337" t="s">
        <v>30</v>
      </c>
      <c r="N1337" t="s">
        <v>31</v>
      </c>
      <c r="Q1337" t="s">
        <v>3652</v>
      </c>
      <c r="R1337" t="s">
        <v>3652</v>
      </c>
    </row>
    <row r="1338" spans="1:18" x14ac:dyDescent="0.3">
      <c r="A1338" s="2" t="str">
        <f>HYPERLINK(B1338,"Oppna PDF")</f>
        <v>Oppna PDF</v>
      </c>
      <c r="B1338" t="s">
        <v>3657</v>
      </c>
      <c r="C1338" t="s">
        <v>3663</v>
      </c>
      <c r="D1338" t="s">
        <v>3659</v>
      </c>
      <c r="E1338" t="s">
        <v>3660</v>
      </c>
      <c r="F1338" t="s">
        <v>3661</v>
      </c>
      <c r="G1338" t="s">
        <v>3662</v>
      </c>
      <c r="H1338" t="s">
        <v>25</v>
      </c>
      <c r="I1338" t="s">
        <v>3651</v>
      </c>
      <c r="J1338" t="s">
        <v>3654</v>
      </c>
      <c r="K1338" t="s">
        <v>3655</v>
      </c>
      <c r="L1338" t="s">
        <v>29</v>
      </c>
      <c r="M1338" t="s">
        <v>30</v>
      </c>
      <c r="N1338" t="s">
        <v>31</v>
      </c>
      <c r="Q1338" t="s">
        <v>3656</v>
      </c>
      <c r="R1338" t="s">
        <v>3656</v>
      </c>
    </row>
    <row r="1339" spans="1:18" x14ac:dyDescent="0.3">
      <c r="A1339" s="2" t="str">
        <f>HYPERLINK(B1339,"Oppna PDF")</f>
        <v>Oppna PDF</v>
      </c>
      <c r="B1339" t="s">
        <v>3664</v>
      </c>
      <c r="C1339" t="s">
        <v>3665</v>
      </c>
      <c r="D1339" t="s">
        <v>3666</v>
      </c>
      <c r="E1339" t="s">
        <v>3667</v>
      </c>
      <c r="F1339" t="s">
        <v>3668</v>
      </c>
      <c r="G1339" t="s">
        <v>3669</v>
      </c>
      <c r="H1339" t="s">
        <v>61</v>
      </c>
      <c r="I1339" t="s">
        <v>3670</v>
      </c>
      <c r="J1339" t="s">
        <v>34</v>
      </c>
      <c r="K1339" t="s">
        <v>35</v>
      </c>
      <c r="L1339" t="s">
        <v>29</v>
      </c>
      <c r="M1339" t="s">
        <v>30</v>
      </c>
      <c r="N1339" t="s">
        <v>31</v>
      </c>
      <c r="Q1339" t="s">
        <v>3671</v>
      </c>
      <c r="R1339" t="s">
        <v>3671</v>
      </c>
    </row>
    <row r="1340" spans="1:18" x14ac:dyDescent="0.3">
      <c r="A1340" s="2" t="str">
        <f>HYPERLINK(B1340,"Oppna PDF")</f>
        <v>Oppna PDF</v>
      </c>
      <c r="B1340" t="s">
        <v>3664</v>
      </c>
      <c r="C1340" t="s">
        <v>3672</v>
      </c>
      <c r="D1340" t="s">
        <v>3666</v>
      </c>
      <c r="E1340" t="s">
        <v>3667</v>
      </c>
      <c r="F1340" t="s">
        <v>3668</v>
      </c>
      <c r="G1340" t="s">
        <v>3669</v>
      </c>
      <c r="H1340" t="s">
        <v>61</v>
      </c>
      <c r="I1340" t="s">
        <v>3670</v>
      </c>
      <c r="J1340" t="s">
        <v>91</v>
      </c>
      <c r="K1340" t="s">
        <v>92</v>
      </c>
      <c r="L1340" t="s">
        <v>29</v>
      </c>
      <c r="M1340" t="s">
        <v>30</v>
      </c>
      <c r="N1340" t="s">
        <v>31</v>
      </c>
      <c r="Q1340" t="s">
        <v>3673</v>
      </c>
      <c r="R1340" t="s">
        <v>3673</v>
      </c>
    </row>
    <row r="1341" spans="1:18" x14ac:dyDescent="0.3">
      <c r="A1341" s="2" t="str">
        <f>HYPERLINK(B1341,"Oppna PDF")</f>
        <v>Oppna PDF</v>
      </c>
      <c r="B1341" t="s">
        <v>3664</v>
      </c>
      <c r="C1341" t="s">
        <v>3674</v>
      </c>
      <c r="D1341" t="s">
        <v>3666</v>
      </c>
      <c r="E1341" t="s">
        <v>3667</v>
      </c>
      <c r="F1341" t="s">
        <v>3668</v>
      </c>
      <c r="G1341" t="s">
        <v>3669</v>
      </c>
      <c r="H1341" t="s">
        <v>61</v>
      </c>
      <c r="I1341" t="s">
        <v>3670</v>
      </c>
      <c r="J1341" t="s">
        <v>38</v>
      </c>
      <c r="K1341" t="s">
        <v>39</v>
      </c>
      <c r="L1341" t="s">
        <v>29</v>
      </c>
      <c r="M1341" t="s">
        <v>30</v>
      </c>
      <c r="N1341" t="s">
        <v>31</v>
      </c>
      <c r="Q1341" t="s">
        <v>1675</v>
      </c>
      <c r="R1341" t="s">
        <v>1675</v>
      </c>
    </row>
    <row r="1342" spans="1:18" x14ac:dyDescent="0.3">
      <c r="A1342" s="2" t="str">
        <f>HYPERLINK(B1342,"Oppna PDF")</f>
        <v>Oppna PDF</v>
      </c>
      <c r="B1342" t="s">
        <v>3675</v>
      </c>
      <c r="C1342" t="s">
        <v>3676</v>
      </c>
      <c r="D1342" t="s">
        <v>3666</v>
      </c>
      <c r="E1342" t="s">
        <v>3677</v>
      </c>
      <c r="F1342" t="s">
        <v>3668</v>
      </c>
      <c r="G1342" t="s">
        <v>3669</v>
      </c>
      <c r="H1342" t="s">
        <v>61</v>
      </c>
      <c r="I1342" t="s">
        <v>3670</v>
      </c>
      <c r="J1342" t="s">
        <v>38</v>
      </c>
      <c r="K1342" t="s">
        <v>39</v>
      </c>
      <c r="L1342" t="s">
        <v>29</v>
      </c>
      <c r="M1342" t="s">
        <v>30</v>
      </c>
      <c r="N1342" t="s">
        <v>31</v>
      </c>
      <c r="Q1342" t="s">
        <v>3678</v>
      </c>
      <c r="R1342" t="s">
        <v>3679</v>
      </c>
    </row>
    <row r="1343" spans="1:18" x14ac:dyDescent="0.3">
      <c r="A1343" s="2" t="str">
        <f>HYPERLINK(B1343,"Oppna PDF")</f>
        <v>Oppna PDF</v>
      </c>
      <c r="B1343" t="s">
        <v>3675</v>
      </c>
      <c r="C1343" t="s">
        <v>3680</v>
      </c>
      <c r="D1343" t="s">
        <v>3666</v>
      </c>
      <c r="E1343" t="s">
        <v>3677</v>
      </c>
      <c r="F1343" t="s">
        <v>3668</v>
      </c>
      <c r="G1343" t="s">
        <v>3669</v>
      </c>
      <c r="H1343" t="s">
        <v>61</v>
      </c>
      <c r="I1343" t="s">
        <v>3670</v>
      </c>
      <c r="J1343" t="s">
        <v>34</v>
      </c>
      <c r="K1343" t="s">
        <v>35</v>
      </c>
      <c r="L1343" t="s">
        <v>29</v>
      </c>
      <c r="M1343" t="s">
        <v>30</v>
      </c>
      <c r="N1343" t="s">
        <v>31</v>
      </c>
      <c r="Q1343" t="s">
        <v>3681</v>
      </c>
      <c r="R1343" t="s">
        <v>3682</v>
      </c>
    </row>
    <row r="1344" spans="1:18" x14ac:dyDescent="0.3">
      <c r="A1344" s="2" t="str">
        <f>HYPERLINK(B1344,"Oppna PDF")</f>
        <v>Oppna PDF</v>
      </c>
      <c r="B1344" t="s">
        <v>3675</v>
      </c>
      <c r="C1344" t="s">
        <v>3683</v>
      </c>
      <c r="D1344" t="s">
        <v>3666</v>
      </c>
      <c r="E1344" t="s">
        <v>3677</v>
      </c>
      <c r="F1344" t="s">
        <v>3668</v>
      </c>
      <c r="G1344" t="s">
        <v>3669</v>
      </c>
      <c r="H1344" t="s">
        <v>61</v>
      </c>
      <c r="I1344" t="s">
        <v>3670</v>
      </c>
      <c r="J1344" t="s">
        <v>91</v>
      </c>
      <c r="K1344" t="s">
        <v>92</v>
      </c>
      <c r="L1344" t="s">
        <v>29</v>
      </c>
      <c r="M1344" t="s">
        <v>30</v>
      </c>
      <c r="N1344" t="s">
        <v>31</v>
      </c>
      <c r="Q1344" t="s">
        <v>3684</v>
      </c>
      <c r="R1344" t="s">
        <v>3684</v>
      </c>
    </row>
    <row r="1345" spans="1:18" x14ac:dyDescent="0.3">
      <c r="A1345" s="2" t="str">
        <f>HYPERLINK(B1345,"Oppna PDF")</f>
        <v>Oppna PDF</v>
      </c>
      <c r="B1345" t="s">
        <v>3685</v>
      </c>
      <c r="C1345" t="s">
        <v>3686</v>
      </c>
      <c r="D1345" t="s">
        <v>3666</v>
      </c>
      <c r="E1345" t="s">
        <v>3687</v>
      </c>
      <c r="F1345" t="s">
        <v>3668</v>
      </c>
      <c r="G1345" t="s">
        <v>3669</v>
      </c>
      <c r="H1345" t="s">
        <v>61</v>
      </c>
      <c r="I1345" t="s">
        <v>3670</v>
      </c>
      <c r="J1345" t="s">
        <v>38</v>
      </c>
      <c r="K1345" t="s">
        <v>39</v>
      </c>
      <c r="L1345" t="s">
        <v>29</v>
      </c>
      <c r="M1345" t="s">
        <v>30</v>
      </c>
      <c r="N1345" t="s">
        <v>31</v>
      </c>
      <c r="Q1345" t="s">
        <v>3688</v>
      </c>
      <c r="R1345" t="s">
        <v>3688</v>
      </c>
    </row>
    <row r="1346" spans="1:18" x14ac:dyDescent="0.3">
      <c r="A1346" s="2" t="str">
        <f>HYPERLINK(B1346,"Oppna PDF")</f>
        <v>Oppna PDF</v>
      </c>
      <c r="B1346" t="s">
        <v>3685</v>
      </c>
      <c r="C1346" t="s">
        <v>3689</v>
      </c>
      <c r="D1346" t="s">
        <v>3666</v>
      </c>
      <c r="E1346" t="s">
        <v>3687</v>
      </c>
      <c r="F1346" t="s">
        <v>3668</v>
      </c>
      <c r="G1346" t="s">
        <v>3669</v>
      </c>
      <c r="H1346" t="s">
        <v>61</v>
      </c>
      <c r="I1346" t="s">
        <v>3670</v>
      </c>
      <c r="J1346" t="s">
        <v>38</v>
      </c>
      <c r="K1346" t="s">
        <v>39</v>
      </c>
      <c r="L1346" t="s">
        <v>29</v>
      </c>
      <c r="M1346" t="s">
        <v>30</v>
      </c>
      <c r="N1346" t="s">
        <v>31</v>
      </c>
      <c r="Q1346" t="s">
        <v>3690</v>
      </c>
      <c r="R1346" t="s">
        <v>3690</v>
      </c>
    </row>
    <row r="1347" spans="1:18" x14ac:dyDescent="0.3">
      <c r="A1347" s="2" t="str">
        <f>HYPERLINK(B1347,"Oppna PDF")</f>
        <v>Oppna PDF</v>
      </c>
      <c r="B1347" t="s">
        <v>3685</v>
      </c>
      <c r="C1347" t="s">
        <v>3691</v>
      </c>
      <c r="D1347" t="s">
        <v>3666</v>
      </c>
      <c r="E1347" t="s">
        <v>3687</v>
      </c>
      <c r="F1347" t="s">
        <v>3668</v>
      </c>
      <c r="G1347" t="s">
        <v>3669</v>
      </c>
      <c r="H1347" t="s">
        <v>61</v>
      </c>
      <c r="I1347" t="s">
        <v>3670</v>
      </c>
      <c r="J1347" t="s">
        <v>48</v>
      </c>
      <c r="K1347" t="s">
        <v>49</v>
      </c>
      <c r="L1347" t="s">
        <v>29</v>
      </c>
      <c r="M1347" t="s">
        <v>30</v>
      </c>
      <c r="N1347" t="s">
        <v>31</v>
      </c>
      <c r="Q1347" t="s">
        <v>3692</v>
      </c>
      <c r="R1347" t="s">
        <v>3692</v>
      </c>
    </row>
    <row r="1348" spans="1:18" x14ac:dyDescent="0.3">
      <c r="A1348" s="2" t="str">
        <f>HYPERLINK(B1348,"Oppna PDF")</f>
        <v>Oppna PDF</v>
      </c>
      <c r="B1348" t="s">
        <v>3693</v>
      </c>
      <c r="C1348" t="s">
        <v>3694</v>
      </c>
      <c r="D1348" t="s">
        <v>3666</v>
      </c>
      <c r="E1348" t="s">
        <v>3695</v>
      </c>
      <c r="F1348" t="s">
        <v>3668</v>
      </c>
      <c r="G1348" t="s">
        <v>3669</v>
      </c>
      <c r="H1348" t="s">
        <v>61</v>
      </c>
      <c r="I1348" t="s">
        <v>3670</v>
      </c>
      <c r="J1348" t="s">
        <v>48</v>
      </c>
      <c r="K1348" t="s">
        <v>49</v>
      </c>
      <c r="L1348" t="s">
        <v>29</v>
      </c>
      <c r="M1348" t="s">
        <v>30</v>
      </c>
      <c r="N1348" t="s">
        <v>31</v>
      </c>
      <c r="Q1348" t="s">
        <v>3696</v>
      </c>
      <c r="R1348" t="s">
        <v>3696</v>
      </c>
    </row>
    <row r="1349" spans="1:18" x14ac:dyDescent="0.3">
      <c r="A1349" s="2" t="str">
        <f>HYPERLINK(B1349,"Oppna PDF")</f>
        <v>Oppna PDF</v>
      </c>
      <c r="B1349" t="s">
        <v>3693</v>
      </c>
      <c r="C1349" t="s">
        <v>3697</v>
      </c>
      <c r="D1349" t="s">
        <v>3666</v>
      </c>
      <c r="E1349" t="s">
        <v>3695</v>
      </c>
      <c r="F1349" t="s">
        <v>3668</v>
      </c>
      <c r="G1349" t="s">
        <v>3669</v>
      </c>
      <c r="H1349" t="s">
        <v>61</v>
      </c>
      <c r="I1349" t="s">
        <v>3670</v>
      </c>
      <c r="J1349" t="s">
        <v>38</v>
      </c>
      <c r="K1349" t="s">
        <v>39</v>
      </c>
      <c r="L1349" t="s">
        <v>29</v>
      </c>
      <c r="M1349" t="s">
        <v>30</v>
      </c>
      <c r="N1349" t="s">
        <v>31</v>
      </c>
      <c r="Q1349" t="s">
        <v>3698</v>
      </c>
      <c r="R1349" t="s">
        <v>3698</v>
      </c>
    </row>
    <row r="1350" spans="1:18" x14ac:dyDescent="0.3">
      <c r="A1350" s="2" t="str">
        <f>HYPERLINK(B1350,"Oppna PDF")</f>
        <v>Oppna PDF</v>
      </c>
      <c r="B1350" t="s">
        <v>3693</v>
      </c>
      <c r="C1350" t="s">
        <v>3699</v>
      </c>
      <c r="D1350" t="s">
        <v>3666</v>
      </c>
      <c r="E1350" t="s">
        <v>3695</v>
      </c>
      <c r="F1350" t="s">
        <v>3668</v>
      </c>
      <c r="G1350" t="s">
        <v>3669</v>
      </c>
      <c r="H1350" t="s">
        <v>61</v>
      </c>
      <c r="I1350" t="s">
        <v>3670</v>
      </c>
      <c r="J1350" t="s">
        <v>91</v>
      </c>
      <c r="K1350" t="s">
        <v>92</v>
      </c>
      <c r="L1350" t="s">
        <v>29</v>
      </c>
      <c r="M1350" t="s">
        <v>30</v>
      </c>
      <c r="N1350" t="s">
        <v>31</v>
      </c>
      <c r="Q1350" t="s">
        <v>3700</v>
      </c>
      <c r="R1350" t="s">
        <v>3700</v>
      </c>
    </row>
    <row r="1351" spans="1:18" x14ac:dyDescent="0.3">
      <c r="A1351" s="2" t="str">
        <f>HYPERLINK(B1351,"Oppna PDF")</f>
        <v>Oppna PDF</v>
      </c>
      <c r="B1351" t="s">
        <v>3701</v>
      </c>
      <c r="C1351" t="s">
        <v>3702</v>
      </c>
      <c r="D1351" t="s">
        <v>3666</v>
      </c>
      <c r="E1351" t="s">
        <v>3703</v>
      </c>
      <c r="F1351" t="s">
        <v>3668</v>
      </c>
      <c r="G1351" t="s">
        <v>3669</v>
      </c>
      <c r="H1351" t="s">
        <v>61</v>
      </c>
      <c r="I1351" t="s">
        <v>3670</v>
      </c>
      <c r="J1351" t="s">
        <v>48</v>
      </c>
      <c r="K1351" t="s">
        <v>49</v>
      </c>
      <c r="L1351" t="s">
        <v>29</v>
      </c>
      <c r="M1351" t="s">
        <v>30</v>
      </c>
      <c r="N1351" t="s">
        <v>31</v>
      </c>
      <c r="Q1351" t="s">
        <v>3704</v>
      </c>
      <c r="R1351" t="s">
        <v>3705</v>
      </c>
    </row>
    <row r="1352" spans="1:18" x14ac:dyDescent="0.3">
      <c r="A1352" s="2" t="str">
        <f>HYPERLINK(B1352,"Oppna PDF")</f>
        <v>Oppna PDF</v>
      </c>
      <c r="B1352" t="s">
        <v>3701</v>
      </c>
      <c r="C1352" t="s">
        <v>3706</v>
      </c>
      <c r="D1352" t="s">
        <v>3666</v>
      </c>
      <c r="E1352" t="s">
        <v>3703</v>
      </c>
      <c r="F1352" t="s">
        <v>3668</v>
      </c>
      <c r="G1352" t="s">
        <v>3669</v>
      </c>
      <c r="H1352" t="s">
        <v>61</v>
      </c>
      <c r="I1352" t="s">
        <v>3670</v>
      </c>
      <c r="J1352" t="s">
        <v>34</v>
      </c>
      <c r="K1352" t="s">
        <v>35</v>
      </c>
      <c r="L1352" t="s">
        <v>29</v>
      </c>
      <c r="M1352" t="s">
        <v>30</v>
      </c>
      <c r="N1352" t="s">
        <v>31</v>
      </c>
      <c r="Q1352" t="s">
        <v>3671</v>
      </c>
      <c r="R1352" t="s">
        <v>3671</v>
      </c>
    </row>
    <row r="1353" spans="1:18" x14ac:dyDescent="0.3">
      <c r="A1353" s="2" t="str">
        <f>HYPERLINK(B1353,"Oppna PDF")</f>
        <v>Oppna PDF</v>
      </c>
      <c r="B1353" t="s">
        <v>3701</v>
      </c>
      <c r="C1353" t="s">
        <v>3707</v>
      </c>
      <c r="D1353" t="s">
        <v>3666</v>
      </c>
      <c r="E1353" t="s">
        <v>3703</v>
      </c>
      <c r="F1353" t="s">
        <v>3668</v>
      </c>
      <c r="G1353" t="s">
        <v>3669</v>
      </c>
      <c r="H1353" t="s">
        <v>61</v>
      </c>
      <c r="I1353" t="s">
        <v>3670</v>
      </c>
      <c r="J1353" t="s">
        <v>91</v>
      </c>
      <c r="K1353" t="s">
        <v>92</v>
      </c>
      <c r="L1353" t="s">
        <v>29</v>
      </c>
      <c r="M1353" t="s">
        <v>30</v>
      </c>
      <c r="N1353" t="s">
        <v>31</v>
      </c>
      <c r="Q1353" t="s">
        <v>3673</v>
      </c>
      <c r="R1353" t="s">
        <v>3673</v>
      </c>
    </row>
    <row r="1354" spans="1:18" x14ac:dyDescent="0.3">
      <c r="A1354" s="2" t="str">
        <f>HYPERLINK(B1354,"Oppna PDF")</f>
        <v>Oppna PDF</v>
      </c>
      <c r="B1354" t="s">
        <v>3708</v>
      </c>
      <c r="C1354" t="s">
        <v>3709</v>
      </c>
      <c r="D1354" t="s">
        <v>3710</v>
      </c>
      <c r="E1354" t="s">
        <v>3711</v>
      </c>
      <c r="F1354" t="s">
        <v>3668</v>
      </c>
      <c r="G1354" t="s">
        <v>3669</v>
      </c>
      <c r="H1354" t="s">
        <v>61</v>
      </c>
      <c r="I1354" t="s">
        <v>3670</v>
      </c>
      <c r="J1354" t="s">
        <v>34</v>
      </c>
      <c r="K1354" t="s">
        <v>35</v>
      </c>
      <c r="L1354" t="s">
        <v>29</v>
      </c>
      <c r="M1354" t="s">
        <v>30</v>
      </c>
      <c r="N1354" t="s">
        <v>31</v>
      </c>
      <c r="Q1354" t="s">
        <v>3671</v>
      </c>
      <c r="R1354" t="s">
        <v>3671</v>
      </c>
    </row>
    <row r="1355" spans="1:18" x14ac:dyDescent="0.3">
      <c r="A1355" s="2" t="str">
        <f>HYPERLINK(B1355,"Oppna PDF")</f>
        <v>Oppna PDF</v>
      </c>
      <c r="B1355" t="s">
        <v>3708</v>
      </c>
      <c r="C1355" t="s">
        <v>3712</v>
      </c>
      <c r="D1355" t="s">
        <v>3710</v>
      </c>
      <c r="E1355" t="s">
        <v>3711</v>
      </c>
      <c r="F1355" t="s">
        <v>3668</v>
      </c>
      <c r="G1355" t="s">
        <v>3669</v>
      </c>
      <c r="H1355" t="s">
        <v>61</v>
      </c>
      <c r="I1355" t="s">
        <v>3670</v>
      </c>
      <c r="J1355" t="s">
        <v>91</v>
      </c>
      <c r="K1355" t="s">
        <v>92</v>
      </c>
      <c r="L1355" t="s">
        <v>29</v>
      </c>
      <c r="M1355" t="s">
        <v>30</v>
      </c>
      <c r="N1355" t="s">
        <v>31</v>
      </c>
      <c r="Q1355" t="s">
        <v>3673</v>
      </c>
      <c r="R1355" t="s">
        <v>3673</v>
      </c>
    </row>
    <row r="1356" spans="1:18" x14ac:dyDescent="0.3">
      <c r="A1356" s="2" t="str">
        <f>HYPERLINK(B1356,"Oppna PDF")</f>
        <v>Oppna PDF</v>
      </c>
      <c r="B1356" t="s">
        <v>3708</v>
      </c>
      <c r="C1356" t="s">
        <v>3713</v>
      </c>
      <c r="D1356" t="s">
        <v>3710</v>
      </c>
      <c r="E1356" t="s">
        <v>3711</v>
      </c>
      <c r="F1356" t="s">
        <v>3668</v>
      </c>
      <c r="G1356" t="s">
        <v>3669</v>
      </c>
      <c r="H1356" t="s">
        <v>61</v>
      </c>
      <c r="I1356" t="s">
        <v>3670</v>
      </c>
      <c r="J1356" t="s">
        <v>38</v>
      </c>
      <c r="K1356" t="s">
        <v>39</v>
      </c>
      <c r="L1356" t="s">
        <v>29</v>
      </c>
      <c r="M1356" t="s">
        <v>30</v>
      </c>
      <c r="N1356" t="s">
        <v>31</v>
      </c>
      <c r="Q1356" t="s">
        <v>1675</v>
      </c>
      <c r="R1356" t="s">
        <v>1675</v>
      </c>
    </row>
    <row r="1357" spans="1:18" x14ac:dyDescent="0.3">
      <c r="A1357" s="2" t="str">
        <f>HYPERLINK(B1357,"Oppna PDF")</f>
        <v>Oppna PDF</v>
      </c>
      <c r="B1357" t="s">
        <v>3714</v>
      </c>
      <c r="C1357" t="s">
        <v>3715</v>
      </c>
      <c r="D1357" t="s">
        <v>3710</v>
      </c>
      <c r="E1357" t="s">
        <v>3716</v>
      </c>
      <c r="F1357" t="s">
        <v>3668</v>
      </c>
      <c r="G1357" t="s">
        <v>3669</v>
      </c>
      <c r="H1357" t="s">
        <v>61</v>
      </c>
      <c r="I1357" t="s">
        <v>3670</v>
      </c>
      <c r="J1357" t="s">
        <v>38</v>
      </c>
      <c r="K1357" t="s">
        <v>39</v>
      </c>
      <c r="L1357" t="s">
        <v>29</v>
      </c>
      <c r="M1357" t="s">
        <v>30</v>
      </c>
      <c r="N1357" t="s">
        <v>31</v>
      </c>
      <c r="Q1357" t="s">
        <v>3678</v>
      </c>
      <c r="R1357" t="s">
        <v>3679</v>
      </c>
    </row>
    <row r="1358" spans="1:18" x14ac:dyDescent="0.3">
      <c r="A1358" s="2" t="str">
        <f>HYPERLINK(B1358,"Oppna PDF")</f>
        <v>Oppna PDF</v>
      </c>
      <c r="B1358" t="s">
        <v>3714</v>
      </c>
      <c r="C1358" t="s">
        <v>3717</v>
      </c>
      <c r="D1358" t="s">
        <v>3710</v>
      </c>
      <c r="E1358" t="s">
        <v>3716</v>
      </c>
      <c r="F1358" t="s">
        <v>3668</v>
      </c>
      <c r="G1358" t="s">
        <v>3669</v>
      </c>
      <c r="H1358" t="s">
        <v>61</v>
      </c>
      <c r="I1358" t="s">
        <v>3670</v>
      </c>
      <c r="J1358" t="s">
        <v>34</v>
      </c>
      <c r="K1358" t="s">
        <v>35</v>
      </c>
      <c r="L1358" t="s">
        <v>29</v>
      </c>
      <c r="M1358" t="s">
        <v>30</v>
      </c>
      <c r="N1358" t="s">
        <v>31</v>
      </c>
      <c r="Q1358" t="s">
        <v>3681</v>
      </c>
      <c r="R1358" t="s">
        <v>3682</v>
      </c>
    </row>
    <row r="1359" spans="1:18" x14ac:dyDescent="0.3">
      <c r="A1359" s="2" t="str">
        <f>HYPERLINK(B1359,"Oppna PDF")</f>
        <v>Oppna PDF</v>
      </c>
      <c r="B1359" t="s">
        <v>3714</v>
      </c>
      <c r="C1359" t="s">
        <v>3718</v>
      </c>
      <c r="D1359" t="s">
        <v>3710</v>
      </c>
      <c r="E1359" t="s">
        <v>3716</v>
      </c>
      <c r="F1359" t="s">
        <v>3668</v>
      </c>
      <c r="G1359" t="s">
        <v>3669</v>
      </c>
      <c r="H1359" t="s">
        <v>61</v>
      </c>
      <c r="I1359" t="s">
        <v>3670</v>
      </c>
      <c r="J1359" t="s">
        <v>91</v>
      </c>
      <c r="K1359" t="s">
        <v>92</v>
      </c>
      <c r="L1359" t="s">
        <v>29</v>
      </c>
      <c r="M1359" t="s">
        <v>30</v>
      </c>
      <c r="N1359" t="s">
        <v>31</v>
      </c>
      <c r="Q1359" t="s">
        <v>3684</v>
      </c>
      <c r="R1359" t="s">
        <v>3684</v>
      </c>
    </row>
    <row r="1360" spans="1:18" x14ac:dyDescent="0.3">
      <c r="A1360" s="2" t="str">
        <f>HYPERLINK(B1360,"Oppna PDF")</f>
        <v>Oppna PDF</v>
      </c>
      <c r="B1360" t="s">
        <v>3719</v>
      </c>
      <c r="C1360" t="s">
        <v>3720</v>
      </c>
      <c r="D1360" t="s">
        <v>3710</v>
      </c>
      <c r="E1360" t="s">
        <v>3721</v>
      </c>
      <c r="F1360" t="s">
        <v>3668</v>
      </c>
      <c r="G1360" t="s">
        <v>3669</v>
      </c>
      <c r="H1360" t="s">
        <v>61</v>
      </c>
      <c r="I1360" t="s">
        <v>3670</v>
      </c>
      <c r="J1360" t="s">
        <v>38</v>
      </c>
      <c r="K1360" t="s">
        <v>39</v>
      </c>
      <c r="L1360" t="s">
        <v>29</v>
      </c>
      <c r="M1360" t="s">
        <v>30</v>
      </c>
      <c r="N1360" t="s">
        <v>31</v>
      </c>
      <c r="Q1360" t="s">
        <v>3688</v>
      </c>
      <c r="R1360" t="s">
        <v>3688</v>
      </c>
    </row>
    <row r="1361" spans="1:18" x14ac:dyDescent="0.3">
      <c r="A1361" s="2" t="str">
        <f>HYPERLINK(B1361,"Oppna PDF")</f>
        <v>Oppna PDF</v>
      </c>
      <c r="B1361" t="s">
        <v>3719</v>
      </c>
      <c r="C1361" t="s">
        <v>3722</v>
      </c>
      <c r="D1361" t="s">
        <v>3710</v>
      </c>
      <c r="E1361" t="s">
        <v>3721</v>
      </c>
      <c r="F1361" t="s">
        <v>3668</v>
      </c>
      <c r="G1361" t="s">
        <v>3669</v>
      </c>
      <c r="H1361" t="s">
        <v>61</v>
      </c>
      <c r="I1361" t="s">
        <v>3670</v>
      </c>
      <c r="J1361" t="s">
        <v>38</v>
      </c>
      <c r="K1361" t="s">
        <v>39</v>
      </c>
      <c r="L1361" t="s">
        <v>29</v>
      </c>
      <c r="M1361" t="s">
        <v>30</v>
      </c>
      <c r="N1361" t="s">
        <v>31</v>
      </c>
      <c r="Q1361" t="s">
        <v>3690</v>
      </c>
      <c r="R1361" t="s">
        <v>3690</v>
      </c>
    </row>
    <row r="1362" spans="1:18" x14ac:dyDescent="0.3">
      <c r="A1362" s="2" t="str">
        <f>HYPERLINK(B1362,"Oppna PDF")</f>
        <v>Oppna PDF</v>
      </c>
      <c r="B1362" t="s">
        <v>3719</v>
      </c>
      <c r="C1362" t="s">
        <v>3723</v>
      </c>
      <c r="D1362" t="s">
        <v>3710</v>
      </c>
      <c r="E1362" t="s">
        <v>3721</v>
      </c>
      <c r="F1362" t="s">
        <v>3668</v>
      </c>
      <c r="G1362" t="s">
        <v>3669</v>
      </c>
      <c r="H1362" t="s">
        <v>61</v>
      </c>
      <c r="I1362" t="s">
        <v>3670</v>
      </c>
      <c r="J1362" t="s">
        <v>48</v>
      </c>
      <c r="K1362" t="s">
        <v>49</v>
      </c>
      <c r="L1362" t="s">
        <v>29</v>
      </c>
      <c r="M1362" t="s">
        <v>30</v>
      </c>
      <c r="N1362" t="s">
        <v>31</v>
      </c>
      <c r="Q1362" t="s">
        <v>3692</v>
      </c>
      <c r="R1362" t="s">
        <v>3692</v>
      </c>
    </row>
    <row r="1363" spans="1:18" x14ac:dyDescent="0.3">
      <c r="A1363" s="2" t="str">
        <f>HYPERLINK(B1363,"Oppna PDF")</f>
        <v>Oppna PDF</v>
      </c>
      <c r="B1363" t="s">
        <v>3724</v>
      </c>
      <c r="C1363" t="s">
        <v>3725</v>
      </c>
      <c r="D1363" t="s">
        <v>3710</v>
      </c>
      <c r="E1363" t="s">
        <v>3726</v>
      </c>
      <c r="F1363" t="s">
        <v>3668</v>
      </c>
      <c r="G1363" t="s">
        <v>3669</v>
      </c>
      <c r="H1363" t="s">
        <v>61</v>
      </c>
      <c r="I1363" t="s">
        <v>3670</v>
      </c>
      <c r="J1363" t="s">
        <v>48</v>
      </c>
      <c r="K1363" t="s">
        <v>49</v>
      </c>
      <c r="L1363" t="s">
        <v>29</v>
      </c>
      <c r="M1363" t="s">
        <v>30</v>
      </c>
      <c r="N1363" t="s">
        <v>31</v>
      </c>
      <c r="Q1363" t="s">
        <v>3696</v>
      </c>
      <c r="R1363" t="s">
        <v>3696</v>
      </c>
    </row>
    <row r="1364" spans="1:18" x14ac:dyDescent="0.3">
      <c r="A1364" s="2" t="str">
        <f>HYPERLINK(B1364,"Oppna PDF")</f>
        <v>Oppna PDF</v>
      </c>
      <c r="B1364" t="s">
        <v>3724</v>
      </c>
      <c r="C1364" t="s">
        <v>3727</v>
      </c>
      <c r="D1364" t="s">
        <v>3710</v>
      </c>
      <c r="E1364" t="s">
        <v>3726</v>
      </c>
      <c r="F1364" t="s">
        <v>3668</v>
      </c>
      <c r="G1364" t="s">
        <v>3669</v>
      </c>
      <c r="H1364" t="s">
        <v>61</v>
      </c>
      <c r="I1364" t="s">
        <v>3670</v>
      </c>
      <c r="J1364" t="s">
        <v>38</v>
      </c>
      <c r="K1364" t="s">
        <v>39</v>
      </c>
      <c r="L1364" t="s">
        <v>29</v>
      </c>
      <c r="M1364" t="s">
        <v>30</v>
      </c>
      <c r="N1364" t="s">
        <v>31</v>
      </c>
      <c r="Q1364" t="s">
        <v>3698</v>
      </c>
      <c r="R1364" t="s">
        <v>3698</v>
      </c>
    </row>
    <row r="1365" spans="1:18" x14ac:dyDescent="0.3">
      <c r="A1365" s="2" t="str">
        <f>HYPERLINK(B1365,"Oppna PDF")</f>
        <v>Oppna PDF</v>
      </c>
      <c r="B1365" t="s">
        <v>3724</v>
      </c>
      <c r="C1365" t="s">
        <v>3728</v>
      </c>
      <c r="D1365" t="s">
        <v>3710</v>
      </c>
      <c r="E1365" t="s">
        <v>3726</v>
      </c>
      <c r="F1365" t="s">
        <v>3668</v>
      </c>
      <c r="G1365" t="s">
        <v>3669</v>
      </c>
      <c r="H1365" t="s">
        <v>61</v>
      </c>
      <c r="I1365" t="s">
        <v>3670</v>
      </c>
      <c r="J1365" t="s">
        <v>91</v>
      </c>
      <c r="K1365" t="s">
        <v>92</v>
      </c>
      <c r="L1365" t="s">
        <v>29</v>
      </c>
      <c r="M1365" t="s">
        <v>30</v>
      </c>
      <c r="N1365" t="s">
        <v>31</v>
      </c>
      <c r="Q1365" t="s">
        <v>3700</v>
      </c>
      <c r="R1365" t="s">
        <v>3700</v>
      </c>
    </row>
    <row r="1366" spans="1:18" x14ac:dyDescent="0.3">
      <c r="A1366" s="2" t="str">
        <f>HYPERLINK(B1366,"Oppna PDF")</f>
        <v>Oppna PDF</v>
      </c>
      <c r="B1366" t="s">
        <v>3729</v>
      </c>
      <c r="C1366" t="s">
        <v>3730</v>
      </c>
      <c r="D1366" t="s">
        <v>3710</v>
      </c>
      <c r="E1366" t="s">
        <v>3731</v>
      </c>
      <c r="F1366" t="s">
        <v>3668</v>
      </c>
      <c r="G1366" t="s">
        <v>3669</v>
      </c>
      <c r="H1366" t="s">
        <v>61</v>
      </c>
      <c r="I1366" t="s">
        <v>3670</v>
      </c>
      <c r="J1366" t="s">
        <v>48</v>
      </c>
      <c r="K1366" t="s">
        <v>49</v>
      </c>
      <c r="L1366" t="s">
        <v>29</v>
      </c>
      <c r="M1366" t="s">
        <v>30</v>
      </c>
      <c r="N1366" t="s">
        <v>31</v>
      </c>
      <c r="Q1366" t="s">
        <v>3704</v>
      </c>
      <c r="R1366" t="s">
        <v>3705</v>
      </c>
    </row>
    <row r="1367" spans="1:18" x14ac:dyDescent="0.3">
      <c r="A1367" s="2" t="str">
        <f>HYPERLINK(B1367,"Oppna PDF")</f>
        <v>Oppna PDF</v>
      </c>
      <c r="B1367" t="s">
        <v>3729</v>
      </c>
      <c r="C1367" t="s">
        <v>3732</v>
      </c>
      <c r="D1367" t="s">
        <v>3710</v>
      </c>
      <c r="E1367" t="s">
        <v>3731</v>
      </c>
      <c r="F1367" t="s">
        <v>3668</v>
      </c>
      <c r="G1367" t="s">
        <v>3669</v>
      </c>
      <c r="H1367" t="s">
        <v>61</v>
      </c>
      <c r="I1367" t="s">
        <v>3670</v>
      </c>
      <c r="J1367" t="s">
        <v>34</v>
      </c>
      <c r="K1367" t="s">
        <v>35</v>
      </c>
      <c r="L1367" t="s">
        <v>29</v>
      </c>
      <c r="M1367" t="s">
        <v>30</v>
      </c>
      <c r="N1367" t="s">
        <v>31</v>
      </c>
      <c r="Q1367" t="s">
        <v>3671</v>
      </c>
      <c r="R1367" t="s">
        <v>3671</v>
      </c>
    </row>
    <row r="1368" spans="1:18" x14ac:dyDescent="0.3">
      <c r="A1368" s="2" t="str">
        <f>HYPERLINK(B1368,"Oppna PDF")</f>
        <v>Oppna PDF</v>
      </c>
      <c r="B1368" t="s">
        <v>3729</v>
      </c>
      <c r="C1368" t="s">
        <v>3733</v>
      </c>
      <c r="D1368" t="s">
        <v>3710</v>
      </c>
      <c r="E1368" t="s">
        <v>3731</v>
      </c>
      <c r="F1368" t="s">
        <v>3668</v>
      </c>
      <c r="G1368" t="s">
        <v>3669</v>
      </c>
      <c r="H1368" t="s">
        <v>61</v>
      </c>
      <c r="I1368" t="s">
        <v>3670</v>
      </c>
      <c r="J1368" t="s">
        <v>91</v>
      </c>
      <c r="K1368" t="s">
        <v>92</v>
      </c>
      <c r="L1368" t="s">
        <v>29</v>
      </c>
      <c r="M1368" t="s">
        <v>30</v>
      </c>
      <c r="N1368" t="s">
        <v>31</v>
      </c>
      <c r="Q1368" t="s">
        <v>3673</v>
      </c>
      <c r="R1368" t="s">
        <v>3673</v>
      </c>
    </row>
    <row r="1369" spans="1:18" x14ac:dyDescent="0.3">
      <c r="A1369" s="2" t="str">
        <f>HYPERLINK(B1369,"Oppna PDF")</f>
        <v>Oppna PDF</v>
      </c>
      <c r="B1369" t="s">
        <v>3734</v>
      </c>
      <c r="C1369" t="s">
        <v>3735</v>
      </c>
      <c r="D1369" t="s">
        <v>3736</v>
      </c>
      <c r="E1369" t="s">
        <v>3737</v>
      </c>
      <c r="F1369" t="s">
        <v>3738</v>
      </c>
      <c r="G1369" t="s">
        <v>3739</v>
      </c>
      <c r="H1369" t="s">
        <v>61</v>
      </c>
      <c r="I1369" t="s">
        <v>3740</v>
      </c>
      <c r="J1369" t="s">
        <v>48</v>
      </c>
      <c r="K1369" t="s">
        <v>49</v>
      </c>
      <c r="L1369" t="s">
        <v>29</v>
      </c>
      <c r="M1369" t="s">
        <v>30</v>
      </c>
      <c r="N1369" t="s">
        <v>31</v>
      </c>
      <c r="Q1369" t="s">
        <v>3741</v>
      </c>
      <c r="R1369" t="s">
        <v>3741</v>
      </c>
    </row>
    <row r="1370" spans="1:18" x14ac:dyDescent="0.3">
      <c r="A1370" s="2" t="str">
        <f>HYPERLINK(B1370,"Oppna PDF")</f>
        <v>Oppna PDF</v>
      </c>
      <c r="B1370" t="s">
        <v>3734</v>
      </c>
      <c r="C1370" t="s">
        <v>3742</v>
      </c>
      <c r="D1370" t="s">
        <v>3736</v>
      </c>
      <c r="E1370" t="s">
        <v>3737</v>
      </c>
      <c r="F1370" t="s">
        <v>3738</v>
      </c>
      <c r="G1370" t="s">
        <v>3739</v>
      </c>
      <c r="H1370" t="s">
        <v>61</v>
      </c>
      <c r="I1370" t="s">
        <v>3740</v>
      </c>
      <c r="J1370" t="s">
        <v>87</v>
      </c>
      <c r="K1370" t="s">
        <v>88</v>
      </c>
      <c r="L1370" t="s">
        <v>29</v>
      </c>
      <c r="M1370" t="s">
        <v>30</v>
      </c>
      <c r="N1370" t="s">
        <v>31</v>
      </c>
      <c r="Q1370" t="s">
        <v>3743</v>
      </c>
      <c r="R1370" t="s">
        <v>3743</v>
      </c>
    </row>
    <row r="1371" spans="1:18" x14ac:dyDescent="0.3">
      <c r="A1371" s="2" t="str">
        <f>HYPERLINK(B1371,"Oppna PDF")</f>
        <v>Oppna PDF</v>
      </c>
      <c r="B1371" t="s">
        <v>3744</v>
      </c>
      <c r="C1371" t="s">
        <v>3745</v>
      </c>
      <c r="D1371" t="s">
        <v>3736</v>
      </c>
      <c r="E1371" t="s">
        <v>3746</v>
      </c>
      <c r="F1371" t="s">
        <v>3738</v>
      </c>
      <c r="G1371" t="s">
        <v>3739</v>
      </c>
      <c r="H1371" t="s">
        <v>61</v>
      </c>
      <c r="I1371" t="s">
        <v>3740</v>
      </c>
      <c r="J1371" t="s">
        <v>48</v>
      </c>
      <c r="K1371" t="s">
        <v>49</v>
      </c>
      <c r="L1371" t="s">
        <v>29</v>
      </c>
      <c r="M1371" t="s">
        <v>30</v>
      </c>
      <c r="N1371" t="s">
        <v>31</v>
      </c>
      <c r="Q1371" t="s">
        <v>3741</v>
      </c>
      <c r="R1371" t="s">
        <v>3741</v>
      </c>
    </row>
    <row r="1372" spans="1:18" x14ac:dyDescent="0.3">
      <c r="A1372" s="2" t="str">
        <f>HYPERLINK(B1372,"Oppna PDF")</f>
        <v>Oppna PDF</v>
      </c>
      <c r="B1372" t="s">
        <v>3744</v>
      </c>
      <c r="C1372" t="s">
        <v>3747</v>
      </c>
      <c r="D1372" t="s">
        <v>3736</v>
      </c>
      <c r="E1372" t="s">
        <v>3746</v>
      </c>
      <c r="F1372" t="s">
        <v>3738</v>
      </c>
      <c r="G1372" t="s">
        <v>3739</v>
      </c>
      <c r="H1372" t="s">
        <v>61</v>
      </c>
      <c r="I1372" t="s">
        <v>3740</v>
      </c>
      <c r="J1372" t="s">
        <v>48</v>
      </c>
      <c r="K1372" t="s">
        <v>49</v>
      </c>
      <c r="L1372" t="s">
        <v>29</v>
      </c>
      <c r="M1372" t="s">
        <v>30</v>
      </c>
      <c r="N1372" t="s">
        <v>31</v>
      </c>
      <c r="Q1372" t="s">
        <v>3748</v>
      </c>
      <c r="R1372" t="s">
        <v>3748</v>
      </c>
    </row>
    <row r="1373" spans="1:18" x14ac:dyDescent="0.3">
      <c r="A1373" s="2" t="str">
        <f>HYPERLINK(B1373,"Oppna PDF")</f>
        <v>Oppna PDF</v>
      </c>
      <c r="B1373" t="s">
        <v>3744</v>
      </c>
      <c r="C1373" t="s">
        <v>3749</v>
      </c>
      <c r="D1373" t="s">
        <v>3736</v>
      </c>
      <c r="E1373" t="s">
        <v>3746</v>
      </c>
      <c r="F1373" t="s">
        <v>3738</v>
      </c>
      <c r="G1373" t="s">
        <v>3739</v>
      </c>
      <c r="H1373" t="s">
        <v>61</v>
      </c>
      <c r="I1373" t="s">
        <v>3740</v>
      </c>
      <c r="J1373" t="s">
        <v>48</v>
      </c>
      <c r="K1373" t="s">
        <v>49</v>
      </c>
      <c r="L1373" t="s">
        <v>29</v>
      </c>
      <c r="M1373" t="s">
        <v>30</v>
      </c>
      <c r="N1373" t="s">
        <v>31</v>
      </c>
      <c r="Q1373" t="s">
        <v>3750</v>
      </c>
      <c r="R1373" t="s">
        <v>3750</v>
      </c>
    </row>
    <row r="1374" spans="1:18" x14ac:dyDescent="0.3">
      <c r="A1374" s="2" t="str">
        <f>HYPERLINK(B1374,"Oppna PDF")</f>
        <v>Oppna PDF</v>
      </c>
      <c r="B1374" t="s">
        <v>3751</v>
      </c>
      <c r="C1374" t="s">
        <v>3752</v>
      </c>
      <c r="D1374" t="s">
        <v>3753</v>
      </c>
      <c r="E1374" t="s">
        <v>3754</v>
      </c>
      <c r="F1374" t="s">
        <v>3738</v>
      </c>
      <c r="G1374" t="s">
        <v>3739</v>
      </c>
      <c r="H1374" t="s">
        <v>61</v>
      </c>
      <c r="I1374" t="s">
        <v>3740</v>
      </c>
      <c r="J1374" t="s">
        <v>48</v>
      </c>
      <c r="K1374" t="s">
        <v>49</v>
      </c>
      <c r="L1374" t="s">
        <v>29</v>
      </c>
      <c r="M1374" t="s">
        <v>30</v>
      </c>
      <c r="N1374" t="s">
        <v>31</v>
      </c>
      <c r="Q1374" t="s">
        <v>3741</v>
      </c>
      <c r="R1374" t="s">
        <v>3741</v>
      </c>
    </row>
    <row r="1375" spans="1:18" x14ac:dyDescent="0.3">
      <c r="A1375" s="2" t="str">
        <f>HYPERLINK(B1375,"Oppna PDF")</f>
        <v>Oppna PDF</v>
      </c>
      <c r="B1375" t="s">
        <v>3751</v>
      </c>
      <c r="C1375" t="s">
        <v>3755</v>
      </c>
      <c r="D1375" t="s">
        <v>3753</v>
      </c>
      <c r="E1375" t="s">
        <v>3754</v>
      </c>
      <c r="F1375" t="s">
        <v>3738</v>
      </c>
      <c r="G1375" t="s">
        <v>3739</v>
      </c>
      <c r="H1375" t="s">
        <v>61</v>
      </c>
      <c r="I1375" t="s">
        <v>3740</v>
      </c>
      <c r="J1375" t="s">
        <v>87</v>
      </c>
      <c r="K1375" t="s">
        <v>88</v>
      </c>
      <c r="L1375" t="s">
        <v>29</v>
      </c>
      <c r="M1375" t="s">
        <v>30</v>
      </c>
      <c r="N1375" t="s">
        <v>31</v>
      </c>
      <c r="Q1375" t="s">
        <v>3743</v>
      </c>
      <c r="R1375" t="s">
        <v>3743</v>
      </c>
    </row>
    <row r="1376" spans="1:18" x14ac:dyDescent="0.3">
      <c r="A1376" s="2" t="str">
        <f>HYPERLINK(B1376,"Oppna PDF")</f>
        <v>Oppna PDF</v>
      </c>
      <c r="B1376" t="s">
        <v>3756</v>
      </c>
      <c r="C1376" t="s">
        <v>3757</v>
      </c>
      <c r="D1376" t="s">
        <v>3753</v>
      </c>
      <c r="E1376" t="s">
        <v>3758</v>
      </c>
      <c r="F1376" t="s">
        <v>3738</v>
      </c>
      <c r="G1376" t="s">
        <v>3739</v>
      </c>
      <c r="H1376" t="s">
        <v>61</v>
      </c>
      <c r="I1376" t="s">
        <v>3740</v>
      </c>
      <c r="J1376" t="s">
        <v>48</v>
      </c>
      <c r="K1376" t="s">
        <v>49</v>
      </c>
      <c r="L1376" t="s">
        <v>29</v>
      </c>
      <c r="M1376" t="s">
        <v>30</v>
      </c>
      <c r="N1376" t="s">
        <v>31</v>
      </c>
      <c r="Q1376" t="s">
        <v>3741</v>
      </c>
      <c r="R1376" t="s">
        <v>3741</v>
      </c>
    </row>
    <row r="1377" spans="1:18" x14ac:dyDescent="0.3">
      <c r="A1377" s="2" t="str">
        <f>HYPERLINK(B1377,"Oppna PDF")</f>
        <v>Oppna PDF</v>
      </c>
      <c r="B1377" t="s">
        <v>3756</v>
      </c>
      <c r="C1377" t="s">
        <v>3759</v>
      </c>
      <c r="D1377" t="s">
        <v>3753</v>
      </c>
      <c r="E1377" t="s">
        <v>3758</v>
      </c>
      <c r="F1377" t="s">
        <v>3738</v>
      </c>
      <c r="G1377" t="s">
        <v>3739</v>
      </c>
      <c r="H1377" t="s">
        <v>61</v>
      </c>
      <c r="I1377" t="s">
        <v>3740</v>
      </c>
      <c r="J1377" t="s">
        <v>48</v>
      </c>
      <c r="K1377" t="s">
        <v>49</v>
      </c>
      <c r="L1377" t="s">
        <v>29</v>
      </c>
      <c r="M1377" t="s">
        <v>30</v>
      </c>
      <c r="N1377" t="s">
        <v>31</v>
      </c>
      <c r="Q1377" t="s">
        <v>3748</v>
      </c>
      <c r="R1377" t="s">
        <v>3748</v>
      </c>
    </row>
    <row r="1378" spans="1:18" x14ac:dyDescent="0.3">
      <c r="A1378" s="2" t="str">
        <f>HYPERLINK(B1378,"Oppna PDF")</f>
        <v>Oppna PDF</v>
      </c>
      <c r="B1378" t="s">
        <v>3756</v>
      </c>
      <c r="C1378" t="s">
        <v>3760</v>
      </c>
      <c r="D1378" t="s">
        <v>3753</v>
      </c>
      <c r="E1378" t="s">
        <v>3758</v>
      </c>
      <c r="F1378" t="s">
        <v>3738</v>
      </c>
      <c r="G1378" t="s">
        <v>3739</v>
      </c>
      <c r="H1378" t="s">
        <v>61</v>
      </c>
      <c r="I1378" t="s">
        <v>3740</v>
      </c>
      <c r="J1378" t="s">
        <v>48</v>
      </c>
      <c r="K1378" t="s">
        <v>49</v>
      </c>
      <c r="L1378" t="s">
        <v>29</v>
      </c>
      <c r="M1378" t="s">
        <v>30</v>
      </c>
      <c r="N1378" t="s">
        <v>31</v>
      </c>
      <c r="Q1378" t="s">
        <v>3750</v>
      </c>
      <c r="R1378" t="s">
        <v>3750</v>
      </c>
    </row>
    <row r="1379" spans="1:18" x14ac:dyDescent="0.3">
      <c r="A1379" s="2" t="str">
        <f>HYPERLINK(B1379,"Oppna PDF")</f>
        <v>Oppna PDF</v>
      </c>
      <c r="B1379" t="s">
        <v>3761</v>
      </c>
      <c r="C1379" t="s">
        <v>3762</v>
      </c>
      <c r="D1379" t="s">
        <v>3763</v>
      </c>
      <c r="E1379" t="s">
        <v>3764</v>
      </c>
      <c r="F1379" t="s">
        <v>3765</v>
      </c>
      <c r="G1379" t="s">
        <v>3766</v>
      </c>
      <c r="H1379" t="s">
        <v>268</v>
      </c>
      <c r="I1379" t="s">
        <v>3767</v>
      </c>
      <c r="J1379" t="s">
        <v>48</v>
      </c>
      <c r="K1379" t="s">
        <v>49</v>
      </c>
      <c r="L1379" t="s">
        <v>142</v>
      </c>
      <c r="M1379" t="s">
        <v>30</v>
      </c>
      <c r="N1379" t="s">
        <v>31</v>
      </c>
      <c r="Q1379" t="s">
        <v>3768</v>
      </c>
      <c r="R1379" t="s">
        <v>3768</v>
      </c>
    </row>
    <row r="1380" spans="1:18" x14ac:dyDescent="0.3">
      <c r="A1380" s="2" t="str">
        <f>HYPERLINK(B1380,"Oppna PDF")</f>
        <v>Oppna PDF</v>
      </c>
      <c r="B1380" t="s">
        <v>3761</v>
      </c>
      <c r="C1380" t="s">
        <v>3769</v>
      </c>
      <c r="D1380" t="s">
        <v>3763</v>
      </c>
      <c r="E1380" t="s">
        <v>3764</v>
      </c>
      <c r="F1380" t="s">
        <v>3765</v>
      </c>
      <c r="G1380" t="s">
        <v>3766</v>
      </c>
      <c r="H1380" t="s">
        <v>268</v>
      </c>
      <c r="I1380" t="s">
        <v>3767</v>
      </c>
      <c r="J1380" t="s">
        <v>48</v>
      </c>
      <c r="K1380" t="s">
        <v>49</v>
      </c>
      <c r="L1380" t="s">
        <v>142</v>
      </c>
      <c r="M1380" t="s">
        <v>30</v>
      </c>
      <c r="N1380" t="s">
        <v>31</v>
      </c>
      <c r="Q1380" t="s">
        <v>3770</v>
      </c>
      <c r="R1380" t="s">
        <v>3770</v>
      </c>
    </row>
    <row r="1381" spans="1:18" x14ac:dyDescent="0.3">
      <c r="A1381" s="2" t="str">
        <f>HYPERLINK(B1381,"Oppna PDF")</f>
        <v>Oppna PDF</v>
      </c>
      <c r="B1381" t="s">
        <v>3761</v>
      </c>
      <c r="C1381" t="s">
        <v>3771</v>
      </c>
      <c r="D1381" t="s">
        <v>3763</v>
      </c>
      <c r="E1381" t="s">
        <v>3764</v>
      </c>
      <c r="F1381" t="s">
        <v>3765</v>
      </c>
      <c r="G1381" t="s">
        <v>3766</v>
      </c>
      <c r="H1381" t="s">
        <v>268</v>
      </c>
      <c r="I1381" t="s">
        <v>3767</v>
      </c>
      <c r="J1381" t="s">
        <v>48</v>
      </c>
      <c r="K1381" t="s">
        <v>49</v>
      </c>
      <c r="L1381" t="s">
        <v>142</v>
      </c>
      <c r="M1381" t="s">
        <v>30</v>
      </c>
      <c r="N1381" t="s">
        <v>31</v>
      </c>
      <c r="Q1381" t="s">
        <v>3772</v>
      </c>
      <c r="R1381" t="s">
        <v>3772</v>
      </c>
    </row>
    <row r="1382" spans="1:18" x14ac:dyDescent="0.3">
      <c r="A1382" s="2" t="str">
        <f>HYPERLINK(B1382,"Oppna PDF")</f>
        <v>Oppna PDF</v>
      </c>
      <c r="B1382" t="s">
        <v>3773</v>
      </c>
      <c r="C1382" t="s">
        <v>3774</v>
      </c>
      <c r="D1382" t="s">
        <v>3763</v>
      </c>
      <c r="E1382" t="s">
        <v>3775</v>
      </c>
      <c r="F1382" t="s">
        <v>3765</v>
      </c>
      <c r="G1382" t="s">
        <v>3766</v>
      </c>
      <c r="H1382" t="s">
        <v>268</v>
      </c>
      <c r="I1382" t="s">
        <v>3767</v>
      </c>
      <c r="J1382" t="s">
        <v>48</v>
      </c>
      <c r="K1382" t="s">
        <v>49</v>
      </c>
      <c r="L1382" t="s">
        <v>142</v>
      </c>
      <c r="M1382" t="s">
        <v>30</v>
      </c>
      <c r="N1382" t="s">
        <v>31</v>
      </c>
      <c r="Q1382" t="s">
        <v>3776</v>
      </c>
      <c r="R1382" t="s">
        <v>3776</v>
      </c>
    </row>
    <row r="1383" spans="1:18" x14ac:dyDescent="0.3">
      <c r="A1383" s="2" t="str">
        <f>HYPERLINK(B1383,"Oppna PDF")</f>
        <v>Oppna PDF</v>
      </c>
      <c r="B1383" t="s">
        <v>3773</v>
      </c>
      <c r="C1383" t="s">
        <v>3777</v>
      </c>
      <c r="D1383" t="s">
        <v>3763</v>
      </c>
      <c r="E1383" t="s">
        <v>3775</v>
      </c>
      <c r="F1383" t="s">
        <v>3765</v>
      </c>
      <c r="G1383" t="s">
        <v>3766</v>
      </c>
      <c r="H1383" t="s">
        <v>268</v>
      </c>
      <c r="I1383" t="s">
        <v>3767</v>
      </c>
      <c r="J1383" t="s">
        <v>87</v>
      </c>
      <c r="K1383" t="s">
        <v>88</v>
      </c>
      <c r="L1383" t="s">
        <v>142</v>
      </c>
      <c r="M1383" t="s">
        <v>30</v>
      </c>
      <c r="N1383" t="s">
        <v>31</v>
      </c>
      <c r="Q1383" t="s">
        <v>3778</v>
      </c>
      <c r="R1383" t="s">
        <v>3778</v>
      </c>
    </row>
    <row r="1384" spans="1:18" x14ac:dyDescent="0.3">
      <c r="A1384" s="2" t="str">
        <f>HYPERLINK(B1384,"Oppna PDF")</f>
        <v>Oppna PDF</v>
      </c>
      <c r="B1384" t="s">
        <v>3773</v>
      </c>
      <c r="C1384" t="s">
        <v>3779</v>
      </c>
      <c r="D1384" t="s">
        <v>3763</v>
      </c>
      <c r="E1384" t="s">
        <v>3775</v>
      </c>
      <c r="F1384" t="s">
        <v>3765</v>
      </c>
      <c r="G1384" t="s">
        <v>3766</v>
      </c>
      <c r="H1384" t="s">
        <v>268</v>
      </c>
      <c r="I1384" t="s">
        <v>3767</v>
      </c>
      <c r="J1384" t="s">
        <v>48</v>
      </c>
      <c r="K1384" t="s">
        <v>49</v>
      </c>
      <c r="L1384" t="s">
        <v>142</v>
      </c>
      <c r="M1384" t="s">
        <v>30</v>
      </c>
      <c r="N1384" t="s">
        <v>31</v>
      </c>
      <c r="Q1384" t="s">
        <v>1168</v>
      </c>
      <c r="R1384" t="s">
        <v>1168</v>
      </c>
    </row>
    <row r="1385" spans="1:18" x14ac:dyDescent="0.3">
      <c r="A1385" s="2" t="str">
        <f>HYPERLINK(B1385,"Oppna PDF")</f>
        <v>Oppna PDF</v>
      </c>
      <c r="B1385" t="s">
        <v>3780</v>
      </c>
      <c r="C1385" t="s">
        <v>3781</v>
      </c>
      <c r="D1385" t="s">
        <v>3763</v>
      </c>
      <c r="E1385" t="s">
        <v>3782</v>
      </c>
      <c r="F1385" t="s">
        <v>3765</v>
      </c>
      <c r="G1385" t="s">
        <v>3766</v>
      </c>
      <c r="H1385" t="s">
        <v>268</v>
      </c>
      <c r="I1385" t="s">
        <v>3767</v>
      </c>
      <c r="J1385" t="s">
        <v>27</v>
      </c>
      <c r="K1385" t="s">
        <v>28</v>
      </c>
      <c r="L1385" t="s">
        <v>29</v>
      </c>
      <c r="M1385" t="s">
        <v>30</v>
      </c>
      <c r="N1385" t="s">
        <v>31</v>
      </c>
      <c r="Q1385" t="s">
        <v>44</v>
      </c>
      <c r="R1385" t="s">
        <v>44</v>
      </c>
    </row>
    <row r="1386" spans="1:18" x14ac:dyDescent="0.3">
      <c r="A1386" s="2" t="str">
        <f>HYPERLINK(B1386,"Oppna PDF")</f>
        <v>Oppna PDF</v>
      </c>
      <c r="B1386" t="s">
        <v>3780</v>
      </c>
      <c r="C1386" t="s">
        <v>3783</v>
      </c>
      <c r="D1386" t="s">
        <v>3763</v>
      </c>
      <c r="E1386" t="s">
        <v>3782</v>
      </c>
      <c r="F1386" t="s">
        <v>3765</v>
      </c>
      <c r="G1386" t="s">
        <v>3766</v>
      </c>
      <c r="H1386" t="s">
        <v>268</v>
      </c>
      <c r="I1386" t="s">
        <v>3767</v>
      </c>
      <c r="J1386" t="s">
        <v>34</v>
      </c>
      <c r="K1386" t="s">
        <v>35</v>
      </c>
      <c r="L1386" t="s">
        <v>29</v>
      </c>
      <c r="M1386" t="s">
        <v>30</v>
      </c>
      <c r="N1386" t="s">
        <v>31</v>
      </c>
      <c r="Q1386" t="s">
        <v>3784</v>
      </c>
      <c r="R1386" t="s">
        <v>3784</v>
      </c>
    </row>
    <row r="1387" spans="1:18" x14ac:dyDescent="0.3">
      <c r="A1387" s="2" t="str">
        <f>HYPERLINK(B1387,"Oppna PDF")</f>
        <v>Oppna PDF</v>
      </c>
      <c r="B1387" t="s">
        <v>3780</v>
      </c>
      <c r="C1387" t="s">
        <v>3785</v>
      </c>
      <c r="D1387" t="s">
        <v>3763</v>
      </c>
      <c r="E1387" t="s">
        <v>3782</v>
      </c>
      <c r="F1387" t="s">
        <v>3765</v>
      </c>
      <c r="G1387" t="s">
        <v>3766</v>
      </c>
      <c r="H1387" t="s">
        <v>268</v>
      </c>
      <c r="I1387" t="s">
        <v>3767</v>
      </c>
      <c r="J1387" t="s">
        <v>27</v>
      </c>
      <c r="K1387" t="s">
        <v>28</v>
      </c>
      <c r="L1387" t="s">
        <v>29</v>
      </c>
      <c r="M1387" t="s">
        <v>30</v>
      </c>
      <c r="N1387" t="s">
        <v>31</v>
      </c>
      <c r="Q1387" t="s">
        <v>3786</v>
      </c>
      <c r="R1387" t="s">
        <v>3786</v>
      </c>
    </row>
    <row r="1388" spans="1:18" x14ac:dyDescent="0.3">
      <c r="A1388" s="2" t="str">
        <f>HYPERLINK(B1388,"Oppna PDF")</f>
        <v>Oppna PDF</v>
      </c>
      <c r="B1388" t="s">
        <v>3787</v>
      </c>
      <c r="C1388" t="s">
        <v>3788</v>
      </c>
      <c r="D1388" t="s">
        <v>3763</v>
      </c>
      <c r="E1388" t="s">
        <v>3789</v>
      </c>
      <c r="F1388" t="s">
        <v>3765</v>
      </c>
      <c r="G1388" t="s">
        <v>3766</v>
      </c>
      <c r="H1388" t="s">
        <v>268</v>
      </c>
      <c r="I1388" t="s">
        <v>3767</v>
      </c>
      <c r="J1388" t="s">
        <v>34</v>
      </c>
      <c r="K1388" t="s">
        <v>35</v>
      </c>
      <c r="L1388" t="s">
        <v>29</v>
      </c>
      <c r="M1388" t="s">
        <v>30</v>
      </c>
      <c r="N1388" t="s">
        <v>31</v>
      </c>
      <c r="Q1388" t="s">
        <v>3790</v>
      </c>
      <c r="R1388" t="s">
        <v>3791</v>
      </c>
    </row>
    <row r="1389" spans="1:18" x14ac:dyDescent="0.3">
      <c r="A1389" s="2" t="str">
        <f>HYPERLINK(B1389,"Oppna PDF")</f>
        <v>Oppna PDF</v>
      </c>
      <c r="B1389" t="s">
        <v>3787</v>
      </c>
      <c r="C1389" t="s">
        <v>3792</v>
      </c>
      <c r="D1389" t="s">
        <v>3763</v>
      </c>
      <c r="E1389" t="s">
        <v>3789</v>
      </c>
      <c r="F1389" t="s">
        <v>3765</v>
      </c>
      <c r="G1389" t="s">
        <v>3766</v>
      </c>
      <c r="H1389" t="s">
        <v>268</v>
      </c>
      <c r="I1389" t="s">
        <v>3767</v>
      </c>
      <c r="J1389" t="s">
        <v>27</v>
      </c>
      <c r="K1389" t="s">
        <v>28</v>
      </c>
      <c r="L1389" t="s">
        <v>29</v>
      </c>
      <c r="M1389" t="s">
        <v>30</v>
      </c>
      <c r="N1389" t="s">
        <v>31</v>
      </c>
      <c r="Q1389" t="s">
        <v>3793</v>
      </c>
      <c r="R1389" t="s">
        <v>3793</v>
      </c>
    </row>
    <row r="1390" spans="1:18" x14ac:dyDescent="0.3">
      <c r="A1390" s="2" t="str">
        <f>HYPERLINK(B1390,"Oppna PDF")</f>
        <v>Oppna PDF</v>
      </c>
      <c r="B1390" t="s">
        <v>3787</v>
      </c>
      <c r="C1390" t="s">
        <v>3794</v>
      </c>
      <c r="D1390" t="s">
        <v>3763</v>
      </c>
      <c r="E1390" t="s">
        <v>3789</v>
      </c>
      <c r="F1390" t="s">
        <v>3765</v>
      </c>
      <c r="G1390" t="s">
        <v>3766</v>
      </c>
      <c r="H1390" t="s">
        <v>268</v>
      </c>
      <c r="I1390" t="s">
        <v>3767</v>
      </c>
      <c r="J1390" t="s">
        <v>87</v>
      </c>
      <c r="K1390" t="s">
        <v>88</v>
      </c>
      <c r="L1390" t="s">
        <v>29</v>
      </c>
      <c r="M1390" t="s">
        <v>30</v>
      </c>
      <c r="N1390" t="s">
        <v>31</v>
      </c>
      <c r="Q1390" t="s">
        <v>3795</v>
      </c>
      <c r="R1390" t="s">
        <v>3795</v>
      </c>
    </row>
    <row r="1391" spans="1:18" x14ac:dyDescent="0.3">
      <c r="A1391" s="2" t="str">
        <f>HYPERLINK(B1391,"Oppna PDF")</f>
        <v>Oppna PDF</v>
      </c>
      <c r="B1391" t="s">
        <v>3796</v>
      </c>
      <c r="C1391" t="s">
        <v>3797</v>
      </c>
      <c r="D1391" t="s">
        <v>3763</v>
      </c>
      <c r="E1391" t="s">
        <v>3798</v>
      </c>
      <c r="F1391" t="s">
        <v>3765</v>
      </c>
      <c r="G1391" t="s">
        <v>3766</v>
      </c>
      <c r="H1391" t="s">
        <v>268</v>
      </c>
      <c r="I1391" t="s">
        <v>3767</v>
      </c>
      <c r="J1391" t="s">
        <v>27</v>
      </c>
      <c r="K1391" t="s">
        <v>28</v>
      </c>
      <c r="L1391" t="s">
        <v>142</v>
      </c>
      <c r="M1391" t="s">
        <v>30</v>
      </c>
      <c r="N1391" t="s">
        <v>31</v>
      </c>
      <c r="Q1391" t="s">
        <v>3799</v>
      </c>
      <c r="R1391" t="s">
        <v>3800</v>
      </c>
    </row>
    <row r="1392" spans="1:18" x14ac:dyDescent="0.3">
      <c r="A1392" s="2" t="str">
        <f>HYPERLINK(B1392,"Oppna PDF")</f>
        <v>Oppna PDF</v>
      </c>
      <c r="B1392" t="s">
        <v>3801</v>
      </c>
      <c r="C1392" t="s">
        <v>3802</v>
      </c>
      <c r="D1392" t="s">
        <v>3803</v>
      </c>
      <c r="E1392" t="s">
        <v>3804</v>
      </c>
      <c r="F1392" t="s">
        <v>3765</v>
      </c>
      <c r="G1392" t="s">
        <v>3766</v>
      </c>
      <c r="H1392" t="s">
        <v>268</v>
      </c>
      <c r="I1392" t="s">
        <v>3767</v>
      </c>
      <c r="J1392" t="s">
        <v>48</v>
      </c>
      <c r="K1392" t="s">
        <v>49</v>
      </c>
      <c r="L1392" t="s">
        <v>142</v>
      </c>
      <c r="M1392" t="s">
        <v>30</v>
      </c>
      <c r="N1392" t="s">
        <v>31</v>
      </c>
      <c r="Q1392" t="s">
        <v>3768</v>
      </c>
      <c r="R1392" t="s">
        <v>3768</v>
      </c>
    </row>
    <row r="1393" spans="1:18" x14ac:dyDescent="0.3">
      <c r="A1393" s="2" t="str">
        <f>HYPERLINK(B1393,"Oppna PDF")</f>
        <v>Oppna PDF</v>
      </c>
      <c r="B1393" t="s">
        <v>3801</v>
      </c>
      <c r="C1393" t="s">
        <v>3805</v>
      </c>
      <c r="D1393" t="s">
        <v>3803</v>
      </c>
      <c r="E1393" t="s">
        <v>3804</v>
      </c>
      <c r="F1393" t="s">
        <v>3765</v>
      </c>
      <c r="G1393" t="s">
        <v>3766</v>
      </c>
      <c r="H1393" t="s">
        <v>268</v>
      </c>
      <c r="I1393" t="s">
        <v>3767</v>
      </c>
      <c r="J1393" t="s">
        <v>48</v>
      </c>
      <c r="K1393" t="s">
        <v>49</v>
      </c>
      <c r="L1393" t="s">
        <v>142</v>
      </c>
      <c r="M1393" t="s">
        <v>30</v>
      </c>
      <c r="N1393" t="s">
        <v>31</v>
      </c>
      <c r="Q1393" t="s">
        <v>3770</v>
      </c>
      <c r="R1393" t="s">
        <v>3770</v>
      </c>
    </row>
    <row r="1394" spans="1:18" x14ac:dyDescent="0.3">
      <c r="A1394" s="2" t="str">
        <f>HYPERLINK(B1394,"Oppna PDF")</f>
        <v>Oppna PDF</v>
      </c>
      <c r="B1394" t="s">
        <v>3801</v>
      </c>
      <c r="C1394" t="s">
        <v>3806</v>
      </c>
      <c r="D1394" t="s">
        <v>3803</v>
      </c>
      <c r="E1394" t="s">
        <v>3804</v>
      </c>
      <c r="F1394" t="s">
        <v>3765</v>
      </c>
      <c r="G1394" t="s">
        <v>3766</v>
      </c>
      <c r="H1394" t="s">
        <v>268</v>
      </c>
      <c r="I1394" t="s">
        <v>3767</v>
      </c>
      <c r="J1394" t="s">
        <v>48</v>
      </c>
      <c r="K1394" t="s">
        <v>49</v>
      </c>
      <c r="L1394" t="s">
        <v>142</v>
      </c>
      <c r="M1394" t="s">
        <v>30</v>
      </c>
      <c r="N1394" t="s">
        <v>31</v>
      </c>
      <c r="Q1394" t="s">
        <v>3772</v>
      </c>
      <c r="R1394" t="s">
        <v>3772</v>
      </c>
    </row>
    <row r="1395" spans="1:18" x14ac:dyDescent="0.3">
      <c r="A1395" s="2" t="str">
        <f>HYPERLINK(B1395,"Oppna PDF")</f>
        <v>Oppna PDF</v>
      </c>
      <c r="B1395" t="s">
        <v>3807</v>
      </c>
      <c r="C1395" t="s">
        <v>3808</v>
      </c>
      <c r="D1395" t="s">
        <v>3803</v>
      </c>
      <c r="E1395" t="s">
        <v>3809</v>
      </c>
      <c r="F1395" t="s">
        <v>3765</v>
      </c>
      <c r="G1395" t="s">
        <v>3766</v>
      </c>
      <c r="H1395" t="s">
        <v>268</v>
      </c>
      <c r="I1395" t="s">
        <v>3767</v>
      </c>
      <c r="J1395" t="s">
        <v>48</v>
      </c>
      <c r="K1395" t="s">
        <v>49</v>
      </c>
      <c r="L1395" t="s">
        <v>142</v>
      </c>
      <c r="M1395" t="s">
        <v>30</v>
      </c>
      <c r="N1395" t="s">
        <v>31</v>
      </c>
      <c r="Q1395" t="s">
        <v>3776</v>
      </c>
      <c r="R1395" t="s">
        <v>3776</v>
      </c>
    </row>
    <row r="1396" spans="1:18" x14ac:dyDescent="0.3">
      <c r="A1396" s="2" t="str">
        <f>HYPERLINK(B1396,"Oppna PDF")</f>
        <v>Oppna PDF</v>
      </c>
      <c r="B1396" t="s">
        <v>3807</v>
      </c>
      <c r="C1396" t="s">
        <v>3810</v>
      </c>
      <c r="D1396" t="s">
        <v>3803</v>
      </c>
      <c r="E1396" t="s">
        <v>3809</v>
      </c>
      <c r="F1396" t="s">
        <v>3765</v>
      </c>
      <c r="G1396" t="s">
        <v>3766</v>
      </c>
      <c r="H1396" t="s">
        <v>268</v>
      </c>
      <c r="I1396" t="s">
        <v>3767</v>
      </c>
      <c r="J1396" t="s">
        <v>87</v>
      </c>
      <c r="K1396" t="s">
        <v>88</v>
      </c>
      <c r="L1396" t="s">
        <v>142</v>
      </c>
      <c r="M1396" t="s">
        <v>30</v>
      </c>
      <c r="N1396" t="s">
        <v>31</v>
      </c>
      <c r="Q1396" t="s">
        <v>3778</v>
      </c>
      <c r="R1396" t="s">
        <v>3778</v>
      </c>
    </row>
    <row r="1397" spans="1:18" x14ac:dyDescent="0.3">
      <c r="A1397" s="2" t="str">
        <f>HYPERLINK(B1397,"Oppna PDF")</f>
        <v>Oppna PDF</v>
      </c>
      <c r="B1397" t="s">
        <v>3807</v>
      </c>
      <c r="C1397" t="s">
        <v>3811</v>
      </c>
      <c r="D1397" t="s">
        <v>3803</v>
      </c>
      <c r="E1397" t="s">
        <v>3809</v>
      </c>
      <c r="F1397" t="s">
        <v>3765</v>
      </c>
      <c r="G1397" t="s">
        <v>3766</v>
      </c>
      <c r="H1397" t="s">
        <v>268</v>
      </c>
      <c r="I1397" t="s">
        <v>3767</v>
      </c>
      <c r="J1397" t="s">
        <v>48</v>
      </c>
      <c r="K1397" t="s">
        <v>49</v>
      </c>
      <c r="L1397" t="s">
        <v>142</v>
      </c>
      <c r="M1397" t="s">
        <v>30</v>
      </c>
      <c r="N1397" t="s">
        <v>31</v>
      </c>
      <c r="Q1397" t="s">
        <v>1168</v>
      </c>
      <c r="R1397" t="s">
        <v>1168</v>
      </c>
    </row>
    <row r="1398" spans="1:18" x14ac:dyDescent="0.3">
      <c r="A1398" s="2" t="str">
        <f>HYPERLINK(B1398,"Oppna PDF")</f>
        <v>Oppna PDF</v>
      </c>
      <c r="B1398" t="s">
        <v>3812</v>
      </c>
      <c r="C1398" t="s">
        <v>3813</v>
      </c>
      <c r="D1398" t="s">
        <v>3803</v>
      </c>
      <c r="E1398" t="s">
        <v>3814</v>
      </c>
      <c r="F1398" t="s">
        <v>3765</v>
      </c>
      <c r="G1398" t="s">
        <v>3766</v>
      </c>
      <c r="H1398" t="s">
        <v>268</v>
      </c>
      <c r="I1398" t="s">
        <v>3767</v>
      </c>
      <c r="J1398" t="s">
        <v>27</v>
      </c>
      <c r="K1398" t="s">
        <v>28</v>
      </c>
      <c r="L1398" t="s">
        <v>29</v>
      </c>
      <c r="M1398" t="s">
        <v>30</v>
      </c>
      <c r="N1398" t="s">
        <v>31</v>
      </c>
      <c r="Q1398" t="s">
        <v>44</v>
      </c>
      <c r="R1398" t="s">
        <v>44</v>
      </c>
    </row>
    <row r="1399" spans="1:18" x14ac:dyDescent="0.3">
      <c r="A1399" s="2" t="str">
        <f>HYPERLINK(B1399,"Oppna PDF")</f>
        <v>Oppna PDF</v>
      </c>
      <c r="B1399" t="s">
        <v>3812</v>
      </c>
      <c r="C1399" t="s">
        <v>3815</v>
      </c>
      <c r="D1399" t="s">
        <v>3803</v>
      </c>
      <c r="E1399" t="s">
        <v>3814</v>
      </c>
      <c r="F1399" t="s">
        <v>3765</v>
      </c>
      <c r="G1399" t="s">
        <v>3766</v>
      </c>
      <c r="H1399" t="s">
        <v>268</v>
      </c>
      <c r="I1399" t="s">
        <v>3767</v>
      </c>
      <c r="J1399" t="s">
        <v>34</v>
      </c>
      <c r="K1399" t="s">
        <v>35</v>
      </c>
      <c r="L1399" t="s">
        <v>29</v>
      </c>
      <c r="M1399" t="s">
        <v>30</v>
      </c>
      <c r="N1399" t="s">
        <v>31</v>
      </c>
      <c r="Q1399" t="s">
        <v>3784</v>
      </c>
      <c r="R1399" t="s">
        <v>3784</v>
      </c>
    </row>
    <row r="1400" spans="1:18" x14ac:dyDescent="0.3">
      <c r="A1400" s="2" t="str">
        <f>HYPERLINK(B1400,"Oppna PDF")</f>
        <v>Oppna PDF</v>
      </c>
      <c r="B1400" t="s">
        <v>3812</v>
      </c>
      <c r="C1400" t="s">
        <v>3816</v>
      </c>
      <c r="D1400" t="s">
        <v>3803</v>
      </c>
      <c r="E1400" t="s">
        <v>3814</v>
      </c>
      <c r="F1400" t="s">
        <v>3765</v>
      </c>
      <c r="G1400" t="s">
        <v>3766</v>
      </c>
      <c r="H1400" t="s">
        <v>268</v>
      </c>
      <c r="I1400" t="s">
        <v>3767</v>
      </c>
      <c r="J1400" t="s">
        <v>27</v>
      </c>
      <c r="K1400" t="s">
        <v>28</v>
      </c>
      <c r="L1400" t="s">
        <v>29</v>
      </c>
      <c r="M1400" t="s">
        <v>30</v>
      </c>
      <c r="N1400" t="s">
        <v>31</v>
      </c>
      <c r="Q1400" t="s">
        <v>3786</v>
      </c>
      <c r="R1400" t="s">
        <v>3786</v>
      </c>
    </row>
    <row r="1401" spans="1:18" x14ac:dyDescent="0.3">
      <c r="A1401" s="2" t="str">
        <f>HYPERLINK(B1401,"Oppna PDF")</f>
        <v>Oppna PDF</v>
      </c>
      <c r="B1401" t="s">
        <v>3817</v>
      </c>
      <c r="C1401" t="s">
        <v>3818</v>
      </c>
      <c r="D1401" t="s">
        <v>3803</v>
      </c>
      <c r="E1401" t="s">
        <v>3819</v>
      </c>
      <c r="F1401" t="s">
        <v>3765</v>
      </c>
      <c r="G1401" t="s">
        <v>3766</v>
      </c>
      <c r="H1401" t="s">
        <v>268</v>
      </c>
      <c r="I1401" t="s">
        <v>3767</v>
      </c>
      <c r="J1401" t="s">
        <v>34</v>
      </c>
      <c r="K1401" t="s">
        <v>35</v>
      </c>
      <c r="L1401" t="s">
        <v>29</v>
      </c>
      <c r="M1401" t="s">
        <v>30</v>
      </c>
      <c r="N1401" t="s">
        <v>31</v>
      </c>
      <c r="Q1401" t="s">
        <v>3790</v>
      </c>
      <c r="R1401" t="s">
        <v>3791</v>
      </c>
    </row>
    <row r="1402" spans="1:18" x14ac:dyDescent="0.3">
      <c r="A1402" s="2" t="str">
        <f>HYPERLINK(B1402,"Oppna PDF")</f>
        <v>Oppna PDF</v>
      </c>
      <c r="B1402" t="s">
        <v>3817</v>
      </c>
      <c r="C1402" t="s">
        <v>3820</v>
      </c>
      <c r="D1402" t="s">
        <v>3803</v>
      </c>
      <c r="E1402" t="s">
        <v>3819</v>
      </c>
      <c r="F1402" t="s">
        <v>3765</v>
      </c>
      <c r="G1402" t="s">
        <v>3766</v>
      </c>
      <c r="H1402" t="s">
        <v>268</v>
      </c>
      <c r="I1402" t="s">
        <v>3767</v>
      </c>
      <c r="J1402" t="s">
        <v>27</v>
      </c>
      <c r="K1402" t="s">
        <v>28</v>
      </c>
      <c r="L1402" t="s">
        <v>29</v>
      </c>
      <c r="M1402" t="s">
        <v>30</v>
      </c>
      <c r="N1402" t="s">
        <v>31</v>
      </c>
      <c r="Q1402" t="s">
        <v>3793</v>
      </c>
      <c r="R1402" t="s">
        <v>3793</v>
      </c>
    </row>
    <row r="1403" spans="1:18" x14ac:dyDescent="0.3">
      <c r="A1403" s="2" t="str">
        <f>HYPERLINK(B1403,"Oppna PDF")</f>
        <v>Oppna PDF</v>
      </c>
      <c r="B1403" t="s">
        <v>3817</v>
      </c>
      <c r="C1403" t="s">
        <v>3821</v>
      </c>
      <c r="D1403" t="s">
        <v>3803</v>
      </c>
      <c r="E1403" t="s">
        <v>3819</v>
      </c>
      <c r="F1403" t="s">
        <v>3765</v>
      </c>
      <c r="G1403" t="s">
        <v>3766</v>
      </c>
      <c r="H1403" t="s">
        <v>268</v>
      </c>
      <c r="I1403" t="s">
        <v>3767</v>
      </c>
      <c r="J1403" t="s">
        <v>87</v>
      </c>
      <c r="K1403" t="s">
        <v>88</v>
      </c>
      <c r="L1403" t="s">
        <v>29</v>
      </c>
      <c r="M1403" t="s">
        <v>30</v>
      </c>
      <c r="N1403" t="s">
        <v>31</v>
      </c>
      <c r="Q1403" t="s">
        <v>3795</v>
      </c>
      <c r="R1403" t="s">
        <v>3795</v>
      </c>
    </row>
    <row r="1404" spans="1:18" x14ac:dyDescent="0.3">
      <c r="A1404" s="2" t="str">
        <f>HYPERLINK(B1404,"Oppna PDF")</f>
        <v>Oppna PDF</v>
      </c>
      <c r="B1404" t="s">
        <v>3822</v>
      </c>
      <c r="C1404" t="s">
        <v>3823</v>
      </c>
      <c r="D1404" t="s">
        <v>3824</v>
      </c>
      <c r="E1404" t="s">
        <v>3825</v>
      </c>
      <c r="H1404" t="s">
        <v>61</v>
      </c>
      <c r="I1404" t="s">
        <v>3826</v>
      </c>
      <c r="J1404" t="s">
        <v>38</v>
      </c>
      <c r="K1404" t="s">
        <v>39</v>
      </c>
      <c r="L1404" t="s">
        <v>29</v>
      </c>
      <c r="M1404" t="s">
        <v>30</v>
      </c>
      <c r="N1404" t="s">
        <v>31</v>
      </c>
      <c r="Q1404" t="s">
        <v>3827</v>
      </c>
      <c r="R1404" t="s">
        <v>3827</v>
      </c>
    </row>
    <row r="1405" spans="1:18" x14ac:dyDescent="0.3">
      <c r="A1405" s="2" t="str">
        <f>HYPERLINK(B1405,"Oppna PDF")</f>
        <v>Oppna PDF</v>
      </c>
      <c r="B1405" t="s">
        <v>3822</v>
      </c>
      <c r="C1405" t="s">
        <v>3828</v>
      </c>
      <c r="D1405" t="s">
        <v>3824</v>
      </c>
      <c r="E1405" t="s">
        <v>3825</v>
      </c>
      <c r="H1405" t="s">
        <v>61</v>
      </c>
      <c r="I1405" t="s">
        <v>3826</v>
      </c>
      <c r="J1405" t="s">
        <v>38</v>
      </c>
      <c r="K1405" t="s">
        <v>39</v>
      </c>
      <c r="L1405" t="s">
        <v>29</v>
      </c>
      <c r="M1405" t="s">
        <v>30</v>
      </c>
      <c r="N1405" t="s">
        <v>31</v>
      </c>
      <c r="Q1405" t="s">
        <v>3829</v>
      </c>
      <c r="R1405" t="s">
        <v>3829</v>
      </c>
    </row>
    <row r="1406" spans="1:18" x14ac:dyDescent="0.3">
      <c r="A1406" s="2" t="str">
        <f>HYPERLINK(B1406,"Oppna PDF")</f>
        <v>Oppna PDF</v>
      </c>
      <c r="B1406" t="s">
        <v>3822</v>
      </c>
      <c r="C1406" t="s">
        <v>3830</v>
      </c>
      <c r="D1406" t="s">
        <v>3824</v>
      </c>
      <c r="E1406" t="s">
        <v>3825</v>
      </c>
      <c r="H1406" t="s">
        <v>61</v>
      </c>
      <c r="I1406" t="s">
        <v>3826</v>
      </c>
      <c r="J1406" t="s">
        <v>38</v>
      </c>
      <c r="K1406" t="s">
        <v>39</v>
      </c>
      <c r="L1406" t="s">
        <v>29</v>
      </c>
      <c r="M1406" t="s">
        <v>30</v>
      </c>
      <c r="N1406" t="s">
        <v>31</v>
      </c>
      <c r="Q1406" t="s">
        <v>3831</v>
      </c>
      <c r="R1406" t="s">
        <v>3831</v>
      </c>
    </row>
    <row r="1407" spans="1:18" x14ac:dyDescent="0.3">
      <c r="A1407" s="2" t="str">
        <f>HYPERLINK(B1407,"Oppna PDF")</f>
        <v>Oppna PDF</v>
      </c>
      <c r="B1407" t="s">
        <v>3832</v>
      </c>
      <c r="C1407" t="s">
        <v>3833</v>
      </c>
      <c r="D1407" t="s">
        <v>3834</v>
      </c>
      <c r="E1407" t="s">
        <v>3835</v>
      </c>
      <c r="H1407" t="s">
        <v>61</v>
      </c>
      <c r="I1407" t="s">
        <v>3826</v>
      </c>
      <c r="J1407" t="s">
        <v>38</v>
      </c>
      <c r="K1407" t="s">
        <v>39</v>
      </c>
      <c r="L1407" t="s">
        <v>29</v>
      </c>
      <c r="M1407" t="s">
        <v>30</v>
      </c>
      <c r="N1407" t="s">
        <v>31</v>
      </c>
      <c r="Q1407" t="s">
        <v>3827</v>
      </c>
      <c r="R1407" t="s">
        <v>3827</v>
      </c>
    </row>
    <row r="1408" spans="1:18" x14ac:dyDescent="0.3">
      <c r="A1408" s="2" t="str">
        <f>HYPERLINK(B1408,"Oppna PDF")</f>
        <v>Oppna PDF</v>
      </c>
      <c r="B1408" t="s">
        <v>3832</v>
      </c>
      <c r="C1408" t="s">
        <v>3836</v>
      </c>
      <c r="D1408" t="s">
        <v>3834</v>
      </c>
      <c r="E1408" t="s">
        <v>3835</v>
      </c>
      <c r="H1408" t="s">
        <v>61</v>
      </c>
      <c r="I1408" t="s">
        <v>3826</v>
      </c>
      <c r="J1408" t="s">
        <v>38</v>
      </c>
      <c r="K1408" t="s">
        <v>39</v>
      </c>
      <c r="L1408" t="s">
        <v>29</v>
      </c>
      <c r="M1408" t="s">
        <v>30</v>
      </c>
      <c r="N1408" t="s">
        <v>31</v>
      </c>
      <c r="Q1408" t="s">
        <v>3829</v>
      </c>
      <c r="R1408" t="s">
        <v>3829</v>
      </c>
    </row>
    <row r="1409" spans="1:18" x14ac:dyDescent="0.3">
      <c r="A1409" s="2" t="str">
        <f>HYPERLINK(B1409,"Oppna PDF")</f>
        <v>Oppna PDF</v>
      </c>
      <c r="B1409" t="s">
        <v>3832</v>
      </c>
      <c r="C1409" t="s">
        <v>3837</v>
      </c>
      <c r="D1409" t="s">
        <v>3834</v>
      </c>
      <c r="E1409" t="s">
        <v>3835</v>
      </c>
      <c r="H1409" t="s">
        <v>61</v>
      </c>
      <c r="I1409" t="s">
        <v>3826</v>
      </c>
      <c r="J1409" t="s">
        <v>38</v>
      </c>
      <c r="K1409" t="s">
        <v>39</v>
      </c>
      <c r="L1409" t="s">
        <v>29</v>
      </c>
      <c r="M1409" t="s">
        <v>30</v>
      </c>
      <c r="N1409" t="s">
        <v>31</v>
      </c>
      <c r="Q1409" t="s">
        <v>3831</v>
      </c>
      <c r="R1409" t="s">
        <v>3831</v>
      </c>
    </row>
    <row r="1410" spans="1:18" x14ac:dyDescent="0.3">
      <c r="A1410" s="2" t="str">
        <f>HYPERLINK(B1410,"Oppna PDF")</f>
        <v>Oppna PDF</v>
      </c>
      <c r="B1410" t="s">
        <v>3838</v>
      </c>
      <c r="C1410" t="s">
        <v>3839</v>
      </c>
      <c r="D1410" t="s">
        <v>3840</v>
      </c>
      <c r="E1410" t="s">
        <v>3841</v>
      </c>
      <c r="F1410" t="s">
        <v>3842</v>
      </c>
      <c r="G1410" t="s">
        <v>3843</v>
      </c>
      <c r="H1410" t="s">
        <v>61</v>
      </c>
      <c r="I1410" t="s">
        <v>3844</v>
      </c>
      <c r="J1410" t="s">
        <v>27</v>
      </c>
      <c r="K1410" t="s">
        <v>28</v>
      </c>
      <c r="L1410" t="s">
        <v>29</v>
      </c>
      <c r="M1410" t="s">
        <v>30</v>
      </c>
      <c r="N1410" t="s">
        <v>31</v>
      </c>
      <c r="Q1410" t="s">
        <v>3845</v>
      </c>
      <c r="R1410" t="s">
        <v>3845</v>
      </c>
    </row>
    <row r="1411" spans="1:18" x14ac:dyDescent="0.3">
      <c r="A1411" s="2" t="str">
        <f>HYPERLINK(B1411,"Oppna PDF")</f>
        <v>Oppna PDF</v>
      </c>
      <c r="B1411" t="s">
        <v>3838</v>
      </c>
      <c r="C1411" t="s">
        <v>3846</v>
      </c>
      <c r="D1411" t="s">
        <v>3840</v>
      </c>
      <c r="E1411" t="s">
        <v>3841</v>
      </c>
      <c r="F1411" t="s">
        <v>3842</v>
      </c>
      <c r="G1411" t="s">
        <v>3843</v>
      </c>
      <c r="H1411" t="s">
        <v>61</v>
      </c>
      <c r="I1411" t="s">
        <v>3844</v>
      </c>
      <c r="J1411" t="s">
        <v>48</v>
      </c>
      <c r="K1411" t="s">
        <v>49</v>
      </c>
      <c r="L1411" t="s">
        <v>29</v>
      </c>
      <c r="M1411" t="s">
        <v>30</v>
      </c>
      <c r="N1411" t="s">
        <v>31</v>
      </c>
      <c r="Q1411" t="s">
        <v>3847</v>
      </c>
      <c r="R1411" t="s">
        <v>3847</v>
      </c>
    </row>
    <row r="1412" spans="1:18" x14ac:dyDescent="0.3">
      <c r="A1412" s="2" t="str">
        <f>HYPERLINK(B1412,"Oppna PDF")</f>
        <v>Oppna PDF</v>
      </c>
      <c r="B1412" t="s">
        <v>3838</v>
      </c>
      <c r="C1412" t="s">
        <v>3848</v>
      </c>
      <c r="D1412" t="s">
        <v>3840</v>
      </c>
      <c r="E1412" t="s">
        <v>3841</v>
      </c>
      <c r="F1412" t="s">
        <v>3842</v>
      </c>
      <c r="G1412" t="s">
        <v>3843</v>
      </c>
      <c r="H1412" t="s">
        <v>61</v>
      </c>
      <c r="I1412" t="s">
        <v>3844</v>
      </c>
      <c r="J1412" t="s">
        <v>48</v>
      </c>
      <c r="K1412" t="s">
        <v>49</v>
      </c>
      <c r="L1412" t="s">
        <v>29</v>
      </c>
      <c r="M1412" t="s">
        <v>30</v>
      </c>
      <c r="N1412" t="s">
        <v>31</v>
      </c>
      <c r="Q1412" t="s">
        <v>3849</v>
      </c>
      <c r="R1412" t="s">
        <v>3849</v>
      </c>
    </row>
    <row r="1413" spans="1:18" x14ac:dyDescent="0.3">
      <c r="A1413" s="2" t="str">
        <f>HYPERLINK(B1413,"Oppna PDF")</f>
        <v>Oppna PDF</v>
      </c>
      <c r="B1413" t="s">
        <v>3850</v>
      </c>
      <c r="C1413" t="s">
        <v>3851</v>
      </c>
      <c r="D1413" t="s">
        <v>3840</v>
      </c>
      <c r="E1413" t="s">
        <v>3852</v>
      </c>
      <c r="F1413" t="s">
        <v>3842</v>
      </c>
      <c r="G1413" t="s">
        <v>3843</v>
      </c>
      <c r="H1413" t="s">
        <v>61</v>
      </c>
      <c r="I1413" t="s">
        <v>3844</v>
      </c>
      <c r="J1413" t="s">
        <v>34</v>
      </c>
      <c r="K1413" t="s">
        <v>35</v>
      </c>
      <c r="L1413" t="s">
        <v>29</v>
      </c>
      <c r="M1413" t="s">
        <v>30</v>
      </c>
      <c r="N1413" t="s">
        <v>31</v>
      </c>
      <c r="Q1413" t="s">
        <v>3853</v>
      </c>
      <c r="R1413" t="s">
        <v>3853</v>
      </c>
    </row>
    <row r="1414" spans="1:18" x14ac:dyDescent="0.3">
      <c r="A1414" s="2" t="str">
        <f>HYPERLINK(B1414,"Oppna PDF")</f>
        <v>Oppna PDF</v>
      </c>
      <c r="B1414" t="s">
        <v>3850</v>
      </c>
      <c r="C1414" t="s">
        <v>3854</v>
      </c>
      <c r="D1414" t="s">
        <v>3840</v>
      </c>
      <c r="E1414" t="s">
        <v>3852</v>
      </c>
      <c r="F1414" t="s">
        <v>3842</v>
      </c>
      <c r="G1414" t="s">
        <v>3843</v>
      </c>
      <c r="H1414" t="s">
        <v>61</v>
      </c>
      <c r="I1414" t="s">
        <v>3844</v>
      </c>
      <c r="J1414" t="s">
        <v>91</v>
      </c>
      <c r="K1414" t="s">
        <v>92</v>
      </c>
      <c r="L1414" t="s">
        <v>29</v>
      </c>
      <c r="M1414" t="s">
        <v>30</v>
      </c>
      <c r="N1414" t="s">
        <v>31</v>
      </c>
      <c r="Q1414" t="s">
        <v>3855</v>
      </c>
      <c r="R1414" t="s">
        <v>3855</v>
      </c>
    </row>
    <row r="1415" spans="1:18" x14ac:dyDescent="0.3">
      <c r="A1415" s="2" t="str">
        <f>HYPERLINK(B1415,"Oppna PDF")</f>
        <v>Oppna PDF</v>
      </c>
      <c r="B1415" t="s">
        <v>3850</v>
      </c>
      <c r="C1415" t="s">
        <v>3856</v>
      </c>
      <c r="D1415" t="s">
        <v>3840</v>
      </c>
      <c r="E1415" t="s">
        <v>3852</v>
      </c>
      <c r="F1415" t="s">
        <v>3842</v>
      </c>
      <c r="G1415" t="s">
        <v>3843</v>
      </c>
      <c r="H1415" t="s">
        <v>61</v>
      </c>
      <c r="I1415" t="s">
        <v>3844</v>
      </c>
      <c r="J1415" t="s">
        <v>87</v>
      </c>
      <c r="K1415" t="s">
        <v>88</v>
      </c>
      <c r="L1415" t="s">
        <v>29</v>
      </c>
      <c r="M1415" t="s">
        <v>30</v>
      </c>
      <c r="N1415" t="s">
        <v>31</v>
      </c>
      <c r="Q1415" t="s">
        <v>3857</v>
      </c>
      <c r="R1415" t="s">
        <v>3857</v>
      </c>
    </row>
    <row r="1416" spans="1:18" x14ac:dyDescent="0.3">
      <c r="A1416" s="2" t="str">
        <f>HYPERLINK(B1416,"Oppna PDF")</f>
        <v>Oppna PDF</v>
      </c>
      <c r="B1416" t="s">
        <v>3858</v>
      </c>
      <c r="C1416" t="s">
        <v>3859</v>
      </c>
      <c r="D1416" t="s">
        <v>3840</v>
      </c>
      <c r="E1416" t="s">
        <v>3860</v>
      </c>
      <c r="F1416" t="s">
        <v>3842</v>
      </c>
      <c r="G1416" t="s">
        <v>3843</v>
      </c>
      <c r="H1416" t="s">
        <v>61</v>
      </c>
      <c r="I1416" t="s">
        <v>3844</v>
      </c>
      <c r="J1416" t="s">
        <v>91</v>
      </c>
      <c r="K1416" t="s">
        <v>92</v>
      </c>
      <c r="L1416" t="s">
        <v>29</v>
      </c>
      <c r="M1416" t="s">
        <v>30</v>
      </c>
      <c r="N1416" t="s">
        <v>31</v>
      </c>
      <c r="Q1416" t="s">
        <v>3861</v>
      </c>
      <c r="R1416" t="s">
        <v>3862</v>
      </c>
    </row>
    <row r="1417" spans="1:18" x14ac:dyDescent="0.3">
      <c r="A1417" s="2" t="str">
        <f>HYPERLINK(B1417,"Oppna PDF")</f>
        <v>Oppna PDF</v>
      </c>
      <c r="B1417" t="s">
        <v>3858</v>
      </c>
      <c r="C1417" t="s">
        <v>3863</v>
      </c>
      <c r="D1417" t="s">
        <v>3840</v>
      </c>
      <c r="E1417" t="s">
        <v>3860</v>
      </c>
      <c r="F1417" t="s">
        <v>3842</v>
      </c>
      <c r="G1417" t="s">
        <v>3843</v>
      </c>
      <c r="H1417" t="s">
        <v>61</v>
      </c>
      <c r="I1417" t="s">
        <v>3844</v>
      </c>
      <c r="J1417" t="s">
        <v>38</v>
      </c>
      <c r="K1417" t="s">
        <v>39</v>
      </c>
      <c r="L1417" t="s">
        <v>142</v>
      </c>
      <c r="M1417" t="s">
        <v>30</v>
      </c>
      <c r="N1417" t="s">
        <v>31</v>
      </c>
      <c r="Q1417" t="s">
        <v>3864</v>
      </c>
      <c r="R1417" t="s">
        <v>3865</v>
      </c>
    </row>
    <row r="1418" spans="1:18" x14ac:dyDescent="0.3">
      <c r="A1418" s="2" t="str">
        <f>HYPERLINK(B1418,"Oppna PDF")</f>
        <v>Oppna PDF</v>
      </c>
      <c r="B1418" t="s">
        <v>3858</v>
      </c>
      <c r="C1418" t="s">
        <v>3866</v>
      </c>
      <c r="D1418" t="s">
        <v>3840</v>
      </c>
      <c r="E1418" t="s">
        <v>3860</v>
      </c>
      <c r="F1418" t="s">
        <v>3842</v>
      </c>
      <c r="G1418" t="s">
        <v>3843</v>
      </c>
      <c r="H1418" t="s">
        <v>61</v>
      </c>
      <c r="I1418" t="s">
        <v>3844</v>
      </c>
      <c r="J1418" t="s">
        <v>87</v>
      </c>
      <c r="K1418" t="s">
        <v>88</v>
      </c>
      <c r="L1418" t="s">
        <v>29</v>
      </c>
      <c r="M1418" t="s">
        <v>30</v>
      </c>
      <c r="N1418" t="s">
        <v>31</v>
      </c>
      <c r="Q1418" t="s">
        <v>3867</v>
      </c>
      <c r="R1418" t="s">
        <v>3867</v>
      </c>
    </row>
    <row r="1419" spans="1:18" x14ac:dyDescent="0.3">
      <c r="A1419" s="2" t="str">
        <f>HYPERLINK(B1419,"Oppna PDF")</f>
        <v>Oppna PDF</v>
      </c>
      <c r="B1419" t="s">
        <v>3868</v>
      </c>
      <c r="C1419" t="s">
        <v>3869</v>
      </c>
      <c r="D1419" t="s">
        <v>3870</v>
      </c>
      <c r="E1419" t="s">
        <v>3871</v>
      </c>
      <c r="F1419" t="s">
        <v>3842</v>
      </c>
      <c r="G1419" t="s">
        <v>3843</v>
      </c>
      <c r="H1419" t="s">
        <v>61</v>
      </c>
      <c r="I1419" t="s">
        <v>3844</v>
      </c>
      <c r="J1419" t="s">
        <v>27</v>
      </c>
      <c r="K1419" t="s">
        <v>28</v>
      </c>
      <c r="L1419" t="s">
        <v>29</v>
      </c>
      <c r="M1419" t="s">
        <v>30</v>
      </c>
      <c r="N1419" t="s">
        <v>31</v>
      </c>
      <c r="Q1419" t="s">
        <v>3845</v>
      </c>
      <c r="R1419" t="s">
        <v>3845</v>
      </c>
    </row>
    <row r="1420" spans="1:18" x14ac:dyDescent="0.3">
      <c r="A1420" s="2" t="str">
        <f>HYPERLINK(B1420,"Oppna PDF")</f>
        <v>Oppna PDF</v>
      </c>
      <c r="B1420" t="s">
        <v>3868</v>
      </c>
      <c r="C1420" t="s">
        <v>3872</v>
      </c>
      <c r="D1420" t="s">
        <v>3870</v>
      </c>
      <c r="E1420" t="s">
        <v>3871</v>
      </c>
      <c r="F1420" t="s">
        <v>3842</v>
      </c>
      <c r="G1420" t="s">
        <v>3843</v>
      </c>
      <c r="H1420" t="s">
        <v>61</v>
      </c>
      <c r="I1420" t="s">
        <v>3844</v>
      </c>
      <c r="J1420" t="s">
        <v>48</v>
      </c>
      <c r="K1420" t="s">
        <v>49</v>
      </c>
      <c r="L1420" t="s">
        <v>29</v>
      </c>
      <c r="M1420" t="s">
        <v>30</v>
      </c>
      <c r="N1420" t="s">
        <v>31</v>
      </c>
      <c r="Q1420" t="s">
        <v>3847</v>
      </c>
      <c r="R1420" t="s">
        <v>3847</v>
      </c>
    </row>
    <row r="1421" spans="1:18" x14ac:dyDescent="0.3">
      <c r="A1421" s="2" t="str">
        <f>HYPERLINK(B1421,"Oppna PDF")</f>
        <v>Oppna PDF</v>
      </c>
      <c r="B1421" t="s">
        <v>3868</v>
      </c>
      <c r="C1421" t="s">
        <v>3873</v>
      </c>
      <c r="D1421" t="s">
        <v>3870</v>
      </c>
      <c r="E1421" t="s">
        <v>3871</v>
      </c>
      <c r="F1421" t="s">
        <v>3842</v>
      </c>
      <c r="G1421" t="s">
        <v>3843</v>
      </c>
      <c r="H1421" t="s">
        <v>61</v>
      </c>
      <c r="I1421" t="s">
        <v>3844</v>
      </c>
      <c r="J1421" t="s">
        <v>48</v>
      </c>
      <c r="K1421" t="s">
        <v>49</v>
      </c>
      <c r="L1421" t="s">
        <v>29</v>
      </c>
      <c r="M1421" t="s">
        <v>30</v>
      </c>
      <c r="N1421" t="s">
        <v>31</v>
      </c>
      <c r="Q1421" t="s">
        <v>3849</v>
      </c>
      <c r="R1421" t="s">
        <v>3849</v>
      </c>
    </row>
    <row r="1422" spans="1:18" x14ac:dyDescent="0.3">
      <c r="A1422" s="2" t="str">
        <f>HYPERLINK(B1422,"Oppna PDF")</f>
        <v>Oppna PDF</v>
      </c>
      <c r="B1422" t="s">
        <v>3874</v>
      </c>
      <c r="C1422" t="s">
        <v>3875</v>
      </c>
      <c r="D1422" t="s">
        <v>3870</v>
      </c>
      <c r="E1422" t="s">
        <v>3876</v>
      </c>
      <c r="F1422" t="s">
        <v>3842</v>
      </c>
      <c r="G1422" t="s">
        <v>3843</v>
      </c>
      <c r="H1422" t="s">
        <v>61</v>
      </c>
      <c r="I1422" t="s">
        <v>3844</v>
      </c>
      <c r="J1422" t="s">
        <v>34</v>
      </c>
      <c r="K1422" t="s">
        <v>35</v>
      </c>
      <c r="L1422" t="s">
        <v>29</v>
      </c>
      <c r="M1422" t="s">
        <v>30</v>
      </c>
      <c r="N1422" t="s">
        <v>31</v>
      </c>
      <c r="Q1422" t="s">
        <v>3853</v>
      </c>
      <c r="R1422" t="s">
        <v>3853</v>
      </c>
    </row>
    <row r="1423" spans="1:18" x14ac:dyDescent="0.3">
      <c r="A1423" s="2" t="str">
        <f>HYPERLINK(B1423,"Oppna PDF")</f>
        <v>Oppna PDF</v>
      </c>
      <c r="B1423" t="s">
        <v>3874</v>
      </c>
      <c r="C1423" t="s">
        <v>3877</v>
      </c>
      <c r="D1423" t="s">
        <v>3870</v>
      </c>
      <c r="E1423" t="s">
        <v>3876</v>
      </c>
      <c r="F1423" t="s">
        <v>3842</v>
      </c>
      <c r="G1423" t="s">
        <v>3843</v>
      </c>
      <c r="H1423" t="s">
        <v>61</v>
      </c>
      <c r="I1423" t="s">
        <v>3844</v>
      </c>
      <c r="J1423" t="s">
        <v>91</v>
      </c>
      <c r="K1423" t="s">
        <v>92</v>
      </c>
      <c r="L1423" t="s">
        <v>29</v>
      </c>
      <c r="M1423" t="s">
        <v>30</v>
      </c>
      <c r="N1423" t="s">
        <v>31</v>
      </c>
      <c r="Q1423" t="s">
        <v>3855</v>
      </c>
      <c r="R1423" t="s">
        <v>3855</v>
      </c>
    </row>
    <row r="1424" spans="1:18" x14ac:dyDescent="0.3">
      <c r="A1424" s="2" t="str">
        <f>HYPERLINK(B1424,"Oppna PDF")</f>
        <v>Oppna PDF</v>
      </c>
      <c r="B1424" t="s">
        <v>3874</v>
      </c>
      <c r="C1424" t="s">
        <v>3878</v>
      </c>
      <c r="D1424" t="s">
        <v>3870</v>
      </c>
      <c r="E1424" t="s">
        <v>3876</v>
      </c>
      <c r="F1424" t="s">
        <v>3842</v>
      </c>
      <c r="G1424" t="s">
        <v>3843</v>
      </c>
      <c r="H1424" t="s">
        <v>61</v>
      </c>
      <c r="I1424" t="s">
        <v>3844</v>
      </c>
      <c r="J1424" t="s">
        <v>87</v>
      </c>
      <c r="K1424" t="s">
        <v>88</v>
      </c>
      <c r="L1424" t="s">
        <v>29</v>
      </c>
      <c r="M1424" t="s">
        <v>30</v>
      </c>
      <c r="N1424" t="s">
        <v>31</v>
      </c>
      <c r="Q1424" t="s">
        <v>3857</v>
      </c>
      <c r="R1424" t="s">
        <v>3857</v>
      </c>
    </row>
    <row r="1425" spans="1:18" x14ac:dyDescent="0.3">
      <c r="A1425" s="2" t="str">
        <f>HYPERLINK(B1425,"Oppna PDF")</f>
        <v>Oppna PDF</v>
      </c>
      <c r="B1425" t="s">
        <v>3879</v>
      </c>
      <c r="C1425" t="s">
        <v>3880</v>
      </c>
      <c r="D1425" t="s">
        <v>3870</v>
      </c>
      <c r="E1425" t="s">
        <v>3881</v>
      </c>
      <c r="F1425" t="s">
        <v>3842</v>
      </c>
      <c r="G1425" t="s">
        <v>3843</v>
      </c>
      <c r="H1425" t="s">
        <v>61</v>
      </c>
      <c r="I1425" t="s">
        <v>3844</v>
      </c>
      <c r="J1425" t="s">
        <v>91</v>
      </c>
      <c r="K1425" t="s">
        <v>92</v>
      </c>
      <c r="L1425" t="s">
        <v>29</v>
      </c>
      <c r="M1425" t="s">
        <v>30</v>
      </c>
      <c r="N1425" t="s">
        <v>31</v>
      </c>
      <c r="Q1425" t="s">
        <v>3861</v>
      </c>
      <c r="R1425" t="s">
        <v>3862</v>
      </c>
    </row>
    <row r="1426" spans="1:18" x14ac:dyDescent="0.3">
      <c r="A1426" s="2" t="str">
        <f>HYPERLINK(B1426,"Oppna PDF")</f>
        <v>Oppna PDF</v>
      </c>
      <c r="B1426" t="s">
        <v>3879</v>
      </c>
      <c r="C1426" t="s">
        <v>3882</v>
      </c>
      <c r="D1426" t="s">
        <v>3870</v>
      </c>
      <c r="E1426" t="s">
        <v>3881</v>
      </c>
      <c r="F1426" t="s">
        <v>3842</v>
      </c>
      <c r="G1426" t="s">
        <v>3843</v>
      </c>
      <c r="H1426" t="s">
        <v>61</v>
      </c>
      <c r="I1426" t="s">
        <v>3844</v>
      </c>
      <c r="J1426" t="s">
        <v>38</v>
      </c>
      <c r="K1426" t="s">
        <v>39</v>
      </c>
      <c r="L1426" t="s">
        <v>142</v>
      </c>
      <c r="M1426" t="s">
        <v>30</v>
      </c>
      <c r="N1426" t="s">
        <v>31</v>
      </c>
      <c r="Q1426" t="s">
        <v>3864</v>
      </c>
      <c r="R1426" t="s">
        <v>3865</v>
      </c>
    </row>
    <row r="1427" spans="1:18" x14ac:dyDescent="0.3">
      <c r="A1427" s="2" t="str">
        <f>HYPERLINK(B1427,"Oppna PDF")</f>
        <v>Oppna PDF</v>
      </c>
      <c r="B1427" t="s">
        <v>3879</v>
      </c>
      <c r="C1427" t="s">
        <v>3883</v>
      </c>
      <c r="D1427" t="s">
        <v>3870</v>
      </c>
      <c r="E1427" t="s">
        <v>3881</v>
      </c>
      <c r="F1427" t="s">
        <v>3842</v>
      </c>
      <c r="G1427" t="s">
        <v>3843</v>
      </c>
      <c r="H1427" t="s">
        <v>61</v>
      </c>
      <c r="I1427" t="s">
        <v>3844</v>
      </c>
      <c r="J1427" t="s">
        <v>87</v>
      </c>
      <c r="K1427" t="s">
        <v>88</v>
      </c>
      <c r="L1427" t="s">
        <v>29</v>
      </c>
      <c r="M1427" t="s">
        <v>30</v>
      </c>
      <c r="N1427" t="s">
        <v>31</v>
      </c>
      <c r="Q1427" t="s">
        <v>3867</v>
      </c>
      <c r="R1427" t="s">
        <v>3867</v>
      </c>
    </row>
    <row r="1428" spans="1:18" x14ac:dyDescent="0.3">
      <c r="A1428" s="2" t="str">
        <f>HYPERLINK(B1428,"Oppna PDF")</f>
        <v>Oppna PDF</v>
      </c>
      <c r="B1428" t="s">
        <v>3884</v>
      </c>
      <c r="C1428" t="s">
        <v>3885</v>
      </c>
      <c r="D1428" t="s">
        <v>3886</v>
      </c>
      <c r="E1428" t="s">
        <v>3887</v>
      </c>
      <c r="H1428" t="s">
        <v>61</v>
      </c>
      <c r="I1428" t="s">
        <v>3888</v>
      </c>
      <c r="J1428" t="s">
        <v>87</v>
      </c>
      <c r="K1428" t="s">
        <v>88</v>
      </c>
      <c r="L1428" t="s">
        <v>29</v>
      </c>
      <c r="M1428" t="s">
        <v>30</v>
      </c>
      <c r="N1428" t="s">
        <v>31</v>
      </c>
      <c r="Q1428" t="s">
        <v>3889</v>
      </c>
      <c r="R1428" t="s">
        <v>3889</v>
      </c>
    </row>
    <row r="1429" spans="1:18" x14ac:dyDescent="0.3">
      <c r="A1429" s="2" t="str">
        <f>HYPERLINK(B1429,"Oppna PDF")</f>
        <v>Oppna PDF</v>
      </c>
      <c r="B1429" t="s">
        <v>3884</v>
      </c>
      <c r="C1429" t="s">
        <v>3890</v>
      </c>
      <c r="D1429" t="s">
        <v>3886</v>
      </c>
      <c r="E1429" t="s">
        <v>3887</v>
      </c>
      <c r="H1429" t="s">
        <v>61</v>
      </c>
      <c r="I1429" t="s">
        <v>3888</v>
      </c>
      <c r="J1429" t="s">
        <v>87</v>
      </c>
      <c r="K1429" t="s">
        <v>88</v>
      </c>
      <c r="L1429" t="s">
        <v>29</v>
      </c>
      <c r="M1429" t="s">
        <v>30</v>
      </c>
      <c r="N1429" t="s">
        <v>31</v>
      </c>
      <c r="Q1429" t="e">
        <f>- Arbetsmiljöskäl och risk för kontamination.</f>
        <v>#NAME?</v>
      </c>
      <c r="R1429" t="e">
        <f>- Arbetsmiljöskäl och risk för kontamination.</f>
        <v>#NAME?</v>
      </c>
    </row>
    <row r="1430" spans="1:18" x14ac:dyDescent="0.3">
      <c r="A1430" s="2" t="str">
        <f>HYPERLINK(B1430,"Oppna PDF")</f>
        <v>Oppna PDF</v>
      </c>
      <c r="B1430" t="s">
        <v>3884</v>
      </c>
      <c r="C1430" t="s">
        <v>3891</v>
      </c>
      <c r="D1430" t="s">
        <v>3886</v>
      </c>
      <c r="E1430" t="s">
        <v>3887</v>
      </c>
      <c r="H1430" t="s">
        <v>61</v>
      </c>
      <c r="I1430" t="s">
        <v>3888</v>
      </c>
      <c r="J1430" t="s">
        <v>34</v>
      </c>
      <c r="K1430" t="s">
        <v>35</v>
      </c>
      <c r="L1430" t="s">
        <v>29</v>
      </c>
      <c r="M1430" t="s">
        <v>30</v>
      </c>
      <c r="N1430" t="s">
        <v>31</v>
      </c>
      <c r="Q1430" t="s">
        <v>3892</v>
      </c>
      <c r="R1430" t="s">
        <v>3892</v>
      </c>
    </row>
    <row r="1431" spans="1:18" x14ac:dyDescent="0.3">
      <c r="A1431" s="2" t="str">
        <f>HYPERLINK(B1431,"Oppna PDF")</f>
        <v>Oppna PDF</v>
      </c>
      <c r="B1431" t="s">
        <v>3893</v>
      </c>
      <c r="C1431" t="s">
        <v>3894</v>
      </c>
      <c r="D1431" t="s">
        <v>3886</v>
      </c>
      <c r="E1431" t="s">
        <v>3895</v>
      </c>
      <c r="H1431" t="s">
        <v>61</v>
      </c>
      <c r="I1431" t="s">
        <v>3888</v>
      </c>
      <c r="J1431" t="s">
        <v>34</v>
      </c>
      <c r="K1431" t="s">
        <v>35</v>
      </c>
      <c r="L1431" t="s">
        <v>29</v>
      </c>
      <c r="M1431" t="s">
        <v>30</v>
      </c>
      <c r="N1431" t="s">
        <v>31</v>
      </c>
      <c r="Q1431" t="s">
        <v>3896</v>
      </c>
      <c r="R1431" t="s">
        <v>3896</v>
      </c>
    </row>
    <row r="1432" spans="1:18" x14ac:dyDescent="0.3">
      <c r="A1432" s="2" t="str">
        <f>HYPERLINK(B1432,"Oppna PDF")</f>
        <v>Oppna PDF</v>
      </c>
      <c r="B1432" t="s">
        <v>3897</v>
      </c>
      <c r="C1432" t="s">
        <v>3898</v>
      </c>
      <c r="D1432" t="s">
        <v>3886</v>
      </c>
      <c r="E1432" t="s">
        <v>3899</v>
      </c>
      <c r="H1432" t="s">
        <v>61</v>
      </c>
      <c r="I1432" t="s">
        <v>3888</v>
      </c>
      <c r="J1432" t="s">
        <v>87</v>
      </c>
      <c r="K1432" t="s">
        <v>88</v>
      </c>
      <c r="L1432" t="s">
        <v>29</v>
      </c>
      <c r="M1432" t="s">
        <v>30</v>
      </c>
      <c r="N1432" t="s">
        <v>31</v>
      </c>
      <c r="Q1432" t="s">
        <v>3900</v>
      </c>
      <c r="R1432" t="s">
        <v>3900</v>
      </c>
    </row>
    <row r="1433" spans="1:18" x14ac:dyDescent="0.3">
      <c r="A1433" s="2" t="str">
        <f>HYPERLINK(B1433,"Oppna PDF")</f>
        <v>Oppna PDF</v>
      </c>
      <c r="B1433" t="s">
        <v>3897</v>
      </c>
      <c r="C1433" t="s">
        <v>3901</v>
      </c>
      <c r="D1433" t="s">
        <v>3886</v>
      </c>
      <c r="E1433" t="s">
        <v>3899</v>
      </c>
      <c r="H1433" t="s">
        <v>61</v>
      </c>
      <c r="I1433" t="s">
        <v>3888</v>
      </c>
      <c r="J1433" t="s">
        <v>87</v>
      </c>
      <c r="K1433" t="s">
        <v>88</v>
      </c>
      <c r="L1433" t="s">
        <v>29</v>
      </c>
      <c r="M1433" t="s">
        <v>30</v>
      </c>
      <c r="N1433" t="s">
        <v>31</v>
      </c>
      <c r="Q1433" t="s">
        <v>3902</v>
      </c>
      <c r="R1433" t="s">
        <v>3902</v>
      </c>
    </row>
    <row r="1434" spans="1:18" x14ac:dyDescent="0.3">
      <c r="A1434" s="2" t="str">
        <f>HYPERLINK(B1434,"Oppna PDF")</f>
        <v>Oppna PDF</v>
      </c>
      <c r="B1434" t="s">
        <v>3897</v>
      </c>
      <c r="C1434" t="s">
        <v>3903</v>
      </c>
      <c r="D1434" t="s">
        <v>3886</v>
      </c>
      <c r="E1434" t="s">
        <v>3899</v>
      </c>
      <c r="H1434" t="s">
        <v>61</v>
      </c>
      <c r="I1434" t="s">
        <v>3888</v>
      </c>
      <c r="J1434" t="s">
        <v>27</v>
      </c>
      <c r="K1434" t="s">
        <v>28</v>
      </c>
      <c r="L1434" t="s">
        <v>29</v>
      </c>
      <c r="M1434" t="s">
        <v>30</v>
      </c>
      <c r="N1434" t="s">
        <v>31</v>
      </c>
      <c r="Q1434" t="s">
        <v>3904</v>
      </c>
      <c r="R1434" t="s">
        <v>3904</v>
      </c>
    </row>
    <row r="1435" spans="1:18" x14ac:dyDescent="0.3">
      <c r="A1435" s="2" t="str">
        <f>HYPERLINK(B1435,"Oppna PDF")</f>
        <v>Oppna PDF</v>
      </c>
      <c r="B1435" t="s">
        <v>3905</v>
      </c>
      <c r="C1435" t="s">
        <v>3906</v>
      </c>
      <c r="D1435" t="s">
        <v>3886</v>
      </c>
      <c r="E1435" t="s">
        <v>3907</v>
      </c>
      <c r="H1435" t="s">
        <v>61</v>
      </c>
      <c r="I1435" t="s">
        <v>3888</v>
      </c>
      <c r="J1435" t="s">
        <v>48</v>
      </c>
      <c r="K1435" t="s">
        <v>49</v>
      </c>
      <c r="L1435" t="s">
        <v>29</v>
      </c>
      <c r="M1435" t="s">
        <v>30</v>
      </c>
      <c r="N1435" t="s">
        <v>31</v>
      </c>
      <c r="Q1435" t="s">
        <v>3908</v>
      </c>
      <c r="R1435" t="s">
        <v>3908</v>
      </c>
    </row>
    <row r="1436" spans="1:18" x14ac:dyDescent="0.3">
      <c r="A1436" s="2" t="str">
        <f>HYPERLINK(B1436,"Oppna PDF")</f>
        <v>Oppna PDF</v>
      </c>
      <c r="B1436" t="s">
        <v>3905</v>
      </c>
      <c r="C1436" t="s">
        <v>3909</v>
      </c>
      <c r="D1436" t="s">
        <v>3886</v>
      </c>
      <c r="E1436" t="s">
        <v>3907</v>
      </c>
      <c r="H1436" t="s">
        <v>61</v>
      </c>
      <c r="I1436" t="s">
        <v>3888</v>
      </c>
      <c r="J1436" t="s">
        <v>48</v>
      </c>
      <c r="K1436" t="s">
        <v>49</v>
      </c>
      <c r="L1436" t="s">
        <v>29</v>
      </c>
      <c r="M1436" t="s">
        <v>30</v>
      </c>
      <c r="N1436" t="s">
        <v>31</v>
      </c>
      <c r="Q1436" t="s">
        <v>3910</v>
      </c>
      <c r="R1436" t="s">
        <v>3910</v>
      </c>
    </row>
    <row r="1437" spans="1:18" x14ac:dyDescent="0.3">
      <c r="A1437" s="2" t="str">
        <f>HYPERLINK(B1437,"Oppna PDF")</f>
        <v>Oppna PDF</v>
      </c>
      <c r="B1437" t="s">
        <v>3905</v>
      </c>
      <c r="C1437" t="s">
        <v>3911</v>
      </c>
      <c r="D1437" t="s">
        <v>3886</v>
      </c>
      <c r="E1437" t="s">
        <v>3907</v>
      </c>
      <c r="H1437" t="s">
        <v>61</v>
      </c>
      <c r="I1437" t="s">
        <v>3888</v>
      </c>
      <c r="J1437" t="s">
        <v>87</v>
      </c>
      <c r="K1437" t="s">
        <v>88</v>
      </c>
      <c r="L1437" t="s">
        <v>29</v>
      </c>
      <c r="M1437" t="s">
        <v>30</v>
      </c>
      <c r="N1437" t="s">
        <v>31</v>
      </c>
      <c r="Q1437" t="s">
        <v>3912</v>
      </c>
      <c r="R1437" t="s">
        <v>3912</v>
      </c>
    </row>
    <row r="1438" spans="1:18" x14ac:dyDescent="0.3">
      <c r="A1438" s="2" t="str">
        <f>HYPERLINK(B1438,"Oppna PDF")</f>
        <v>Oppna PDF</v>
      </c>
      <c r="B1438" t="s">
        <v>3913</v>
      </c>
      <c r="C1438" t="s">
        <v>3914</v>
      </c>
      <c r="D1438" t="s">
        <v>3915</v>
      </c>
      <c r="E1438" t="s">
        <v>3916</v>
      </c>
      <c r="H1438" t="s">
        <v>61</v>
      </c>
      <c r="I1438" t="s">
        <v>3888</v>
      </c>
      <c r="J1438" t="s">
        <v>87</v>
      </c>
      <c r="K1438" t="s">
        <v>88</v>
      </c>
      <c r="L1438" t="s">
        <v>29</v>
      </c>
      <c r="M1438" t="s">
        <v>30</v>
      </c>
      <c r="N1438" t="s">
        <v>31</v>
      </c>
      <c r="Q1438" t="s">
        <v>3889</v>
      </c>
      <c r="R1438" t="s">
        <v>3889</v>
      </c>
    </row>
    <row r="1439" spans="1:18" x14ac:dyDescent="0.3">
      <c r="A1439" s="2" t="str">
        <f>HYPERLINK(B1439,"Oppna PDF")</f>
        <v>Oppna PDF</v>
      </c>
      <c r="B1439" t="s">
        <v>3913</v>
      </c>
      <c r="C1439" t="s">
        <v>3917</v>
      </c>
      <c r="D1439" t="s">
        <v>3915</v>
      </c>
      <c r="E1439" t="s">
        <v>3916</v>
      </c>
      <c r="H1439" t="s">
        <v>61</v>
      </c>
      <c r="I1439" t="s">
        <v>3888</v>
      </c>
      <c r="J1439" t="s">
        <v>87</v>
      </c>
      <c r="K1439" t="s">
        <v>88</v>
      </c>
      <c r="L1439" t="s">
        <v>29</v>
      </c>
      <c r="M1439" t="s">
        <v>30</v>
      </c>
      <c r="N1439" t="s">
        <v>31</v>
      </c>
      <c r="Q1439" t="e">
        <f>- Arbetsmiljöskäl och risk för kontamination.</f>
        <v>#NAME?</v>
      </c>
      <c r="R1439" t="e">
        <f>- Arbetsmiljöskäl och risk för kontamination.</f>
        <v>#NAME?</v>
      </c>
    </row>
    <row r="1440" spans="1:18" x14ac:dyDescent="0.3">
      <c r="A1440" s="2" t="str">
        <f>HYPERLINK(B1440,"Oppna PDF")</f>
        <v>Oppna PDF</v>
      </c>
      <c r="B1440" t="s">
        <v>3913</v>
      </c>
      <c r="C1440" t="s">
        <v>3918</v>
      </c>
      <c r="D1440" t="s">
        <v>3915</v>
      </c>
      <c r="E1440" t="s">
        <v>3916</v>
      </c>
      <c r="H1440" t="s">
        <v>61</v>
      </c>
      <c r="I1440" t="s">
        <v>3888</v>
      </c>
      <c r="J1440" t="s">
        <v>34</v>
      </c>
      <c r="K1440" t="s">
        <v>35</v>
      </c>
      <c r="L1440" t="s">
        <v>29</v>
      </c>
      <c r="M1440" t="s">
        <v>30</v>
      </c>
      <c r="N1440" t="s">
        <v>31</v>
      </c>
      <c r="Q1440" t="s">
        <v>3892</v>
      </c>
      <c r="R1440" t="s">
        <v>3892</v>
      </c>
    </row>
    <row r="1441" spans="1:18" x14ac:dyDescent="0.3">
      <c r="A1441" s="2" t="str">
        <f>HYPERLINK(B1441,"Oppna PDF")</f>
        <v>Oppna PDF</v>
      </c>
      <c r="B1441" t="s">
        <v>3919</v>
      </c>
      <c r="C1441" t="s">
        <v>3920</v>
      </c>
      <c r="D1441" t="s">
        <v>3915</v>
      </c>
      <c r="E1441" t="s">
        <v>3921</v>
      </c>
      <c r="H1441" t="s">
        <v>61</v>
      </c>
      <c r="I1441" t="s">
        <v>3888</v>
      </c>
      <c r="J1441" t="s">
        <v>34</v>
      </c>
      <c r="K1441" t="s">
        <v>35</v>
      </c>
      <c r="L1441" t="s">
        <v>29</v>
      </c>
      <c r="M1441" t="s">
        <v>30</v>
      </c>
      <c r="N1441" t="s">
        <v>31</v>
      </c>
      <c r="Q1441" t="s">
        <v>3896</v>
      </c>
      <c r="R1441" t="s">
        <v>3896</v>
      </c>
    </row>
    <row r="1442" spans="1:18" x14ac:dyDescent="0.3">
      <c r="A1442" s="2" t="str">
        <f>HYPERLINK(B1442,"Oppna PDF")</f>
        <v>Oppna PDF</v>
      </c>
      <c r="B1442" t="s">
        <v>3922</v>
      </c>
      <c r="C1442" t="s">
        <v>3923</v>
      </c>
      <c r="D1442" t="s">
        <v>3915</v>
      </c>
      <c r="E1442" t="s">
        <v>3924</v>
      </c>
      <c r="H1442" t="s">
        <v>61</v>
      </c>
      <c r="I1442" t="s">
        <v>3888</v>
      </c>
      <c r="J1442" t="s">
        <v>87</v>
      </c>
      <c r="K1442" t="s">
        <v>88</v>
      </c>
      <c r="L1442" t="s">
        <v>29</v>
      </c>
      <c r="M1442" t="s">
        <v>30</v>
      </c>
      <c r="N1442" t="s">
        <v>31</v>
      </c>
      <c r="Q1442" t="s">
        <v>3900</v>
      </c>
      <c r="R1442" t="s">
        <v>3900</v>
      </c>
    </row>
    <row r="1443" spans="1:18" x14ac:dyDescent="0.3">
      <c r="A1443" s="2" t="str">
        <f>HYPERLINK(B1443,"Oppna PDF")</f>
        <v>Oppna PDF</v>
      </c>
      <c r="B1443" t="s">
        <v>3922</v>
      </c>
      <c r="C1443" t="s">
        <v>3925</v>
      </c>
      <c r="D1443" t="s">
        <v>3915</v>
      </c>
      <c r="E1443" t="s">
        <v>3924</v>
      </c>
      <c r="H1443" t="s">
        <v>61</v>
      </c>
      <c r="I1443" t="s">
        <v>3888</v>
      </c>
      <c r="J1443" t="s">
        <v>87</v>
      </c>
      <c r="K1443" t="s">
        <v>88</v>
      </c>
      <c r="L1443" t="s">
        <v>29</v>
      </c>
      <c r="M1443" t="s">
        <v>30</v>
      </c>
      <c r="N1443" t="s">
        <v>31</v>
      </c>
      <c r="Q1443" t="s">
        <v>3902</v>
      </c>
      <c r="R1443" t="s">
        <v>3902</v>
      </c>
    </row>
    <row r="1444" spans="1:18" x14ac:dyDescent="0.3">
      <c r="A1444" s="2" t="str">
        <f>HYPERLINK(B1444,"Oppna PDF")</f>
        <v>Oppna PDF</v>
      </c>
      <c r="B1444" t="s">
        <v>3922</v>
      </c>
      <c r="C1444" t="s">
        <v>3926</v>
      </c>
      <c r="D1444" t="s">
        <v>3915</v>
      </c>
      <c r="E1444" t="s">
        <v>3924</v>
      </c>
      <c r="H1444" t="s">
        <v>61</v>
      </c>
      <c r="I1444" t="s">
        <v>3888</v>
      </c>
      <c r="J1444" t="s">
        <v>27</v>
      </c>
      <c r="K1444" t="s">
        <v>28</v>
      </c>
      <c r="L1444" t="s">
        <v>29</v>
      </c>
      <c r="M1444" t="s">
        <v>30</v>
      </c>
      <c r="N1444" t="s">
        <v>31</v>
      </c>
      <c r="Q1444" t="s">
        <v>3904</v>
      </c>
      <c r="R1444" t="s">
        <v>3904</v>
      </c>
    </row>
    <row r="1445" spans="1:18" x14ac:dyDescent="0.3">
      <c r="A1445" s="2" t="str">
        <f>HYPERLINK(B1445,"Oppna PDF")</f>
        <v>Oppna PDF</v>
      </c>
      <c r="B1445" t="s">
        <v>3927</v>
      </c>
      <c r="C1445" t="s">
        <v>3928</v>
      </c>
      <c r="D1445" t="s">
        <v>3915</v>
      </c>
      <c r="E1445" t="s">
        <v>3929</v>
      </c>
      <c r="H1445" t="s">
        <v>61</v>
      </c>
      <c r="I1445" t="s">
        <v>3888</v>
      </c>
      <c r="J1445" t="s">
        <v>48</v>
      </c>
      <c r="K1445" t="s">
        <v>49</v>
      </c>
      <c r="L1445" t="s">
        <v>29</v>
      </c>
      <c r="M1445" t="s">
        <v>30</v>
      </c>
      <c r="N1445" t="s">
        <v>31</v>
      </c>
      <c r="Q1445" t="s">
        <v>3908</v>
      </c>
      <c r="R1445" t="s">
        <v>3908</v>
      </c>
    </row>
    <row r="1446" spans="1:18" x14ac:dyDescent="0.3">
      <c r="A1446" s="2" t="str">
        <f>HYPERLINK(B1446,"Oppna PDF")</f>
        <v>Oppna PDF</v>
      </c>
      <c r="B1446" t="s">
        <v>3927</v>
      </c>
      <c r="C1446" t="s">
        <v>3930</v>
      </c>
      <c r="D1446" t="s">
        <v>3915</v>
      </c>
      <c r="E1446" t="s">
        <v>3929</v>
      </c>
      <c r="H1446" t="s">
        <v>61</v>
      </c>
      <c r="I1446" t="s">
        <v>3888</v>
      </c>
      <c r="J1446" t="s">
        <v>48</v>
      </c>
      <c r="K1446" t="s">
        <v>49</v>
      </c>
      <c r="L1446" t="s">
        <v>29</v>
      </c>
      <c r="M1446" t="s">
        <v>30</v>
      </c>
      <c r="N1446" t="s">
        <v>31</v>
      </c>
      <c r="Q1446" t="s">
        <v>3910</v>
      </c>
      <c r="R1446" t="s">
        <v>3910</v>
      </c>
    </row>
    <row r="1447" spans="1:18" x14ac:dyDescent="0.3">
      <c r="A1447" s="2" t="str">
        <f>HYPERLINK(B1447,"Oppna PDF")</f>
        <v>Oppna PDF</v>
      </c>
      <c r="B1447" t="s">
        <v>3927</v>
      </c>
      <c r="C1447" t="s">
        <v>3931</v>
      </c>
      <c r="D1447" t="s">
        <v>3915</v>
      </c>
      <c r="E1447" t="s">
        <v>3929</v>
      </c>
      <c r="H1447" t="s">
        <v>61</v>
      </c>
      <c r="I1447" t="s">
        <v>3888</v>
      </c>
      <c r="J1447" t="s">
        <v>87</v>
      </c>
      <c r="K1447" t="s">
        <v>88</v>
      </c>
      <c r="L1447" t="s">
        <v>29</v>
      </c>
      <c r="M1447" t="s">
        <v>30</v>
      </c>
      <c r="N1447" t="s">
        <v>31</v>
      </c>
      <c r="Q1447" t="s">
        <v>3912</v>
      </c>
      <c r="R1447" t="s">
        <v>3912</v>
      </c>
    </row>
    <row r="1448" spans="1:18" x14ac:dyDescent="0.3">
      <c r="A1448" s="2" t="str">
        <f>HYPERLINK(B1448,"Oppna PDF")</f>
        <v>Oppna PDF</v>
      </c>
      <c r="B1448" t="s">
        <v>3932</v>
      </c>
      <c r="C1448" t="s">
        <v>3933</v>
      </c>
      <c r="D1448" t="s">
        <v>3934</v>
      </c>
      <c r="E1448" t="s">
        <v>3935</v>
      </c>
      <c r="F1448" t="s">
        <v>459</v>
      </c>
      <c r="G1448" t="s">
        <v>460</v>
      </c>
      <c r="H1448" t="s">
        <v>61</v>
      </c>
      <c r="I1448" t="s">
        <v>3936</v>
      </c>
      <c r="J1448" t="s">
        <v>38</v>
      </c>
      <c r="K1448" t="s">
        <v>39</v>
      </c>
      <c r="L1448" t="s">
        <v>29</v>
      </c>
      <c r="M1448" t="s">
        <v>30</v>
      </c>
      <c r="N1448" t="s">
        <v>31</v>
      </c>
      <c r="Q1448" t="s">
        <v>3937</v>
      </c>
      <c r="R1448" t="s">
        <v>3937</v>
      </c>
    </row>
    <row r="1449" spans="1:18" x14ac:dyDescent="0.3">
      <c r="A1449" s="2" t="str">
        <f>HYPERLINK(B1449,"Oppna PDF")</f>
        <v>Oppna PDF</v>
      </c>
      <c r="B1449" t="s">
        <v>3932</v>
      </c>
      <c r="C1449" t="s">
        <v>3938</v>
      </c>
      <c r="D1449" t="s">
        <v>3934</v>
      </c>
      <c r="E1449" t="s">
        <v>3935</v>
      </c>
      <c r="F1449" t="s">
        <v>459</v>
      </c>
      <c r="G1449" t="s">
        <v>460</v>
      </c>
      <c r="H1449" t="s">
        <v>61</v>
      </c>
      <c r="I1449" t="s">
        <v>3936</v>
      </c>
      <c r="J1449" t="s">
        <v>27</v>
      </c>
      <c r="K1449" t="s">
        <v>28</v>
      </c>
      <c r="L1449" t="s">
        <v>29</v>
      </c>
      <c r="M1449" t="s">
        <v>30</v>
      </c>
      <c r="N1449" t="s">
        <v>31</v>
      </c>
      <c r="Q1449" t="s">
        <v>3939</v>
      </c>
      <c r="R1449" t="s">
        <v>3939</v>
      </c>
    </row>
    <row r="1450" spans="1:18" x14ac:dyDescent="0.3">
      <c r="A1450" s="2" t="str">
        <f>HYPERLINK(B1450,"Oppna PDF")</f>
        <v>Oppna PDF</v>
      </c>
      <c r="B1450" t="s">
        <v>3932</v>
      </c>
      <c r="C1450" t="s">
        <v>3940</v>
      </c>
      <c r="D1450" t="s">
        <v>3934</v>
      </c>
      <c r="E1450" t="s">
        <v>3935</v>
      </c>
      <c r="F1450" t="s">
        <v>459</v>
      </c>
      <c r="G1450" t="s">
        <v>460</v>
      </c>
      <c r="H1450" t="s">
        <v>61</v>
      </c>
      <c r="I1450" t="s">
        <v>3936</v>
      </c>
      <c r="J1450" t="s">
        <v>27</v>
      </c>
      <c r="K1450" t="s">
        <v>28</v>
      </c>
      <c r="L1450" t="s">
        <v>29</v>
      </c>
      <c r="M1450" t="s">
        <v>30</v>
      </c>
      <c r="N1450" t="s">
        <v>31</v>
      </c>
      <c r="Q1450" t="s">
        <v>3941</v>
      </c>
      <c r="R1450" t="s">
        <v>3941</v>
      </c>
    </row>
    <row r="1451" spans="1:18" x14ac:dyDescent="0.3">
      <c r="A1451" s="2" t="str">
        <f>HYPERLINK(B1451,"Oppna PDF")</f>
        <v>Oppna PDF</v>
      </c>
      <c r="B1451" t="s">
        <v>3942</v>
      </c>
      <c r="C1451" t="s">
        <v>3943</v>
      </c>
      <c r="D1451" t="s">
        <v>3934</v>
      </c>
      <c r="E1451" t="s">
        <v>3944</v>
      </c>
      <c r="F1451" t="s">
        <v>459</v>
      </c>
      <c r="G1451" t="s">
        <v>460</v>
      </c>
      <c r="H1451" t="s">
        <v>61</v>
      </c>
      <c r="I1451" t="s">
        <v>3936</v>
      </c>
      <c r="J1451" t="s">
        <v>38</v>
      </c>
      <c r="K1451" t="s">
        <v>39</v>
      </c>
      <c r="L1451" t="s">
        <v>29</v>
      </c>
      <c r="M1451" t="s">
        <v>30</v>
      </c>
      <c r="N1451" t="s">
        <v>31</v>
      </c>
      <c r="Q1451" t="s">
        <v>3945</v>
      </c>
      <c r="R1451" t="s">
        <v>3945</v>
      </c>
    </row>
    <row r="1452" spans="1:18" x14ac:dyDescent="0.3">
      <c r="A1452" s="2" t="str">
        <f>HYPERLINK(B1452,"Oppna PDF")</f>
        <v>Oppna PDF</v>
      </c>
      <c r="B1452" t="s">
        <v>3946</v>
      </c>
      <c r="C1452" t="s">
        <v>3947</v>
      </c>
      <c r="D1452" t="s">
        <v>3934</v>
      </c>
      <c r="E1452" t="s">
        <v>3948</v>
      </c>
      <c r="F1452" t="s">
        <v>459</v>
      </c>
      <c r="G1452" t="s">
        <v>460</v>
      </c>
      <c r="H1452" t="s">
        <v>61</v>
      </c>
      <c r="I1452" t="s">
        <v>3936</v>
      </c>
      <c r="J1452" t="s">
        <v>38</v>
      </c>
      <c r="K1452" t="s">
        <v>39</v>
      </c>
      <c r="L1452" t="s">
        <v>29</v>
      </c>
      <c r="M1452" t="s">
        <v>30</v>
      </c>
      <c r="N1452" t="s">
        <v>31</v>
      </c>
      <c r="Q1452" t="s">
        <v>3949</v>
      </c>
      <c r="R1452" t="s">
        <v>3950</v>
      </c>
    </row>
    <row r="1453" spans="1:18" x14ac:dyDescent="0.3">
      <c r="A1453" s="2" t="str">
        <f>HYPERLINK(B1453,"Oppna PDF")</f>
        <v>Oppna PDF</v>
      </c>
      <c r="B1453" t="s">
        <v>3951</v>
      </c>
      <c r="C1453" t="s">
        <v>3952</v>
      </c>
      <c r="D1453" t="s">
        <v>3934</v>
      </c>
      <c r="E1453" t="s">
        <v>3953</v>
      </c>
      <c r="F1453" t="s">
        <v>459</v>
      </c>
      <c r="G1453" t="s">
        <v>460</v>
      </c>
      <c r="H1453" t="s">
        <v>61</v>
      </c>
      <c r="I1453" t="s">
        <v>3936</v>
      </c>
      <c r="J1453" t="s">
        <v>38</v>
      </c>
      <c r="K1453" t="s">
        <v>39</v>
      </c>
      <c r="L1453" t="s">
        <v>300</v>
      </c>
      <c r="M1453" t="s">
        <v>30</v>
      </c>
      <c r="N1453" t="s">
        <v>31</v>
      </c>
      <c r="Q1453" t="s">
        <v>3954</v>
      </c>
      <c r="R1453" t="s">
        <v>3954</v>
      </c>
    </row>
    <row r="1454" spans="1:18" x14ac:dyDescent="0.3">
      <c r="A1454" s="2" t="str">
        <f>HYPERLINK(B1454,"Oppna PDF")</f>
        <v>Oppna PDF</v>
      </c>
      <c r="B1454" t="s">
        <v>3955</v>
      </c>
      <c r="C1454" t="s">
        <v>3956</v>
      </c>
      <c r="D1454" t="s">
        <v>3957</v>
      </c>
      <c r="E1454" t="s">
        <v>3958</v>
      </c>
      <c r="F1454" t="s">
        <v>459</v>
      </c>
      <c r="G1454" t="s">
        <v>460</v>
      </c>
      <c r="H1454" t="s">
        <v>61</v>
      </c>
      <c r="I1454" t="s">
        <v>3936</v>
      </c>
      <c r="J1454" t="s">
        <v>38</v>
      </c>
      <c r="K1454" t="s">
        <v>39</v>
      </c>
      <c r="L1454" t="s">
        <v>29</v>
      </c>
      <c r="M1454" t="s">
        <v>30</v>
      </c>
      <c r="N1454" t="s">
        <v>31</v>
      </c>
      <c r="Q1454" t="s">
        <v>3937</v>
      </c>
      <c r="R1454" t="s">
        <v>3937</v>
      </c>
    </row>
    <row r="1455" spans="1:18" x14ac:dyDescent="0.3">
      <c r="A1455" s="2" t="str">
        <f>HYPERLINK(B1455,"Oppna PDF")</f>
        <v>Oppna PDF</v>
      </c>
      <c r="B1455" t="s">
        <v>3955</v>
      </c>
      <c r="C1455" t="s">
        <v>3959</v>
      </c>
      <c r="D1455" t="s">
        <v>3957</v>
      </c>
      <c r="E1455" t="s">
        <v>3958</v>
      </c>
      <c r="F1455" t="s">
        <v>459</v>
      </c>
      <c r="G1455" t="s">
        <v>460</v>
      </c>
      <c r="H1455" t="s">
        <v>61</v>
      </c>
      <c r="I1455" t="s">
        <v>3936</v>
      </c>
      <c r="J1455" t="s">
        <v>27</v>
      </c>
      <c r="K1455" t="s">
        <v>28</v>
      </c>
      <c r="L1455" t="s">
        <v>29</v>
      </c>
      <c r="M1455" t="s">
        <v>30</v>
      </c>
      <c r="N1455" t="s">
        <v>31</v>
      </c>
      <c r="Q1455" t="s">
        <v>3939</v>
      </c>
      <c r="R1455" t="s">
        <v>3939</v>
      </c>
    </row>
    <row r="1456" spans="1:18" x14ac:dyDescent="0.3">
      <c r="A1456" s="2" t="str">
        <f>HYPERLINK(B1456,"Oppna PDF")</f>
        <v>Oppna PDF</v>
      </c>
      <c r="B1456" t="s">
        <v>3955</v>
      </c>
      <c r="C1456" t="s">
        <v>3960</v>
      </c>
      <c r="D1456" t="s">
        <v>3957</v>
      </c>
      <c r="E1456" t="s">
        <v>3958</v>
      </c>
      <c r="F1456" t="s">
        <v>459</v>
      </c>
      <c r="G1456" t="s">
        <v>460</v>
      </c>
      <c r="H1456" t="s">
        <v>61</v>
      </c>
      <c r="I1456" t="s">
        <v>3936</v>
      </c>
      <c r="J1456" t="s">
        <v>27</v>
      </c>
      <c r="K1456" t="s">
        <v>28</v>
      </c>
      <c r="L1456" t="s">
        <v>29</v>
      </c>
      <c r="M1456" t="s">
        <v>30</v>
      </c>
      <c r="N1456" t="s">
        <v>31</v>
      </c>
      <c r="Q1456" t="s">
        <v>3941</v>
      </c>
      <c r="R1456" t="s">
        <v>3941</v>
      </c>
    </row>
    <row r="1457" spans="1:18" x14ac:dyDescent="0.3">
      <c r="A1457" s="2" t="str">
        <f>HYPERLINK(B1457,"Oppna PDF")</f>
        <v>Oppna PDF</v>
      </c>
      <c r="B1457" t="s">
        <v>3961</v>
      </c>
      <c r="C1457" t="s">
        <v>3962</v>
      </c>
      <c r="D1457" t="s">
        <v>3957</v>
      </c>
      <c r="E1457" t="s">
        <v>3963</v>
      </c>
      <c r="F1457" t="s">
        <v>459</v>
      </c>
      <c r="G1457" t="s">
        <v>460</v>
      </c>
      <c r="H1457" t="s">
        <v>61</v>
      </c>
      <c r="I1457" t="s">
        <v>3936</v>
      </c>
      <c r="J1457" t="s">
        <v>38</v>
      </c>
      <c r="K1457" t="s">
        <v>39</v>
      </c>
      <c r="L1457" t="s">
        <v>29</v>
      </c>
      <c r="M1457" t="s">
        <v>30</v>
      </c>
      <c r="N1457" t="s">
        <v>31</v>
      </c>
      <c r="Q1457" t="s">
        <v>3945</v>
      </c>
      <c r="R1457" t="s">
        <v>3945</v>
      </c>
    </row>
    <row r="1458" spans="1:18" x14ac:dyDescent="0.3">
      <c r="A1458" s="2" t="str">
        <f>HYPERLINK(B1458,"Oppna PDF")</f>
        <v>Oppna PDF</v>
      </c>
      <c r="B1458" t="s">
        <v>3964</v>
      </c>
      <c r="C1458" t="s">
        <v>3965</v>
      </c>
      <c r="D1458" t="s">
        <v>3957</v>
      </c>
      <c r="E1458" t="s">
        <v>3966</v>
      </c>
      <c r="F1458" t="s">
        <v>459</v>
      </c>
      <c r="G1458" t="s">
        <v>460</v>
      </c>
      <c r="H1458" t="s">
        <v>61</v>
      </c>
      <c r="I1458" t="s">
        <v>3936</v>
      </c>
      <c r="J1458" t="s">
        <v>38</v>
      </c>
      <c r="K1458" t="s">
        <v>39</v>
      </c>
      <c r="L1458" t="s">
        <v>29</v>
      </c>
      <c r="M1458" t="s">
        <v>30</v>
      </c>
      <c r="N1458" t="s">
        <v>31</v>
      </c>
      <c r="Q1458" t="s">
        <v>3949</v>
      </c>
      <c r="R1458" t="s">
        <v>3950</v>
      </c>
    </row>
    <row r="1459" spans="1:18" x14ac:dyDescent="0.3">
      <c r="A1459" s="2" t="str">
        <f>HYPERLINK(B1459,"Oppna PDF")</f>
        <v>Oppna PDF</v>
      </c>
      <c r="B1459" t="s">
        <v>3967</v>
      </c>
      <c r="C1459" t="s">
        <v>3968</v>
      </c>
      <c r="D1459" t="s">
        <v>3957</v>
      </c>
      <c r="E1459" t="s">
        <v>3969</v>
      </c>
      <c r="F1459" t="s">
        <v>459</v>
      </c>
      <c r="G1459" t="s">
        <v>460</v>
      </c>
      <c r="H1459" t="s">
        <v>61</v>
      </c>
      <c r="I1459" t="s">
        <v>3936</v>
      </c>
      <c r="J1459" t="s">
        <v>38</v>
      </c>
      <c r="K1459" t="s">
        <v>39</v>
      </c>
      <c r="L1459" t="s">
        <v>300</v>
      </c>
      <c r="M1459" t="s">
        <v>30</v>
      </c>
      <c r="N1459" t="s">
        <v>31</v>
      </c>
      <c r="Q1459" t="s">
        <v>3954</v>
      </c>
      <c r="R1459" t="s">
        <v>3954</v>
      </c>
    </row>
    <row r="1460" spans="1:18" x14ac:dyDescent="0.3">
      <c r="A1460" s="2" t="str">
        <f>HYPERLINK(B1460,"Oppna PDF")</f>
        <v>Oppna PDF</v>
      </c>
      <c r="B1460" t="s">
        <v>3970</v>
      </c>
      <c r="C1460" t="s">
        <v>3971</v>
      </c>
      <c r="D1460" t="s">
        <v>3972</v>
      </c>
      <c r="E1460" t="s">
        <v>3973</v>
      </c>
      <c r="F1460" t="s">
        <v>266</v>
      </c>
      <c r="G1460" t="s">
        <v>267</v>
      </c>
      <c r="H1460" t="s">
        <v>25</v>
      </c>
      <c r="I1460" t="s">
        <v>3974</v>
      </c>
      <c r="J1460" t="s">
        <v>38</v>
      </c>
      <c r="K1460" t="s">
        <v>39</v>
      </c>
      <c r="L1460" t="s">
        <v>29</v>
      </c>
      <c r="M1460" t="s">
        <v>30</v>
      </c>
      <c r="N1460" t="s">
        <v>31</v>
      </c>
      <c r="Q1460" t="s">
        <v>3975</v>
      </c>
      <c r="R1460" t="s">
        <v>3975</v>
      </c>
    </row>
    <row r="1461" spans="1:18" x14ac:dyDescent="0.3">
      <c r="A1461" s="2" t="str">
        <f>HYPERLINK(B1461,"Oppna PDF")</f>
        <v>Oppna PDF</v>
      </c>
      <c r="B1461" t="s">
        <v>3970</v>
      </c>
      <c r="C1461" t="s">
        <v>3976</v>
      </c>
      <c r="D1461" t="s">
        <v>3972</v>
      </c>
      <c r="E1461" t="s">
        <v>3973</v>
      </c>
      <c r="F1461" t="s">
        <v>266</v>
      </c>
      <c r="G1461" t="s">
        <v>267</v>
      </c>
      <c r="H1461" t="s">
        <v>25</v>
      </c>
      <c r="I1461" t="s">
        <v>3974</v>
      </c>
      <c r="J1461" t="s">
        <v>87</v>
      </c>
      <c r="K1461" t="s">
        <v>88</v>
      </c>
      <c r="L1461" t="s">
        <v>29</v>
      </c>
      <c r="M1461" t="s">
        <v>30</v>
      </c>
      <c r="N1461" t="s">
        <v>31</v>
      </c>
      <c r="Q1461" t="s">
        <v>3977</v>
      </c>
      <c r="R1461" t="s">
        <v>3977</v>
      </c>
    </row>
    <row r="1462" spans="1:18" x14ac:dyDescent="0.3">
      <c r="A1462" s="2" t="str">
        <f>HYPERLINK(B1462,"Oppna PDF")</f>
        <v>Oppna PDF</v>
      </c>
      <c r="B1462" t="s">
        <v>3970</v>
      </c>
      <c r="C1462" t="s">
        <v>3978</v>
      </c>
      <c r="D1462" t="s">
        <v>3972</v>
      </c>
      <c r="E1462" t="s">
        <v>3973</v>
      </c>
      <c r="F1462" t="s">
        <v>266</v>
      </c>
      <c r="G1462" t="s">
        <v>267</v>
      </c>
      <c r="H1462" t="s">
        <v>25</v>
      </c>
      <c r="I1462" t="s">
        <v>3974</v>
      </c>
      <c r="J1462" t="s">
        <v>48</v>
      </c>
      <c r="K1462" t="s">
        <v>49</v>
      </c>
      <c r="L1462" t="s">
        <v>29</v>
      </c>
      <c r="M1462" t="s">
        <v>30</v>
      </c>
      <c r="N1462" t="s">
        <v>31</v>
      </c>
      <c r="Q1462" t="s">
        <v>3979</v>
      </c>
      <c r="R1462" t="s">
        <v>3979</v>
      </c>
    </row>
    <row r="1463" spans="1:18" x14ac:dyDescent="0.3">
      <c r="A1463" s="2" t="str">
        <f>HYPERLINK(B1463,"Oppna PDF")</f>
        <v>Oppna PDF</v>
      </c>
      <c r="B1463" t="s">
        <v>3980</v>
      </c>
      <c r="C1463" t="s">
        <v>3981</v>
      </c>
      <c r="D1463" t="s">
        <v>3972</v>
      </c>
      <c r="E1463" t="s">
        <v>3982</v>
      </c>
      <c r="F1463" t="s">
        <v>266</v>
      </c>
      <c r="G1463" t="s">
        <v>267</v>
      </c>
      <c r="H1463" t="s">
        <v>25</v>
      </c>
      <c r="I1463" t="s">
        <v>3974</v>
      </c>
      <c r="J1463" t="s">
        <v>34</v>
      </c>
      <c r="K1463" t="s">
        <v>35</v>
      </c>
      <c r="L1463" t="s">
        <v>29</v>
      </c>
      <c r="M1463" t="s">
        <v>30</v>
      </c>
      <c r="N1463" t="s">
        <v>31</v>
      </c>
      <c r="Q1463" t="s">
        <v>3983</v>
      </c>
      <c r="R1463" t="s">
        <v>3983</v>
      </c>
    </row>
    <row r="1464" spans="1:18" x14ac:dyDescent="0.3">
      <c r="A1464" s="2" t="str">
        <f>HYPERLINK(B1464,"Oppna PDF")</f>
        <v>Oppna PDF</v>
      </c>
      <c r="B1464" t="s">
        <v>3980</v>
      </c>
      <c r="C1464" t="s">
        <v>3984</v>
      </c>
      <c r="D1464" t="s">
        <v>3972</v>
      </c>
      <c r="E1464" t="s">
        <v>3982</v>
      </c>
      <c r="F1464" t="s">
        <v>266</v>
      </c>
      <c r="G1464" t="s">
        <v>267</v>
      </c>
      <c r="H1464" t="s">
        <v>25</v>
      </c>
      <c r="I1464" t="s">
        <v>3974</v>
      </c>
      <c r="J1464" t="s">
        <v>87</v>
      </c>
      <c r="K1464" t="s">
        <v>88</v>
      </c>
      <c r="L1464" t="s">
        <v>29</v>
      </c>
      <c r="M1464" t="s">
        <v>30</v>
      </c>
      <c r="N1464" t="s">
        <v>31</v>
      </c>
      <c r="Q1464" t="s">
        <v>1025</v>
      </c>
      <c r="R1464" t="s">
        <v>1025</v>
      </c>
    </row>
    <row r="1465" spans="1:18" x14ac:dyDescent="0.3">
      <c r="A1465" s="2" t="str">
        <f>HYPERLINK(B1465,"Oppna PDF")</f>
        <v>Oppna PDF</v>
      </c>
      <c r="B1465" t="s">
        <v>3980</v>
      </c>
      <c r="C1465" t="s">
        <v>3985</v>
      </c>
      <c r="D1465" t="s">
        <v>3972</v>
      </c>
      <c r="E1465" t="s">
        <v>3982</v>
      </c>
      <c r="F1465" t="s">
        <v>266</v>
      </c>
      <c r="G1465" t="s">
        <v>267</v>
      </c>
      <c r="H1465" t="s">
        <v>25</v>
      </c>
      <c r="I1465" t="s">
        <v>3974</v>
      </c>
      <c r="J1465" t="s">
        <v>38</v>
      </c>
      <c r="K1465" t="s">
        <v>39</v>
      </c>
      <c r="L1465" t="s">
        <v>29</v>
      </c>
      <c r="M1465" t="s">
        <v>30</v>
      </c>
      <c r="N1465" t="s">
        <v>31</v>
      </c>
      <c r="Q1465" t="s">
        <v>3986</v>
      </c>
      <c r="R1465" t="s">
        <v>3987</v>
      </c>
    </row>
    <row r="1466" spans="1:18" x14ac:dyDescent="0.3">
      <c r="A1466" s="2" t="str">
        <f>HYPERLINK(B1466,"Oppna PDF")</f>
        <v>Oppna PDF</v>
      </c>
      <c r="B1466" t="s">
        <v>3988</v>
      </c>
      <c r="C1466" t="s">
        <v>3989</v>
      </c>
      <c r="D1466" t="s">
        <v>3990</v>
      </c>
      <c r="E1466" t="s">
        <v>3991</v>
      </c>
      <c r="F1466" t="s">
        <v>266</v>
      </c>
      <c r="G1466" t="s">
        <v>267</v>
      </c>
      <c r="H1466" t="s">
        <v>25</v>
      </c>
      <c r="I1466" t="s">
        <v>3974</v>
      </c>
      <c r="J1466" t="s">
        <v>38</v>
      </c>
      <c r="K1466" t="s">
        <v>39</v>
      </c>
      <c r="L1466" t="s">
        <v>29</v>
      </c>
      <c r="M1466" t="s">
        <v>30</v>
      </c>
      <c r="N1466" t="s">
        <v>31</v>
      </c>
      <c r="Q1466" t="s">
        <v>3975</v>
      </c>
      <c r="R1466" t="s">
        <v>3975</v>
      </c>
    </row>
    <row r="1467" spans="1:18" x14ac:dyDescent="0.3">
      <c r="A1467" s="2" t="str">
        <f>HYPERLINK(B1467,"Oppna PDF")</f>
        <v>Oppna PDF</v>
      </c>
      <c r="B1467" t="s">
        <v>3988</v>
      </c>
      <c r="C1467" t="s">
        <v>3992</v>
      </c>
      <c r="D1467" t="s">
        <v>3990</v>
      </c>
      <c r="E1467" t="s">
        <v>3991</v>
      </c>
      <c r="F1467" t="s">
        <v>266</v>
      </c>
      <c r="G1467" t="s">
        <v>267</v>
      </c>
      <c r="H1467" t="s">
        <v>25</v>
      </c>
      <c r="I1467" t="s">
        <v>3974</v>
      </c>
      <c r="J1467" t="s">
        <v>87</v>
      </c>
      <c r="K1467" t="s">
        <v>88</v>
      </c>
      <c r="L1467" t="s">
        <v>29</v>
      </c>
      <c r="M1467" t="s">
        <v>30</v>
      </c>
      <c r="N1467" t="s">
        <v>31</v>
      </c>
      <c r="Q1467" t="s">
        <v>3977</v>
      </c>
      <c r="R1467" t="s">
        <v>3977</v>
      </c>
    </row>
    <row r="1468" spans="1:18" x14ac:dyDescent="0.3">
      <c r="A1468" s="2" t="str">
        <f>HYPERLINK(B1468,"Oppna PDF")</f>
        <v>Oppna PDF</v>
      </c>
      <c r="B1468" t="s">
        <v>3988</v>
      </c>
      <c r="C1468" t="s">
        <v>3993</v>
      </c>
      <c r="D1468" t="s">
        <v>3990</v>
      </c>
      <c r="E1468" t="s">
        <v>3991</v>
      </c>
      <c r="F1468" t="s">
        <v>266</v>
      </c>
      <c r="G1468" t="s">
        <v>267</v>
      </c>
      <c r="H1468" t="s">
        <v>25</v>
      </c>
      <c r="I1468" t="s">
        <v>3974</v>
      </c>
      <c r="J1468" t="s">
        <v>48</v>
      </c>
      <c r="K1468" t="s">
        <v>49</v>
      </c>
      <c r="L1468" t="s">
        <v>29</v>
      </c>
      <c r="M1468" t="s">
        <v>30</v>
      </c>
      <c r="N1468" t="s">
        <v>31</v>
      </c>
      <c r="Q1468" t="s">
        <v>3979</v>
      </c>
      <c r="R1468" t="s">
        <v>3979</v>
      </c>
    </row>
    <row r="1469" spans="1:18" x14ac:dyDescent="0.3">
      <c r="A1469" s="2" t="str">
        <f>HYPERLINK(B1469,"Oppna PDF")</f>
        <v>Oppna PDF</v>
      </c>
      <c r="B1469" t="s">
        <v>3994</v>
      </c>
      <c r="C1469" t="s">
        <v>3995</v>
      </c>
      <c r="D1469" t="s">
        <v>3990</v>
      </c>
      <c r="E1469" t="s">
        <v>3996</v>
      </c>
      <c r="F1469" t="s">
        <v>266</v>
      </c>
      <c r="G1469" t="s">
        <v>267</v>
      </c>
      <c r="H1469" t="s">
        <v>25</v>
      </c>
      <c r="I1469" t="s">
        <v>3974</v>
      </c>
      <c r="J1469" t="s">
        <v>34</v>
      </c>
      <c r="K1469" t="s">
        <v>35</v>
      </c>
      <c r="L1469" t="s">
        <v>29</v>
      </c>
      <c r="M1469" t="s">
        <v>30</v>
      </c>
      <c r="N1469" t="s">
        <v>31</v>
      </c>
      <c r="Q1469" t="s">
        <v>3983</v>
      </c>
      <c r="R1469" t="s">
        <v>3983</v>
      </c>
    </row>
    <row r="1470" spans="1:18" x14ac:dyDescent="0.3">
      <c r="A1470" s="2" t="str">
        <f>HYPERLINK(B1470,"Oppna PDF")</f>
        <v>Oppna PDF</v>
      </c>
      <c r="B1470" t="s">
        <v>3994</v>
      </c>
      <c r="C1470" t="s">
        <v>3997</v>
      </c>
      <c r="D1470" t="s">
        <v>3990</v>
      </c>
      <c r="E1470" t="s">
        <v>3996</v>
      </c>
      <c r="F1470" t="s">
        <v>266</v>
      </c>
      <c r="G1470" t="s">
        <v>267</v>
      </c>
      <c r="H1470" t="s">
        <v>25</v>
      </c>
      <c r="I1470" t="s">
        <v>3974</v>
      </c>
      <c r="J1470" t="s">
        <v>87</v>
      </c>
      <c r="K1470" t="s">
        <v>88</v>
      </c>
      <c r="L1470" t="s">
        <v>29</v>
      </c>
      <c r="M1470" t="s">
        <v>30</v>
      </c>
      <c r="N1470" t="s">
        <v>31</v>
      </c>
      <c r="Q1470" t="s">
        <v>1025</v>
      </c>
      <c r="R1470" t="s">
        <v>1025</v>
      </c>
    </row>
    <row r="1471" spans="1:18" x14ac:dyDescent="0.3">
      <c r="A1471" s="2" t="str">
        <f>HYPERLINK(B1471,"Oppna PDF")</f>
        <v>Oppna PDF</v>
      </c>
      <c r="B1471" t="s">
        <v>3994</v>
      </c>
      <c r="C1471" t="s">
        <v>3998</v>
      </c>
      <c r="D1471" t="s">
        <v>3990</v>
      </c>
      <c r="E1471" t="s">
        <v>3996</v>
      </c>
      <c r="F1471" t="s">
        <v>266</v>
      </c>
      <c r="G1471" t="s">
        <v>267</v>
      </c>
      <c r="H1471" t="s">
        <v>25</v>
      </c>
      <c r="I1471" t="s">
        <v>3974</v>
      </c>
      <c r="J1471" t="s">
        <v>38</v>
      </c>
      <c r="K1471" t="s">
        <v>39</v>
      </c>
      <c r="L1471" t="s">
        <v>29</v>
      </c>
      <c r="M1471" t="s">
        <v>30</v>
      </c>
      <c r="N1471" t="s">
        <v>31</v>
      </c>
      <c r="Q1471" t="s">
        <v>3986</v>
      </c>
      <c r="R1471" t="s">
        <v>3987</v>
      </c>
    </row>
    <row r="1472" spans="1:18" x14ac:dyDescent="0.3">
      <c r="A1472" s="2" t="str">
        <f>HYPERLINK(B1472,"Oppna PDF")</f>
        <v>Oppna PDF</v>
      </c>
      <c r="B1472" t="s">
        <v>3999</v>
      </c>
      <c r="C1472" t="s">
        <v>4000</v>
      </c>
      <c r="D1472" t="s">
        <v>4001</v>
      </c>
      <c r="E1472" t="s">
        <v>4002</v>
      </c>
      <c r="F1472" t="s">
        <v>4003</v>
      </c>
      <c r="G1472" t="s">
        <v>4004</v>
      </c>
      <c r="H1472" t="s">
        <v>61</v>
      </c>
      <c r="I1472" t="s">
        <v>4005</v>
      </c>
      <c r="J1472" t="s">
        <v>87</v>
      </c>
      <c r="K1472" t="s">
        <v>88</v>
      </c>
      <c r="L1472" t="s">
        <v>29</v>
      </c>
      <c r="M1472" t="s">
        <v>30</v>
      </c>
      <c r="N1472" t="s">
        <v>31</v>
      </c>
      <c r="Q1472" t="s">
        <v>4006</v>
      </c>
      <c r="R1472" t="s">
        <v>4006</v>
      </c>
    </row>
    <row r="1473" spans="1:18" x14ac:dyDescent="0.3">
      <c r="A1473" s="2" t="str">
        <f>HYPERLINK(B1473,"Oppna PDF")</f>
        <v>Oppna PDF</v>
      </c>
      <c r="B1473" t="s">
        <v>3999</v>
      </c>
      <c r="C1473" t="s">
        <v>4007</v>
      </c>
      <c r="D1473" t="s">
        <v>4001</v>
      </c>
      <c r="E1473" t="s">
        <v>4002</v>
      </c>
      <c r="F1473" t="s">
        <v>4003</v>
      </c>
      <c r="G1473" t="s">
        <v>4004</v>
      </c>
      <c r="H1473" t="s">
        <v>61</v>
      </c>
      <c r="I1473" t="s">
        <v>4005</v>
      </c>
      <c r="J1473" t="s">
        <v>34</v>
      </c>
      <c r="K1473" t="s">
        <v>35</v>
      </c>
      <c r="L1473" t="s">
        <v>29</v>
      </c>
      <c r="M1473" t="s">
        <v>30</v>
      </c>
      <c r="N1473" t="s">
        <v>31</v>
      </c>
      <c r="Q1473" t="s">
        <v>4008</v>
      </c>
      <c r="R1473" t="s">
        <v>4008</v>
      </c>
    </row>
    <row r="1474" spans="1:18" x14ac:dyDescent="0.3">
      <c r="A1474" s="2" t="str">
        <f>HYPERLINK(B1474,"Oppna PDF")</f>
        <v>Oppna PDF</v>
      </c>
      <c r="B1474" t="s">
        <v>3999</v>
      </c>
      <c r="C1474" t="s">
        <v>4009</v>
      </c>
      <c r="D1474" t="s">
        <v>4001</v>
      </c>
      <c r="E1474" t="s">
        <v>4002</v>
      </c>
      <c r="F1474" t="s">
        <v>4003</v>
      </c>
      <c r="G1474" t="s">
        <v>4004</v>
      </c>
      <c r="H1474" t="s">
        <v>61</v>
      </c>
      <c r="I1474" t="s">
        <v>4005</v>
      </c>
      <c r="J1474" t="s">
        <v>91</v>
      </c>
      <c r="K1474" t="s">
        <v>92</v>
      </c>
      <c r="L1474" t="s">
        <v>29</v>
      </c>
      <c r="M1474" t="s">
        <v>30</v>
      </c>
      <c r="N1474" t="s">
        <v>31</v>
      </c>
      <c r="Q1474" t="s">
        <v>4010</v>
      </c>
      <c r="R1474" t="s">
        <v>4011</v>
      </c>
    </row>
    <row r="1475" spans="1:18" x14ac:dyDescent="0.3">
      <c r="A1475" s="2" t="str">
        <f>HYPERLINK(B1475,"Oppna PDF")</f>
        <v>Oppna PDF</v>
      </c>
      <c r="B1475" t="s">
        <v>4012</v>
      </c>
      <c r="C1475" t="s">
        <v>4013</v>
      </c>
      <c r="D1475" t="s">
        <v>4001</v>
      </c>
      <c r="E1475" t="s">
        <v>4014</v>
      </c>
      <c r="F1475" t="s">
        <v>4003</v>
      </c>
      <c r="G1475" t="s">
        <v>4004</v>
      </c>
      <c r="H1475" t="s">
        <v>61</v>
      </c>
      <c r="I1475" t="s">
        <v>4005</v>
      </c>
      <c r="J1475" t="s">
        <v>91</v>
      </c>
      <c r="K1475" t="s">
        <v>92</v>
      </c>
      <c r="L1475" t="s">
        <v>29</v>
      </c>
      <c r="M1475" t="s">
        <v>30</v>
      </c>
      <c r="N1475" t="s">
        <v>31</v>
      </c>
      <c r="Q1475" t="s">
        <v>4015</v>
      </c>
      <c r="R1475" t="s">
        <v>4015</v>
      </c>
    </row>
    <row r="1476" spans="1:18" x14ac:dyDescent="0.3">
      <c r="A1476" s="2" t="str">
        <f>HYPERLINK(B1476,"Oppna PDF")</f>
        <v>Oppna PDF</v>
      </c>
      <c r="B1476" t="s">
        <v>4012</v>
      </c>
      <c r="C1476" t="s">
        <v>4016</v>
      </c>
      <c r="D1476" t="s">
        <v>4001</v>
      </c>
      <c r="E1476" t="s">
        <v>4014</v>
      </c>
      <c r="F1476" t="s">
        <v>4003</v>
      </c>
      <c r="G1476" t="s">
        <v>4004</v>
      </c>
      <c r="H1476" t="s">
        <v>61</v>
      </c>
      <c r="I1476" t="s">
        <v>4005</v>
      </c>
      <c r="J1476" t="s">
        <v>38</v>
      </c>
      <c r="K1476" t="s">
        <v>39</v>
      </c>
      <c r="L1476" t="s">
        <v>29</v>
      </c>
      <c r="M1476" t="s">
        <v>30</v>
      </c>
      <c r="N1476" t="s">
        <v>31</v>
      </c>
      <c r="Q1476" t="s">
        <v>4017</v>
      </c>
      <c r="R1476" t="s">
        <v>4017</v>
      </c>
    </row>
    <row r="1477" spans="1:18" x14ac:dyDescent="0.3">
      <c r="A1477" s="2" t="str">
        <f>HYPERLINK(B1477,"Oppna PDF")</f>
        <v>Oppna PDF</v>
      </c>
      <c r="B1477" t="s">
        <v>4012</v>
      </c>
      <c r="C1477" t="s">
        <v>4018</v>
      </c>
      <c r="D1477" t="s">
        <v>4001</v>
      </c>
      <c r="E1477" t="s">
        <v>4014</v>
      </c>
      <c r="F1477" t="s">
        <v>4003</v>
      </c>
      <c r="G1477" t="s">
        <v>4004</v>
      </c>
      <c r="H1477" t="s">
        <v>61</v>
      </c>
      <c r="I1477" t="s">
        <v>4005</v>
      </c>
      <c r="J1477" t="s">
        <v>87</v>
      </c>
      <c r="K1477" t="s">
        <v>88</v>
      </c>
      <c r="L1477" t="s">
        <v>29</v>
      </c>
      <c r="M1477" t="s">
        <v>30</v>
      </c>
      <c r="N1477" t="s">
        <v>31</v>
      </c>
      <c r="Q1477" t="s">
        <v>4019</v>
      </c>
      <c r="R1477" t="s">
        <v>4019</v>
      </c>
    </row>
    <row r="1478" spans="1:18" x14ac:dyDescent="0.3">
      <c r="A1478" s="2" t="str">
        <f>HYPERLINK(B1478,"Oppna PDF")</f>
        <v>Oppna PDF</v>
      </c>
      <c r="B1478" t="s">
        <v>4020</v>
      </c>
      <c r="C1478" t="s">
        <v>4021</v>
      </c>
      <c r="D1478" t="s">
        <v>4022</v>
      </c>
      <c r="E1478" t="s">
        <v>4023</v>
      </c>
      <c r="F1478" t="s">
        <v>4003</v>
      </c>
      <c r="G1478" t="s">
        <v>4004</v>
      </c>
      <c r="H1478" t="s">
        <v>61</v>
      </c>
      <c r="I1478" t="s">
        <v>4005</v>
      </c>
      <c r="J1478" t="s">
        <v>87</v>
      </c>
      <c r="K1478" t="s">
        <v>88</v>
      </c>
      <c r="L1478" t="s">
        <v>29</v>
      </c>
      <c r="M1478" t="s">
        <v>30</v>
      </c>
      <c r="N1478" t="s">
        <v>31</v>
      </c>
      <c r="Q1478" t="s">
        <v>4006</v>
      </c>
      <c r="R1478" t="s">
        <v>4006</v>
      </c>
    </row>
    <row r="1479" spans="1:18" x14ac:dyDescent="0.3">
      <c r="A1479" s="2" t="str">
        <f>HYPERLINK(B1479,"Oppna PDF")</f>
        <v>Oppna PDF</v>
      </c>
      <c r="B1479" t="s">
        <v>4020</v>
      </c>
      <c r="C1479" t="s">
        <v>4024</v>
      </c>
      <c r="D1479" t="s">
        <v>4022</v>
      </c>
      <c r="E1479" t="s">
        <v>4023</v>
      </c>
      <c r="F1479" t="s">
        <v>4003</v>
      </c>
      <c r="G1479" t="s">
        <v>4004</v>
      </c>
      <c r="H1479" t="s">
        <v>61</v>
      </c>
      <c r="I1479" t="s">
        <v>4005</v>
      </c>
      <c r="J1479" t="s">
        <v>34</v>
      </c>
      <c r="K1479" t="s">
        <v>35</v>
      </c>
      <c r="L1479" t="s">
        <v>29</v>
      </c>
      <c r="M1479" t="s">
        <v>30</v>
      </c>
      <c r="N1479" t="s">
        <v>31</v>
      </c>
      <c r="Q1479" t="s">
        <v>4008</v>
      </c>
      <c r="R1479" t="s">
        <v>4008</v>
      </c>
    </row>
    <row r="1480" spans="1:18" x14ac:dyDescent="0.3">
      <c r="A1480" s="2" t="str">
        <f>HYPERLINK(B1480,"Oppna PDF")</f>
        <v>Oppna PDF</v>
      </c>
      <c r="B1480" t="s">
        <v>4020</v>
      </c>
      <c r="C1480" t="s">
        <v>4025</v>
      </c>
      <c r="D1480" t="s">
        <v>4022</v>
      </c>
      <c r="E1480" t="s">
        <v>4023</v>
      </c>
      <c r="F1480" t="s">
        <v>4003</v>
      </c>
      <c r="G1480" t="s">
        <v>4004</v>
      </c>
      <c r="H1480" t="s">
        <v>61</v>
      </c>
      <c r="I1480" t="s">
        <v>4005</v>
      </c>
      <c r="J1480" t="s">
        <v>91</v>
      </c>
      <c r="K1480" t="s">
        <v>92</v>
      </c>
      <c r="L1480" t="s">
        <v>29</v>
      </c>
      <c r="M1480" t="s">
        <v>30</v>
      </c>
      <c r="N1480" t="s">
        <v>31</v>
      </c>
      <c r="Q1480" t="s">
        <v>4010</v>
      </c>
      <c r="R1480" t="s">
        <v>4011</v>
      </c>
    </row>
    <row r="1481" spans="1:18" x14ac:dyDescent="0.3">
      <c r="A1481" s="2" t="str">
        <f>HYPERLINK(B1481,"Oppna PDF")</f>
        <v>Oppna PDF</v>
      </c>
      <c r="B1481" t="s">
        <v>4026</v>
      </c>
      <c r="C1481" t="s">
        <v>4027</v>
      </c>
      <c r="D1481" t="s">
        <v>4022</v>
      </c>
      <c r="E1481" t="s">
        <v>4028</v>
      </c>
      <c r="F1481" t="s">
        <v>4003</v>
      </c>
      <c r="G1481" t="s">
        <v>4004</v>
      </c>
      <c r="H1481" t="s">
        <v>61</v>
      </c>
      <c r="I1481" t="s">
        <v>4005</v>
      </c>
      <c r="J1481" t="s">
        <v>91</v>
      </c>
      <c r="K1481" t="s">
        <v>92</v>
      </c>
      <c r="L1481" t="s">
        <v>29</v>
      </c>
      <c r="M1481" t="s">
        <v>30</v>
      </c>
      <c r="N1481" t="s">
        <v>31</v>
      </c>
      <c r="Q1481" t="s">
        <v>4015</v>
      </c>
      <c r="R1481" t="s">
        <v>4015</v>
      </c>
    </row>
    <row r="1482" spans="1:18" x14ac:dyDescent="0.3">
      <c r="A1482" s="2" t="str">
        <f>HYPERLINK(B1482,"Oppna PDF")</f>
        <v>Oppna PDF</v>
      </c>
      <c r="B1482" t="s">
        <v>4026</v>
      </c>
      <c r="C1482" t="s">
        <v>4029</v>
      </c>
      <c r="D1482" t="s">
        <v>4022</v>
      </c>
      <c r="E1482" t="s">
        <v>4028</v>
      </c>
      <c r="F1482" t="s">
        <v>4003</v>
      </c>
      <c r="G1482" t="s">
        <v>4004</v>
      </c>
      <c r="H1482" t="s">
        <v>61</v>
      </c>
      <c r="I1482" t="s">
        <v>4005</v>
      </c>
      <c r="J1482" t="s">
        <v>38</v>
      </c>
      <c r="K1482" t="s">
        <v>39</v>
      </c>
      <c r="L1482" t="s">
        <v>29</v>
      </c>
      <c r="M1482" t="s">
        <v>30</v>
      </c>
      <c r="N1482" t="s">
        <v>31</v>
      </c>
      <c r="Q1482" t="s">
        <v>4017</v>
      </c>
      <c r="R1482" t="s">
        <v>4017</v>
      </c>
    </row>
    <row r="1483" spans="1:18" x14ac:dyDescent="0.3">
      <c r="A1483" s="2" t="str">
        <f>HYPERLINK(B1483,"Oppna PDF")</f>
        <v>Oppna PDF</v>
      </c>
      <c r="B1483" t="s">
        <v>4026</v>
      </c>
      <c r="C1483" t="s">
        <v>4030</v>
      </c>
      <c r="D1483" t="s">
        <v>4022</v>
      </c>
      <c r="E1483" t="s">
        <v>4028</v>
      </c>
      <c r="F1483" t="s">
        <v>4003</v>
      </c>
      <c r="G1483" t="s">
        <v>4004</v>
      </c>
      <c r="H1483" t="s">
        <v>61</v>
      </c>
      <c r="I1483" t="s">
        <v>4005</v>
      </c>
      <c r="J1483" t="s">
        <v>87</v>
      </c>
      <c r="K1483" t="s">
        <v>88</v>
      </c>
      <c r="L1483" t="s">
        <v>29</v>
      </c>
      <c r="M1483" t="s">
        <v>30</v>
      </c>
      <c r="N1483" t="s">
        <v>31</v>
      </c>
      <c r="Q1483" t="s">
        <v>4019</v>
      </c>
      <c r="R1483" t="s">
        <v>4019</v>
      </c>
    </row>
    <row r="1484" spans="1:18" x14ac:dyDescent="0.3">
      <c r="A1484" s="2" t="str">
        <f>HYPERLINK(B1484,"Oppna PDF")</f>
        <v>Oppna PDF</v>
      </c>
      <c r="B1484" t="s">
        <v>4031</v>
      </c>
      <c r="C1484" t="s">
        <v>4032</v>
      </c>
      <c r="D1484" t="s">
        <v>4033</v>
      </c>
      <c r="E1484" t="s">
        <v>4034</v>
      </c>
      <c r="H1484" t="s">
        <v>61</v>
      </c>
      <c r="I1484" t="s">
        <v>4035</v>
      </c>
      <c r="J1484" t="s">
        <v>48</v>
      </c>
      <c r="K1484" t="s">
        <v>49</v>
      </c>
      <c r="L1484" t="s">
        <v>29</v>
      </c>
      <c r="M1484" t="s">
        <v>30</v>
      </c>
      <c r="N1484" t="s">
        <v>31</v>
      </c>
      <c r="Q1484" t="s">
        <v>4036</v>
      </c>
      <c r="R1484" t="s">
        <v>4036</v>
      </c>
    </row>
    <row r="1485" spans="1:18" x14ac:dyDescent="0.3">
      <c r="A1485" s="2" t="str">
        <f>HYPERLINK(B1485,"Oppna PDF")</f>
        <v>Oppna PDF</v>
      </c>
      <c r="B1485" t="s">
        <v>4031</v>
      </c>
      <c r="C1485" t="s">
        <v>4037</v>
      </c>
      <c r="D1485" t="s">
        <v>4033</v>
      </c>
      <c r="E1485" t="s">
        <v>4034</v>
      </c>
      <c r="H1485" t="s">
        <v>61</v>
      </c>
      <c r="I1485" t="s">
        <v>4035</v>
      </c>
      <c r="J1485" t="s">
        <v>34</v>
      </c>
      <c r="K1485" t="s">
        <v>35</v>
      </c>
      <c r="L1485" t="s">
        <v>29</v>
      </c>
      <c r="M1485" t="s">
        <v>30</v>
      </c>
      <c r="N1485" t="s">
        <v>31</v>
      </c>
      <c r="Q1485" t="s">
        <v>4038</v>
      </c>
      <c r="R1485" t="s">
        <v>4039</v>
      </c>
    </row>
    <row r="1486" spans="1:18" x14ac:dyDescent="0.3">
      <c r="A1486" s="2" t="str">
        <f>HYPERLINK(B1486,"Oppna PDF")</f>
        <v>Oppna PDF</v>
      </c>
      <c r="B1486" t="s">
        <v>4040</v>
      </c>
      <c r="C1486" t="s">
        <v>4041</v>
      </c>
      <c r="D1486" t="s">
        <v>4033</v>
      </c>
      <c r="E1486" t="s">
        <v>4042</v>
      </c>
      <c r="H1486" t="s">
        <v>61</v>
      </c>
      <c r="I1486" t="s">
        <v>4035</v>
      </c>
      <c r="J1486" t="s">
        <v>27</v>
      </c>
      <c r="K1486" t="s">
        <v>28</v>
      </c>
      <c r="L1486" t="s">
        <v>29</v>
      </c>
      <c r="M1486" t="s">
        <v>30</v>
      </c>
      <c r="N1486" t="s">
        <v>31</v>
      </c>
      <c r="Q1486" t="s">
        <v>4043</v>
      </c>
      <c r="R1486" t="s">
        <v>4043</v>
      </c>
    </row>
    <row r="1487" spans="1:18" x14ac:dyDescent="0.3">
      <c r="A1487" s="2" t="str">
        <f>HYPERLINK(B1487,"Oppna PDF")</f>
        <v>Oppna PDF</v>
      </c>
      <c r="B1487" t="s">
        <v>4040</v>
      </c>
      <c r="C1487" t="s">
        <v>4044</v>
      </c>
      <c r="D1487" t="s">
        <v>4033</v>
      </c>
      <c r="E1487" t="s">
        <v>4042</v>
      </c>
      <c r="H1487" t="s">
        <v>61</v>
      </c>
      <c r="I1487" t="s">
        <v>4035</v>
      </c>
      <c r="J1487" t="s">
        <v>48</v>
      </c>
      <c r="K1487" t="s">
        <v>49</v>
      </c>
      <c r="L1487" t="s">
        <v>29</v>
      </c>
      <c r="M1487" t="s">
        <v>30</v>
      </c>
      <c r="N1487" t="s">
        <v>31</v>
      </c>
      <c r="Q1487" t="s">
        <v>4045</v>
      </c>
      <c r="R1487" t="s">
        <v>4045</v>
      </c>
    </row>
    <row r="1488" spans="1:18" x14ac:dyDescent="0.3">
      <c r="A1488" s="2" t="str">
        <f>HYPERLINK(B1488,"Oppna PDF")</f>
        <v>Oppna PDF</v>
      </c>
      <c r="B1488" t="s">
        <v>4040</v>
      </c>
      <c r="C1488" t="s">
        <v>4046</v>
      </c>
      <c r="D1488" t="s">
        <v>4033</v>
      </c>
      <c r="E1488" t="s">
        <v>4042</v>
      </c>
      <c r="H1488" t="s">
        <v>61</v>
      </c>
      <c r="I1488" t="s">
        <v>4035</v>
      </c>
      <c r="J1488" t="s">
        <v>27</v>
      </c>
      <c r="K1488" t="s">
        <v>28</v>
      </c>
      <c r="L1488" t="s">
        <v>29</v>
      </c>
      <c r="M1488" t="s">
        <v>30</v>
      </c>
      <c r="N1488" t="s">
        <v>31</v>
      </c>
      <c r="Q1488" t="s">
        <v>4047</v>
      </c>
      <c r="R1488" t="s">
        <v>4047</v>
      </c>
    </row>
    <row r="1489" spans="1:18" x14ac:dyDescent="0.3">
      <c r="A1489" s="2" t="str">
        <f>HYPERLINK(B1489,"Oppna PDF")</f>
        <v>Oppna PDF</v>
      </c>
      <c r="B1489" t="s">
        <v>4048</v>
      </c>
      <c r="C1489" t="s">
        <v>4049</v>
      </c>
      <c r="D1489" t="s">
        <v>4033</v>
      </c>
      <c r="E1489" t="s">
        <v>4050</v>
      </c>
      <c r="H1489" t="s">
        <v>61</v>
      </c>
      <c r="I1489" t="s">
        <v>4035</v>
      </c>
      <c r="J1489" t="s">
        <v>48</v>
      </c>
      <c r="K1489" t="s">
        <v>49</v>
      </c>
      <c r="L1489" t="s">
        <v>29</v>
      </c>
      <c r="M1489" t="s">
        <v>30</v>
      </c>
      <c r="N1489" t="s">
        <v>31</v>
      </c>
      <c r="Q1489" t="s">
        <v>4036</v>
      </c>
      <c r="R1489" t="s">
        <v>4036</v>
      </c>
    </row>
    <row r="1490" spans="1:18" x14ac:dyDescent="0.3">
      <c r="A1490" s="2" t="str">
        <f>HYPERLINK(B1490,"Oppna PDF")</f>
        <v>Oppna PDF</v>
      </c>
      <c r="B1490" t="s">
        <v>4048</v>
      </c>
      <c r="C1490" t="s">
        <v>4051</v>
      </c>
      <c r="D1490" t="s">
        <v>4033</v>
      </c>
      <c r="E1490" t="s">
        <v>4050</v>
      </c>
      <c r="H1490" t="s">
        <v>61</v>
      </c>
      <c r="I1490" t="s">
        <v>4035</v>
      </c>
      <c r="J1490" t="s">
        <v>34</v>
      </c>
      <c r="K1490" t="s">
        <v>35</v>
      </c>
      <c r="L1490" t="s">
        <v>29</v>
      </c>
      <c r="M1490" t="s">
        <v>30</v>
      </c>
      <c r="N1490" t="s">
        <v>31</v>
      </c>
      <c r="Q1490" t="s">
        <v>4052</v>
      </c>
      <c r="R1490" t="s">
        <v>4053</v>
      </c>
    </row>
    <row r="1491" spans="1:18" x14ac:dyDescent="0.3">
      <c r="A1491" s="2" t="str">
        <f>HYPERLINK(B1491,"Oppna PDF")</f>
        <v>Oppna PDF</v>
      </c>
      <c r="B1491" t="s">
        <v>4054</v>
      </c>
      <c r="C1491" t="s">
        <v>4055</v>
      </c>
      <c r="D1491" t="s">
        <v>4033</v>
      </c>
      <c r="E1491" t="s">
        <v>4056</v>
      </c>
      <c r="H1491" t="s">
        <v>61</v>
      </c>
      <c r="I1491" t="s">
        <v>4035</v>
      </c>
      <c r="J1491" t="s">
        <v>48</v>
      </c>
      <c r="K1491" t="s">
        <v>49</v>
      </c>
      <c r="L1491" t="s">
        <v>29</v>
      </c>
      <c r="M1491" t="s">
        <v>30</v>
      </c>
      <c r="N1491" t="s">
        <v>31</v>
      </c>
      <c r="Q1491" t="s">
        <v>4036</v>
      </c>
      <c r="R1491" t="s">
        <v>4036</v>
      </c>
    </row>
    <row r="1492" spans="1:18" x14ac:dyDescent="0.3">
      <c r="A1492" s="2" t="str">
        <f>HYPERLINK(B1492,"Oppna PDF")</f>
        <v>Oppna PDF</v>
      </c>
      <c r="B1492" t="s">
        <v>4054</v>
      </c>
      <c r="C1492" t="s">
        <v>4057</v>
      </c>
      <c r="D1492" t="s">
        <v>4033</v>
      </c>
      <c r="E1492" t="s">
        <v>4056</v>
      </c>
      <c r="H1492" t="s">
        <v>61</v>
      </c>
      <c r="I1492" t="s">
        <v>4035</v>
      </c>
      <c r="J1492" t="s">
        <v>91</v>
      </c>
      <c r="K1492" t="s">
        <v>92</v>
      </c>
      <c r="L1492" t="s">
        <v>29</v>
      </c>
      <c r="M1492" t="s">
        <v>30</v>
      </c>
      <c r="N1492" t="s">
        <v>31</v>
      </c>
      <c r="Q1492" t="s">
        <v>4058</v>
      </c>
      <c r="R1492" t="s">
        <v>4058</v>
      </c>
    </row>
    <row r="1493" spans="1:18" x14ac:dyDescent="0.3">
      <c r="A1493" s="2" t="str">
        <f>HYPERLINK(B1493,"Oppna PDF")</f>
        <v>Oppna PDF</v>
      </c>
      <c r="B1493" t="s">
        <v>4054</v>
      </c>
      <c r="C1493" t="s">
        <v>4059</v>
      </c>
      <c r="D1493" t="s">
        <v>4033</v>
      </c>
      <c r="E1493" t="s">
        <v>4056</v>
      </c>
      <c r="H1493" t="s">
        <v>61</v>
      </c>
      <c r="I1493" t="s">
        <v>4035</v>
      </c>
      <c r="J1493" t="s">
        <v>91</v>
      </c>
      <c r="K1493" t="s">
        <v>92</v>
      </c>
      <c r="L1493" t="s">
        <v>29</v>
      </c>
      <c r="M1493" t="s">
        <v>30</v>
      </c>
      <c r="N1493" t="s">
        <v>31</v>
      </c>
      <c r="Q1493" t="s">
        <v>4060</v>
      </c>
      <c r="R1493" t="s">
        <v>4060</v>
      </c>
    </row>
    <row r="1494" spans="1:18" x14ac:dyDescent="0.3">
      <c r="A1494" s="2" t="str">
        <f>HYPERLINK(B1494,"Oppna PDF")</f>
        <v>Oppna PDF</v>
      </c>
      <c r="B1494" t="s">
        <v>4061</v>
      </c>
      <c r="C1494" t="s">
        <v>4062</v>
      </c>
      <c r="D1494" t="s">
        <v>4063</v>
      </c>
      <c r="E1494" t="s">
        <v>4064</v>
      </c>
      <c r="H1494" t="s">
        <v>61</v>
      </c>
      <c r="I1494" t="s">
        <v>4035</v>
      </c>
      <c r="J1494" t="s">
        <v>48</v>
      </c>
      <c r="K1494" t="s">
        <v>49</v>
      </c>
      <c r="L1494" t="s">
        <v>29</v>
      </c>
      <c r="M1494" t="s">
        <v>30</v>
      </c>
      <c r="N1494" t="s">
        <v>31</v>
      </c>
      <c r="Q1494" t="s">
        <v>4036</v>
      </c>
      <c r="R1494" t="s">
        <v>4036</v>
      </c>
    </row>
    <row r="1495" spans="1:18" x14ac:dyDescent="0.3">
      <c r="A1495" s="2" t="str">
        <f>HYPERLINK(B1495,"Oppna PDF")</f>
        <v>Oppna PDF</v>
      </c>
      <c r="B1495" t="s">
        <v>4061</v>
      </c>
      <c r="C1495" t="s">
        <v>4065</v>
      </c>
      <c r="D1495" t="s">
        <v>4063</v>
      </c>
      <c r="E1495" t="s">
        <v>4064</v>
      </c>
      <c r="H1495" t="s">
        <v>61</v>
      </c>
      <c r="I1495" t="s">
        <v>4035</v>
      </c>
      <c r="J1495" t="s">
        <v>34</v>
      </c>
      <c r="K1495" t="s">
        <v>35</v>
      </c>
      <c r="L1495" t="s">
        <v>29</v>
      </c>
      <c r="M1495" t="s">
        <v>30</v>
      </c>
      <c r="N1495" t="s">
        <v>31</v>
      </c>
      <c r="Q1495" t="s">
        <v>4038</v>
      </c>
      <c r="R1495" t="s">
        <v>4039</v>
      </c>
    </row>
    <row r="1496" spans="1:18" x14ac:dyDescent="0.3">
      <c r="A1496" s="2" t="str">
        <f>HYPERLINK(B1496,"Oppna PDF")</f>
        <v>Oppna PDF</v>
      </c>
      <c r="B1496" t="s">
        <v>4066</v>
      </c>
      <c r="C1496" t="s">
        <v>4067</v>
      </c>
      <c r="D1496" t="s">
        <v>4063</v>
      </c>
      <c r="E1496" t="s">
        <v>4068</v>
      </c>
      <c r="H1496" t="s">
        <v>61</v>
      </c>
      <c r="I1496" t="s">
        <v>4035</v>
      </c>
      <c r="J1496" t="s">
        <v>27</v>
      </c>
      <c r="K1496" t="s">
        <v>28</v>
      </c>
      <c r="L1496" t="s">
        <v>29</v>
      </c>
      <c r="M1496" t="s">
        <v>30</v>
      </c>
      <c r="N1496" t="s">
        <v>31</v>
      </c>
      <c r="Q1496" t="s">
        <v>4043</v>
      </c>
      <c r="R1496" t="s">
        <v>4043</v>
      </c>
    </row>
    <row r="1497" spans="1:18" x14ac:dyDescent="0.3">
      <c r="A1497" s="2" t="str">
        <f>HYPERLINK(B1497,"Oppna PDF")</f>
        <v>Oppna PDF</v>
      </c>
      <c r="B1497" t="s">
        <v>4066</v>
      </c>
      <c r="C1497" t="s">
        <v>4069</v>
      </c>
      <c r="D1497" t="s">
        <v>4063</v>
      </c>
      <c r="E1497" t="s">
        <v>4068</v>
      </c>
      <c r="H1497" t="s">
        <v>61</v>
      </c>
      <c r="I1497" t="s">
        <v>4035</v>
      </c>
      <c r="J1497" t="s">
        <v>48</v>
      </c>
      <c r="K1497" t="s">
        <v>49</v>
      </c>
      <c r="L1497" t="s">
        <v>29</v>
      </c>
      <c r="M1497" t="s">
        <v>30</v>
      </c>
      <c r="N1497" t="s">
        <v>31</v>
      </c>
      <c r="Q1497" t="s">
        <v>4045</v>
      </c>
      <c r="R1497" t="s">
        <v>4045</v>
      </c>
    </row>
    <row r="1498" spans="1:18" x14ac:dyDescent="0.3">
      <c r="A1498" s="2" t="str">
        <f>HYPERLINK(B1498,"Oppna PDF")</f>
        <v>Oppna PDF</v>
      </c>
      <c r="B1498" t="s">
        <v>4066</v>
      </c>
      <c r="C1498" t="s">
        <v>4070</v>
      </c>
      <c r="D1498" t="s">
        <v>4063</v>
      </c>
      <c r="E1498" t="s">
        <v>4068</v>
      </c>
      <c r="H1498" t="s">
        <v>61</v>
      </c>
      <c r="I1498" t="s">
        <v>4035</v>
      </c>
      <c r="J1498" t="s">
        <v>27</v>
      </c>
      <c r="K1498" t="s">
        <v>28</v>
      </c>
      <c r="L1498" t="s">
        <v>29</v>
      </c>
      <c r="M1498" t="s">
        <v>30</v>
      </c>
      <c r="N1498" t="s">
        <v>31</v>
      </c>
      <c r="Q1498" t="s">
        <v>4047</v>
      </c>
      <c r="R1498" t="s">
        <v>4047</v>
      </c>
    </row>
    <row r="1499" spans="1:18" x14ac:dyDescent="0.3">
      <c r="A1499" s="2" t="str">
        <f>HYPERLINK(B1499,"Oppna PDF")</f>
        <v>Oppna PDF</v>
      </c>
      <c r="B1499" t="s">
        <v>4071</v>
      </c>
      <c r="C1499" t="s">
        <v>4072</v>
      </c>
      <c r="D1499" t="s">
        <v>4063</v>
      </c>
      <c r="E1499" t="s">
        <v>4073</v>
      </c>
      <c r="H1499" t="s">
        <v>61</v>
      </c>
      <c r="I1499" t="s">
        <v>4035</v>
      </c>
      <c r="J1499" t="s">
        <v>48</v>
      </c>
      <c r="K1499" t="s">
        <v>49</v>
      </c>
      <c r="L1499" t="s">
        <v>29</v>
      </c>
      <c r="M1499" t="s">
        <v>30</v>
      </c>
      <c r="N1499" t="s">
        <v>31</v>
      </c>
      <c r="Q1499" t="s">
        <v>4036</v>
      </c>
      <c r="R1499" t="s">
        <v>4036</v>
      </c>
    </row>
    <row r="1500" spans="1:18" x14ac:dyDescent="0.3">
      <c r="A1500" s="2" t="str">
        <f>HYPERLINK(B1500,"Oppna PDF")</f>
        <v>Oppna PDF</v>
      </c>
      <c r="B1500" t="s">
        <v>4071</v>
      </c>
      <c r="C1500" t="s">
        <v>4074</v>
      </c>
      <c r="D1500" t="s">
        <v>4063</v>
      </c>
      <c r="E1500" t="s">
        <v>4073</v>
      </c>
      <c r="H1500" t="s">
        <v>61</v>
      </c>
      <c r="I1500" t="s">
        <v>4035</v>
      </c>
      <c r="J1500" t="s">
        <v>34</v>
      </c>
      <c r="K1500" t="s">
        <v>35</v>
      </c>
      <c r="L1500" t="s">
        <v>29</v>
      </c>
      <c r="M1500" t="s">
        <v>30</v>
      </c>
      <c r="N1500" t="s">
        <v>31</v>
      </c>
      <c r="Q1500" t="s">
        <v>4052</v>
      </c>
      <c r="R1500" t="s">
        <v>4053</v>
      </c>
    </row>
    <row r="1501" spans="1:18" x14ac:dyDescent="0.3">
      <c r="A1501" s="2" t="str">
        <f>HYPERLINK(B1501,"Oppna PDF")</f>
        <v>Oppna PDF</v>
      </c>
      <c r="B1501" t="s">
        <v>4075</v>
      </c>
      <c r="C1501" t="s">
        <v>4076</v>
      </c>
      <c r="D1501" t="s">
        <v>4063</v>
      </c>
      <c r="E1501" t="s">
        <v>4077</v>
      </c>
      <c r="H1501" t="s">
        <v>61</v>
      </c>
      <c r="I1501" t="s">
        <v>4035</v>
      </c>
      <c r="J1501" t="s">
        <v>48</v>
      </c>
      <c r="K1501" t="s">
        <v>49</v>
      </c>
      <c r="L1501" t="s">
        <v>29</v>
      </c>
      <c r="M1501" t="s">
        <v>30</v>
      </c>
      <c r="N1501" t="s">
        <v>31</v>
      </c>
      <c r="Q1501" t="s">
        <v>4036</v>
      </c>
      <c r="R1501" t="s">
        <v>4036</v>
      </c>
    </row>
    <row r="1502" spans="1:18" x14ac:dyDescent="0.3">
      <c r="A1502" s="2" t="str">
        <f>HYPERLINK(B1502,"Oppna PDF")</f>
        <v>Oppna PDF</v>
      </c>
      <c r="B1502" t="s">
        <v>4075</v>
      </c>
      <c r="C1502" t="s">
        <v>4078</v>
      </c>
      <c r="D1502" t="s">
        <v>4063</v>
      </c>
      <c r="E1502" t="s">
        <v>4077</v>
      </c>
      <c r="H1502" t="s">
        <v>61</v>
      </c>
      <c r="I1502" t="s">
        <v>4035</v>
      </c>
      <c r="J1502" t="s">
        <v>91</v>
      </c>
      <c r="K1502" t="s">
        <v>92</v>
      </c>
      <c r="L1502" t="s">
        <v>29</v>
      </c>
      <c r="M1502" t="s">
        <v>30</v>
      </c>
      <c r="N1502" t="s">
        <v>31</v>
      </c>
      <c r="Q1502" t="s">
        <v>4058</v>
      </c>
      <c r="R1502" t="s">
        <v>4058</v>
      </c>
    </row>
    <row r="1503" spans="1:18" x14ac:dyDescent="0.3">
      <c r="A1503" s="2" t="str">
        <f>HYPERLINK(B1503,"Oppna PDF")</f>
        <v>Oppna PDF</v>
      </c>
      <c r="B1503" t="s">
        <v>4075</v>
      </c>
      <c r="C1503" t="s">
        <v>4079</v>
      </c>
      <c r="D1503" t="s">
        <v>4063</v>
      </c>
      <c r="E1503" t="s">
        <v>4077</v>
      </c>
      <c r="H1503" t="s">
        <v>61</v>
      </c>
      <c r="I1503" t="s">
        <v>4035</v>
      </c>
      <c r="J1503" t="s">
        <v>91</v>
      </c>
      <c r="K1503" t="s">
        <v>92</v>
      </c>
      <c r="L1503" t="s">
        <v>29</v>
      </c>
      <c r="M1503" t="s">
        <v>30</v>
      </c>
      <c r="N1503" t="s">
        <v>31</v>
      </c>
      <c r="Q1503" t="s">
        <v>4060</v>
      </c>
      <c r="R1503" t="s">
        <v>4060</v>
      </c>
    </row>
    <row r="1504" spans="1:18" x14ac:dyDescent="0.3">
      <c r="A1504" s="2" t="str">
        <f>HYPERLINK(B1504,"Oppna PDF")</f>
        <v>Oppna PDF</v>
      </c>
      <c r="B1504" t="s">
        <v>4080</v>
      </c>
      <c r="C1504" t="s">
        <v>4081</v>
      </c>
      <c r="D1504" t="s">
        <v>4082</v>
      </c>
      <c r="E1504" t="s">
        <v>4083</v>
      </c>
      <c r="H1504" t="s">
        <v>61</v>
      </c>
      <c r="I1504" t="s">
        <v>4084</v>
      </c>
      <c r="J1504" t="s">
        <v>34</v>
      </c>
      <c r="K1504" t="s">
        <v>35</v>
      </c>
      <c r="L1504" t="s">
        <v>29</v>
      </c>
      <c r="M1504" t="s">
        <v>30</v>
      </c>
      <c r="N1504" t="s">
        <v>31</v>
      </c>
      <c r="Q1504" t="s">
        <v>4085</v>
      </c>
      <c r="R1504" t="s">
        <v>4085</v>
      </c>
    </row>
    <row r="1505" spans="1:18" x14ac:dyDescent="0.3">
      <c r="A1505" s="2" t="str">
        <f>HYPERLINK(B1505,"Oppna PDF")</f>
        <v>Oppna PDF</v>
      </c>
      <c r="B1505" t="s">
        <v>4080</v>
      </c>
      <c r="C1505" t="s">
        <v>4086</v>
      </c>
      <c r="D1505" t="s">
        <v>4082</v>
      </c>
      <c r="E1505" t="s">
        <v>4083</v>
      </c>
      <c r="H1505" t="s">
        <v>61</v>
      </c>
      <c r="I1505" t="s">
        <v>4084</v>
      </c>
      <c r="J1505" t="s">
        <v>27</v>
      </c>
      <c r="K1505" t="s">
        <v>28</v>
      </c>
      <c r="L1505" t="s">
        <v>29</v>
      </c>
      <c r="M1505" t="s">
        <v>30</v>
      </c>
      <c r="N1505" t="s">
        <v>31</v>
      </c>
      <c r="Q1505" t="s">
        <v>4087</v>
      </c>
      <c r="R1505" t="s">
        <v>4087</v>
      </c>
    </row>
    <row r="1506" spans="1:18" x14ac:dyDescent="0.3">
      <c r="A1506" s="2" t="str">
        <f>HYPERLINK(B1506,"Oppna PDF")</f>
        <v>Oppna PDF</v>
      </c>
      <c r="B1506" t="s">
        <v>4088</v>
      </c>
      <c r="C1506" t="s">
        <v>4089</v>
      </c>
      <c r="D1506" t="s">
        <v>4090</v>
      </c>
      <c r="E1506" t="s">
        <v>4091</v>
      </c>
      <c r="H1506" t="s">
        <v>61</v>
      </c>
      <c r="I1506" t="s">
        <v>4084</v>
      </c>
      <c r="J1506" t="s">
        <v>34</v>
      </c>
      <c r="K1506" t="s">
        <v>35</v>
      </c>
      <c r="L1506" t="s">
        <v>29</v>
      </c>
      <c r="M1506" t="s">
        <v>30</v>
      </c>
      <c r="N1506" t="s">
        <v>31</v>
      </c>
      <c r="Q1506" t="s">
        <v>4085</v>
      </c>
      <c r="R1506" t="s">
        <v>4085</v>
      </c>
    </row>
    <row r="1507" spans="1:18" x14ac:dyDescent="0.3">
      <c r="A1507" s="2" t="str">
        <f>HYPERLINK(B1507,"Oppna PDF")</f>
        <v>Oppna PDF</v>
      </c>
      <c r="B1507" t="s">
        <v>4088</v>
      </c>
      <c r="C1507" t="s">
        <v>4092</v>
      </c>
      <c r="D1507" t="s">
        <v>4090</v>
      </c>
      <c r="E1507" t="s">
        <v>4091</v>
      </c>
      <c r="H1507" t="s">
        <v>61</v>
      </c>
      <c r="I1507" t="s">
        <v>4084</v>
      </c>
      <c r="J1507" t="s">
        <v>27</v>
      </c>
      <c r="K1507" t="s">
        <v>28</v>
      </c>
      <c r="L1507" t="s">
        <v>29</v>
      </c>
      <c r="M1507" t="s">
        <v>30</v>
      </c>
      <c r="N1507" t="s">
        <v>31</v>
      </c>
      <c r="Q1507" t="s">
        <v>4087</v>
      </c>
      <c r="R1507" t="s">
        <v>4087</v>
      </c>
    </row>
    <row r="1508" spans="1:18" x14ac:dyDescent="0.3">
      <c r="A1508" s="2" t="str">
        <f>HYPERLINK(B1508,"Oppna PDF")</f>
        <v>Oppna PDF</v>
      </c>
      <c r="B1508" t="s">
        <v>4093</v>
      </c>
      <c r="C1508" t="s">
        <v>4094</v>
      </c>
      <c r="D1508" t="s">
        <v>4095</v>
      </c>
      <c r="E1508" t="s">
        <v>4096</v>
      </c>
      <c r="H1508" t="s">
        <v>61</v>
      </c>
      <c r="I1508" t="s">
        <v>4097</v>
      </c>
      <c r="J1508" t="s">
        <v>87</v>
      </c>
      <c r="K1508" t="s">
        <v>88</v>
      </c>
      <c r="L1508" t="s">
        <v>300</v>
      </c>
      <c r="M1508" t="s">
        <v>30</v>
      </c>
      <c r="N1508" t="s">
        <v>31</v>
      </c>
      <c r="Q1508" t="s">
        <v>4098</v>
      </c>
      <c r="R1508" t="s">
        <v>4098</v>
      </c>
    </row>
    <row r="1509" spans="1:18" x14ac:dyDescent="0.3">
      <c r="A1509" s="2" t="str">
        <f>HYPERLINK(B1509,"Oppna PDF")</f>
        <v>Oppna PDF</v>
      </c>
      <c r="B1509" t="s">
        <v>4099</v>
      </c>
      <c r="C1509" t="s">
        <v>4100</v>
      </c>
      <c r="D1509" t="s">
        <v>4095</v>
      </c>
      <c r="E1509" t="s">
        <v>4101</v>
      </c>
      <c r="H1509" t="s">
        <v>61</v>
      </c>
      <c r="I1509" t="s">
        <v>4097</v>
      </c>
      <c r="J1509" t="s">
        <v>48</v>
      </c>
      <c r="K1509" t="s">
        <v>49</v>
      </c>
      <c r="L1509" t="s">
        <v>29</v>
      </c>
      <c r="M1509" t="s">
        <v>30</v>
      </c>
      <c r="N1509" t="s">
        <v>31</v>
      </c>
      <c r="Q1509" t="s">
        <v>4102</v>
      </c>
      <c r="R1509" t="s">
        <v>4102</v>
      </c>
    </row>
    <row r="1510" spans="1:18" x14ac:dyDescent="0.3">
      <c r="A1510" s="2" t="str">
        <f>HYPERLINK(B1510,"Oppna PDF")</f>
        <v>Oppna PDF</v>
      </c>
      <c r="B1510" t="s">
        <v>4099</v>
      </c>
      <c r="C1510" t="s">
        <v>4103</v>
      </c>
      <c r="D1510" t="s">
        <v>4095</v>
      </c>
      <c r="E1510" t="s">
        <v>4101</v>
      </c>
      <c r="H1510" t="s">
        <v>61</v>
      </c>
      <c r="I1510" t="s">
        <v>4097</v>
      </c>
      <c r="J1510" t="s">
        <v>27</v>
      </c>
      <c r="K1510" t="s">
        <v>28</v>
      </c>
      <c r="L1510" t="s">
        <v>29</v>
      </c>
      <c r="M1510" t="s">
        <v>30</v>
      </c>
      <c r="N1510" t="s">
        <v>31</v>
      </c>
      <c r="Q1510" t="s">
        <v>4104</v>
      </c>
      <c r="R1510" t="s">
        <v>4104</v>
      </c>
    </row>
    <row r="1511" spans="1:18" x14ac:dyDescent="0.3">
      <c r="A1511" s="2" t="str">
        <f>HYPERLINK(B1511,"Oppna PDF")</f>
        <v>Oppna PDF</v>
      </c>
      <c r="B1511" t="s">
        <v>4099</v>
      </c>
      <c r="C1511" t="s">
        <v>4105</v>
      </c>
      <c r="D1511" t="s">
        <v>4095</v>
      </c>
      <c r="E1511" t="s">
        <v>4101</v>
      </c>
      <c r="H1511" t="s">
        <v>61</v>
      </c>
      <c r="I1511" t="s">
        <v>4097</v>
      </c>
      <c r="J1511" t="s">
        <v>27</v>
      </c>
      <c r="K1511" t="s">
        <v>28</v>
      </c>
      <c r="L1511" t="s">
        <v>29</v>
      </c>
      <c r="M1511" t="s">
        <v>30</v>
      </c>
      <c r="N1511" t="s">
        <v>31</v>
      </c>
      <c r="Q1511" t="s">
        <v>4106</v>
      </c>
      <c r="R1511" t="s">
        <v>4106</v>
      </c>
    </row>
    <row r="1512" spans="1:18" x14ac:dyDescent="0.3">
      <c r="A1512" s="2" t="str">
        <f>HYPERLINK(B1512,"Oppna PDF")</f>
        <v>Oppna PDF</v>
      </c>
      <c r="B1512" t="s">
        <v>4107</v>
      </c>
      <c r="C1512" t="s">
        <v>4108</v>
      </c>
      <c r="D1512" t="s">
        <v>4095</v>
      </c>
      <c r="E1512" t="s">
        <v>4109</v>
      </c>
      <c r="H1512" t="s">
        <v>61</v>
      </c>
      <c r="I1512" t="s">
        <v>4097</v>
      </c>
      <c r="J1512" t="s">
        <v>38</v>
      </c>
      <c r="K1512" t="s">
        <v>39</v>
      </c>
      <c r="L1512" t="s">
        <v>29</v>
      </c>
      <c r="M1512" t="s">
        <v>30</v>
      </c>
      <c r="N1512" t="s">
        <v>31</v>
      </c>
      <c r="Q1512" t="s">
        <v>4110</v>
      </c>
      <c r="R1512" t="s">
        <v>4111</v>
      </c>
    </row>
    <row r="1513" spans="1:18" x14ac:dyDescent="0.3">
      <c r="A1513" s="2" t="str">
        <f>HYPERLINK(B1513,"Oppna PDF")</f>
        <v>Oppna PDF</v>
      </c>
      <c r="B1513" t="s">
        <v>4107</v>
      </c>
      <c r="C1513" t="s">
        <v>4112</v>
      </c>
      <c r="D1513" t="s">
        <v>4095</v>
      </c>
      <c r="E1513" t="s">
        <v>4109</v>
      </c>
      <c r="H1513" t="s">
        <v>61</v>
      </c>
      <c r="I1513" t="s">
        <v>4097</v>
      </c>
      <c r="J1513" t="s">
        <v>48</v>
      </c>
      <c r="K1513" t="s">
        <v>49</v>
      </c>
      <c r="L1513" t="s">
        <v>29</v>
      </c>
      <c r="M1513" t="s">
        <v>30</v>
      </c>
      <c r="N1513" t="s">
        <v>31</v>
      </c>
      <c r="Q1513" t="s">
        <v>4113</v>
      </c>
      <c r="R1513" t="s">
        <v>4113</v>
      </c>
    </row>
    <row r="1514" spans="1:18" x14ac:dyDescent="0.3">
      <c r="A1514" s="2" t="str">
        <f>HYPERLINK(B1514,"Oppna PDF")</f>
        <v>Oppna PDF</v>
      </c>
      <c r="B1514" t="s">
        <v>4107</v>
      </c>
      <c r="C1514" t="s">
        <v>4114</v>
      </c>
      <c r="D1514" t="s">
        <v>4095</v>
      </c>
      <c r="E1514" t="s">
        <v>4109</v>
      </c>
      <c r="H1514" t="s">
        <v>61</v>
      </c>
      <c r="I1514" t="s">
        <v>4097</v>
      </c>
      <c r="J1514" t="s">
        <v>87</v>
      </c>
      <c r="K1514" t="s">
        <v>88</v>
      </c>
      <c r="L1514" t="s">
        <v>29</v>
      </c>
      <c r="M1514" t="s">
        <v>30</v>
      </c>
      <c r="N1514" t="s">
        <v>31</v>
      </c>
      <c r="Q1514" t="s">
        <v>4115</v>
      </c>
      <c r="R1514" t="s">
        <v>4116</v>
      </c>
    </row>
    <row r="1515" spans="1:18" x14ac:dyDescent="0.3">
      <c r="A1515" s="2" t="str">
        <f>HYPERLINK(B1515,"Oppna PDF")</f>
        <v>Oppna PDF</v>
      </c>
      <c r="B1515" t="s">
        <v>4117</v>
      </c>
      <c r="C1515" t="s">
        <v>4118</v>
      </c>
      <c r="D1515" t="s">
        <v>4095</v>
      </c>
      <c r="E1515" t="s">
        <v>4119</v>
      </c>
      <c r="H1515" t="s">
        <v>61</v>
      </c>
      <c r="I1515" t="s">
        <v>4097</v>
      </c>
      <c r="J1515" t="s">
        <v>91</v>
      </c>
      <c r="K1515" t="s">
        <v>92</v>
      </c>
      <c r="L1515" t="s">
        <v>29</v>
      </c>
      <c r="M1515" t="s">
        <v>30</v>
      </c>
      <c r="N1515" t="s">
        <v>31</v>
      </c>
      <c r="Q1515" t="s">
        <v>4120</v>
      </c>
      <c r="R1515" t="s">
        <v>4120</v>
      </c>
    </row>
    <row r="1516" spans="1:18" x14ac:dyDescent="0.3">
      <c r="A1516" s="2" t="str">
        <f>HYPERLINK(B1516,"Oppna PDF")</f>
        <v>Oppna PDF</v>
      </c>
      <c r="B1516" t="s">
        <v>4117</v>
      </c>
      <c r="C1516" t="s">
        <v>4121</v>
      </c>
      <c r="D1516" t="s">
        <v>4095</v>
      </c>
      <c r="E1516" t="s">
        <v>4119</v>
      </c>
      <c r="H1516" t="s">
        <v>61</v>
      </c>
      <c r="I1516" t="s">
        <v>4097</v>
      </c>
      <c r="J1516" t="s">
        <v>38</v>
      </c>
      <c r="K1516" t="s">
        <v>39</v>
      </c>
      <c r="L1516" t="s">
        <v>29</v>
      </c>
      <c r="M1516" t="s">
        <v>30</v>
      </c>
      <c r="N1516" t="s">
        <v>31</v>
      </c>
      <c r="Q1516" t="s">
        <v>4122</v>
      </c>
      <c r="R1516" t="s">
        <v>4122</v>
      </c>
    </row>
    <row r="1517" spans="1:18" x14ac:dyDescent="0.3">
      <c r="A1517" s="2" t="str">
        <f>HYPERLINK(B1517,"Oppna PDF")</f>
        <v>Oppna PDF</v>
      </c>
      <c r="B1517" t="s">
        <v>4117</v>
      </c>
      <c r="C1517" t="s">
        <v>4123</v>
      </c>
      <c r="D1517" t="s">
        <v>4095</v>
      </c>
      <c r="E1517" t="s">
        <v>4119</v>
      </c>
      <c r="H1517" t="s">
        <v>61</v>
      </c>
      <c r="I1517" t="s">
        <v>4097</v>
      </c>
      <c r="J1517" t="s">
        <v>91</v>
      </c>
      <c r="K1517" t="s">
        <v>92</v>
      </c>
      <c r="L1517" t="s">
        <v>29</v>
      </c>
      <c r="M1517" t="s">
        <v>30</v>
      </c>
      <c r="N1517" t="s">
        <v>31</v>
      </c>
      <c r="Q1517" t="s">
        <v>4124</v>
      </c>
      <c r="R1517" t="s">
        <v>4124</v>
      </c>
    </row>
    <row r="1518" spans="1:18" x14ac:dyDescent="0.3">
      <c r="A1518" s="2" t="str">
        <f>HYPERLINK(B1518,"Oppna PDF")</f>
        <v>Oppna PDF</v>
      </c>
      <c r="B1518" t="s">
        <v>4125</v>
      </c>
      <c r="C1518" t="s">
        <v>4126</v>
      </c>
      <c r="D1518" t="s">
        <v>4127</v>
      </c>
      <c r="E1518" t="s">
        <v>4128</v>
      </c>
      <c r="H1518" t="s">
        <v>61</v>
      </c>
      <c r="I1518" t="s">
        <v>4097</v>
      </c>
      <c r="J1518" t="s">
        <v>87</v>
      </c>
      <c r="K1518" t="s">
        <v>88</v>
      </c>
      <c r="L1518" t="s">
        <v>300</v>
      </c>
      <c r="M1518" t="s">
        <v>30</v>
      </c>
      <c r="N1518" t="s">
        <v>31</v>
      </c>
      <c r="Q1518" t="s">
        <v>4098</v>
      </c>
      <c r="R1518" t="s">
        <v>4098</v>
      </c>
    </row>
    <row r="1519" spans="1:18" x14ac:dyDescent="0.3">
      <c r="A1519" s="2" t="str">
        <f>HYPERLINK(B1519,"Oppna PDF")</f>
        <v>Oppna PDF</v>
      </c>
      <c r="B1519" t="s">
        <v>4129</v>
      </c>
      <c r="C1519" t="s">
        <v>4130</v>
      </c>
      <c r="D1519" t="s">
        <v>4127</v>
      </c>
      <c r="E1519" t="s">
        <v>4131</v>
      </c>
      <c r="H1519" t="s">
        <v>61</v>
      </c>
      <c r="I1519" t="s">
        <v>4097</v>
      </c>
      <c r="J1519" t="s">
        <v>48</v>
      </c>
      <c r="K1519" t="s">
        <v>49</v>
      </c>
      <c r="L1519" t="s">
        <v>29</v>
      </c>
      <c r="M1519" t="s">
        <v>30</v>
      </c>
      <c r="N1519" t="s">
        <v>31</v>
      </c>
      <c r="Q1519" t="s">
        <v>4102</v>
      </c>
      <c r="R1519" t="s">
        <v>4102</v>
      </c>
    </row>
    <row r="1520" spans="1:18" x14ac:dyDescent="0.3">
      <c r="A1520" s="2" t="str">
        <f>HYPERLINK(B1520,"Oppna PDF")</f>
        <v>Oppna PDF</v>
      </c>
      <c r="B1520" t="s">
        <v>4129</v>
      </c>
      <c r="C1520" t="s">
        <v>4132</v>
      </c>
      <c r="D1520" t="s">
        <v>4127</v>
      </c>
      <c r="E1520" t="s">
        <v>4131</v>
      </c>
      <c r="H1520" t="s">
        <v>61</v>
      </c>
      <c r="I1520" t="s">
        <v>4097</v>
      </c>
      <c r="J1520" t="s">
        <v>27</v>
      </c>
      <c r="K1520" t="s">
        <v>28</v>
      </c>
      <c r="L1520" t="s">
        <v>29</v>
      </c>
      <c r="M1520" t="s">
        <v>30</v>
      </c>
      <c r="N1520" t="s">
        <v>31</v>
      </c>
      <c r="Q1520" t="s">
        <v>4104</v>
      </c>
      <c r="R1520" t="s">
        <v>4104</v>
      </c>
    </row>
    <row r="1521" spans="1:18" x14ac:dyDescent="0.3">
      <c r="A1521" s="2" t="str">
        <f>HYPERLINK(B1521,"Oppna PDF")</f>
        <v>Oppna PDF</v>
      </c>
      <c r="B1521" t="s">
        <v>4129</v>
      </c>
      <c r="C1521" t="s">
        <v>4133</v>
      </c>
      <c r="D1521" t="s">
        <v>4127</v>
      </c>
      <c r="E1521" t="s">
        <v>4131</v>
      </c>
      <c r="H1521" t="s">
        <v>61</v>
      </c>
      <c r="I1521" t="s">
        <v>4097</v>
      </c>
      <c r="J1521" t="s">
        <v>27</v>
      </c>
      <c r="K1521" t="s">
        <v>28</v>
      </c>
      <c r="L1521" t="s">
        <v>29</v>
      </c>
      <c r="M1521" t="s">
        <v>30</v>
      </c>
      <c r="N1521" t="s">
        <v>31</v>
      </c>
      <c r="Q1521" t="s">
        <v>4106</v>
      </c>
      <c r="R1521" t="s">
        <v>4106</v>
      </c>
    </row>
    <row r="1522" spans="1:18" x14ac:dyDescent="0.3">
      <c r="A1522" s="2" t="str">
        <f>HYPERLINK(B1522,"Oppna PDF")</f>
        <v>Oppna PDF</v>
      </c>
      <c r="B1522" t="s">
        <v>4134</v>
      </c>
      <c r="C1522" t="s">
        <v>4135</v>
      </c>
      <c r="D1522" t="s">
        <v>4127</v>
      </c>
      <c r="E1522" t="s">
        <v>4136</v>
      </c>
      <c r="H1522" t="s">
        <v>61</v>
      </c>
      <c r="I1522" t="s">
        <v>4097</v>
      </c>
      <c r="J1522" t="s">
        <v>38</v>
      </c>
      <c r="K1522" t="s">
        <v>39</v>
      </c>
      <c r="L1522" t="s">
        <v>29</v>
      </c>
      <c r="M1522" t="s">
        <v>30</v>
      </c>
      <c r="N1522" t="s">
        <v>31</v>
      </c>
      <c r="Q1522" t="s">
        <v>4110</v>
      </c>
      <c r="R1522" t="s">
        <v>4111</v>
      </c>
    </row>
    <row r="1523" spans="1:18" x14ac:dyDescent="0.3">
      <c r="A1523" s="2" t="str">
        <f>HYPERLINK(B1523,"Oppna PDF")</f>
        <v>Oppna PDF</v>
      </c>
      <c r="B1523" t="s">
        <v>4134</v>
      </c>
      <c r="C1523" t="s">
        <v>4137</v>
      </c>
      <c r="D1523" t="s">
        <v>4127</v>
      </c>
      <c r="E1523" t="s">
        <v>4136</v>
      </c>
      <c r="H1523" t="s">
        <v>61</v>
      </c>
      <c r="I1523" t="s">
        <v>4097</v>
      </c>
      <c r="J1523" t="s">
        <v>48</v>
      </c>
      <c r="K1523" t="s">
        <v>49</v>
      </c>
      <c r="L1523" t="s">
        <v>29</v>
      </c>
      <c r="M1523" t="s">
        <v>30</v>
      </c>
      <c r="N1523" t="s">
        <v>31</v>
      </c>
      <c r="Q1523" t="s">
        <v>4113</v>
      </c>
      <c r="R1523" t="s">
        <v>4113</v>
      </c>
    </row>
    <row r="1524" spans="1:18" x14ac:dyDescent="0.3">
      <c r="A1524" s="2" t="str">
        <f>HYPERLINK(B1524,"Oppna PDF")</f>
        <v>Oppna PDF</v>
      </c>
      <c r="B1524" t="s">
        <v>4134</v>
      </c>
      <c r="C1524" t="s">
        <v>4138</v>
      </c>
      <c r="D1524" t="s">
        <v>4127</v>
      </c>
      <c r="E1524" t="s">
        <v>4136</v>
      </c>
      <c r="H1524" t="s">
        <v>61</v>
      </c>
      <c r="I1524" t="s">
        <v>4097</v>
      </c>
      <c r="J1524" t="s">
        <v>87</v>
      </c>
      <c r="K1524" t="s">
        <v>88</v>
      </c>
      <c r="L1524" t="s">
        <v>29</v>
      </c>
      <c r="M1524" t="s">
        <v>30</v>
      </c>
      <c r="N1524" t="s">
        <v>31</v>
      </c>
      <c r="Q1524" t="s">
        <v>4115</v>
      </c>
      <c r="R1524" t="s">
        <v>4116</v>
      </c>
    </row>
    <row r="1525" spans="1:18" x14ac:dyDescent="0.3">
      <c r="A1525" s="2" t="str">
        <f>HYPERLINK(B1525,"Oppna PDF")</f>
        <v>Oppna PDF</v>
      </c>
      <c r="B1525" t="s">
        <v>4139</v>
      </c>
      <c r="C1525" t="s">
        <v>4140</v>
      </c>
      <c r="D1525" t="s">
        <v>4127</v>
      </c>
      <c r="E1525" t="s">
        <v>4141</v>
      </c>
      <c r="H1525" t="s">
        <v>61</v>
      </c>
      <c r="I1525" t="s">
        <v>4097</v>
      </c>
      <c r="J1525" t="s">
        <v>91</v>
      </c>
      <c r="K1525" t="s">
        <v>92</v>
      </c>
      <c r="L1525" t="s">
        <v>29</v>
      </c>
      <c r="M1525" t="s">
        <v>30</v>
      </c>
      <c r="N1525" t="s">
        <v>31</v>
      </c>
      <c r="Q1525" t="s">
        <v>4120</v>
      </c>
      <c r="R1525" t="s">
        <v>4120</v>
      </c>
    </row>
    <row r="1526" spans="1:18" x14ac:dyDescent="0.3">
      <c r="A1526" s="2" t="str">
        <f>HYPERLINK(B1526,"Oppna PDF")</f>
        <v>Oppna PDF</v>
      </c>
      <c r="B1526" t="s">
        <v>4139</v>
      </c>
      <c r="C1526" t="s">
        <v>4142</v>
      </c>
      <c r="D1526" t="s">
        <v>4127</v>
      </c>
      <c r="E1526" t="s">
        <v>4141</v>
      </c>
      <c r="H1526" t="s">
        <v>61</v>
      </c>
      <c r="I1526" t="s">
        <v>4097</v>
      </c>
      <c r="J1526" t="s">
        <v>38</v>
      </c>
      <c r="K1526" t="s">
        <v>39</v>
      </c>
      <c r="L1526" t="s">
        <v>29</v>
      </c>
      <c r="M1526" t="s">
        <v>30</v>
      </c>
      <c r="N1526" t="s">
        <v>31</v>
      </c>
      <c r="Q1526" t="s">
        <v>4122</v>
      </c>
      <c r="R1526" t="s">
        <v>4122</v>
      </c>
    </row>
    <row r="1527" spans="1:18" x14ac:dyDescent="0.3">
      <c r="A1527" s="2" t="str">
        <f>HYPERLINK(B1527,"Oppna PDF")</f>
        <v>Oppna PDF</v>
      </c>
      <c r="B1527" t="s">
        <v>4139</v>
      </c>
      <c r="C1527" t="s">
        <v>4143</v>
      </c>
      <c r="D1527" t="s">
        <v>4127</v>
      </c>
      <c r="E1527" t="s">
        <v>4141</v>
      </c>
      <c r="H1527" t="s">
        <v>61</v>
      </c>
      <c r="I1527" t="s">
        <v>4097</v>
      </c>
      <c r="J1527" t="s">
        <v>91</v>
      </c>
      <c r="K1527" t="s">
        <v>92</v>
      </c>
      <c r="L1527" t="s">
        <v>29</v>
      </c>
      <c r="M1527" t="s">
        <v>30</v>
      </c>
      <c r="N1527" t="s">
        <v>31</v>
      </c>
      <c r="Q1527" t="s">
        <v>4124</v>
      </c>
      <c r="R1527" t="s">
        <v>4124</v>
      </c>
    </row>
    <row r="1528" spans="1:18" x14ac:dyDescent="0.3">
      <c r="A1528" s="2" t="str">
        <f>HYPERLINK(B1528,"Oppna PDF")</f>
        <v>Oppna PDF</v>
      </c>
      <c r="B1528" t="s">
        <v>4144</v>
      </c>
      <c r="C1528" t="s">
        <v>4145</v>
      </c>
      <c r="D1528" t="s">
        <v>4146</v>
      </c>
      <c r="E1528" t="s">
        <v>4147</v>
      </c>
      <c r="F1528" t="s">
        <v>4148</v>
      </c>
      <c r="G1528" t="s">
        <v>4149</v>
      </c>
      <c r="H1528" t="s">
        <v>61</v>
      </c>
      <c r="I1528" t="s">
        <v>4150</v>
      </c>
      <c r="J1528" t="s">
        <v>38</v>
      </c>
      <c r="K1528" t="s">
        <v>39</v>
      </c>
      <c r="L1528" t="s">
        <v>29</v>
      </c>
      <c r="M1528" t="s">
        <v>30</v>
      </c>
      <c r="N1528" t="s">
        <v>31</v>
      </c>
      <c r="Q1528" t="s">
        <v>4151</v>
      </c>
      <c r="R1528" t="s">
        <v>4151</v>
      </c>
    </row>
    <row r="1529" spans="1:18" x14ac:dyDescent="0.3">
      <c r="A1529" s="2" t="str">
        <f>HYPERLINK(B1529,"Oppna PDF")</f>
        <v>Oppna PDF</v>
      </c>
      <c r="B1529" t="s">
        <v>4144</v>
      </c>
      <c r="C1529" t="s">
        <v>4152</v>
      </c>
      <c r="D1529" t="s">
        <v>4146</v>
      </c>
      <c r="E1529" t="s">
        <v>4147</v>
      </c>
      <c r="F1529" t="s">
        <v>4148</v>
      </c>
      <c r="G1529" t="s">
        <v>4149</v>
      </c>
      <c r="H1529" t="s">
        <v>61</v>
      </c>
      <c r="I1529" t="s">
        <v>4150</v>
      </c>
      <c r="J1529" t="s">
        <v>48</v>
      </c>
      <c r="K1529" t="s">
        <v>49</v>
      </c>
      <c r="L1529" t="s">
        <v>29</v>
      </c>
      <c r="M1529" t="s">
        <v>30</v>
      </c>
      <c r="N1529" t="s">
        <v>31</v>
      </c>
      <c r="Q1529" t="s">
        <v>4153</v>
      </c>
      <c r="R1529" t="s">
        <v>4153</v>
      </c>
    </row>
    <row r="1530" spans="1:18" x14ac:dyDescent="0.3">
      <c r="A1530" s="2" t="str">
        <f>HYPERLINK(B1530,"Oppna PDF")</f>
        <v>Oppna PDF</v>
      </c>
      <c r="B1530" t="s">
        <v>4144</v>
      </c>
      <c r="C1530" t="s">
        <v>4154</v>
      </c>
      <c r="D1530" t="s">
        <v>4146</v>
      </c>
      <c r="E1530" t="s">
        <v>4147</v>
      </c>
      <c r="F1530" t="s">
        <v>4148</v>
      </c>
      <c r="G1530" t="s">
        <v>4149</v>
      </c>
      <c r="H1530" t="s">
        <v>61</v>
      </c>
      <c r="I1530" t="s">
        <v>4150</v>
      </c>
      <c r="J1530" t="s">
        <v>38</v>
      </c>
      <c r="K1530" t="s">
        <v>39</v>
      </c>
      <c r="L1530" t="s">
        <v>29</v>
      </c>
      <c r="M1530" t="s">
        <v>30</v>
      </c>
      <c r="N1530" t="s">
        <v>31</v>
      </c>
      <c r="Q1530" t="s">
        <v>4155</v>
      </c>
      <c r="R1530" t="s">
        <v>4155</v>
      </c>
    </row>
    <row r="1531" spans="1:18" x14ac:dyDescent="0.3">
      <c r="A1531" s="2" t="str">
        <f>HYPERLINK(B1531,"Oppna PDF")</f>
        <v>Oppna PDF</v>
      </c>
      <c r="B1531" t="s">
        <v>4156</v>
      </c>
      <c r="C1531" t="s">
        <v>4157</v>
      </c>
      <c r="D1531" t="s">
        <v>4146</v>
      </c>
      <c r="E1531" t="s">
        <v>4158</v>
      </c>
      <c r="F1531" t="s">
        <v>4148</v>
      </c>
      <c r="G1531" t="s">
        <v>4149</v>
      </c>
      <c r="H1531" t="s">
        <v>61</v>
      </c>
      <c r="I1531" t="s">
        <v>4150</v>
      </c>
      <c r="J1531" t="s">
        <v>38</v>
      </c>
      <c r="K1531" t="s">
        <v>39</v>
      </c>
      <c r="L1531" t="s">
        <v>142</v>
      </c>
      <c r="M1531" t="s">
        <v>30</v>
      </c>
      <c r="N1531" t="s">
        <v>31</v>
      </c>
      <c r="Q1531" t="s">
        <v>4159</v>
      </c>
      <c r="R1531" t="s">
        <v>4160</v>
      </c>
    </row>
    <row r="1532" spans="1:18" x14ac:dyDescent="0.3">
      <c r="A1532" s="2" t="str">
        <f>HYPERLINK(B1532,"Oppna PDF")</f>
        <v>Oppna PDF</v>
      </c>
      <c r="B1532" t="s">
        <v>4156</v>
      </c>
      <c r="C1532" t="s">
        <v>4161</v>
      </c>
      <c r="D1532" t="s">
        <v>4146</v>
      </c>
      <c r="E1532" t="s">
        <v>4158</v>
      </c>
      <c r="F1532" t="s">
        <v>4148</v>
      </c>
      <c r="G1532" t="s">
        <v>4149</v>
      </c>
      <c r="H1532" t="s">
        <v>61</v>
      </c>
      <c r="I1532" t="s">
        <v>4150</v>
      </c>
      <c r="J1532" t="s">
        <v>27</v>
      </c>
      <c r="K1532" t="s">
        <v>28</v>
      </c>
      <c r="L1532" t="s">
        <v>142</v>
      </c>
      <c r="M1532" t="s">
        <v>30</v>
      </c>
      <c r="N1532" t="s">
        <v>31</v>
      </c>
      <c r="Q1532" t="s">
        <v>4162</v>
      </c>
      <c r="R1532" t="s">
        <v>4163</v>
      </c>
    </row>
    <row r="1533" spans="1:18" x14ac:dyDescent="0.3">
      <c r="A1533" s="2" t="str">
        <f>HYPERLINK(B1533,"Oppna PDF")</f>
        <v>Oppna PDF</v>
      </c>
      <c r="B1533" t="s">
        <v>4164</v>
      </c>
      <c r="C1533" t="s">
        <v>4165</v>
      </c>
      <c r="D1533" t="s">
        <v>4146</v>
      </c>
      <c r="E1533" t="s">
        <v>4166</v>
      </c>
      <c r="F1533" t="s">
        <v>4148</v>
      </c>
      <c r="G1533" t="s">
        <v>4149</v>
      </c>
      <c r="H1533" t="s">
        <v>61</v>
      </c>
      <c r="I1533" t="s">
        <v>4150</v>
      </c>
      <c r="J1533" t="s">
        <v>34</v>
      </c>
      <c r="K1533" t="s">
        <v>35</v>
      </c>
      <c r="L1533" t="s">
        <v>29</v>
      </c>
      <c r="M1533" t="s">
        <v>30</v>
      </c>
      <c r="N1533" t="s">
        <v>31</v>
      </c>
      <c r="Q1533" t="s">
        <v>4167</v>
      </c>
      <c r="R1533" t="s">
        <v>4167</v>
      </c>
    </row>
    <row r="1534" spans="1:18" x14ac:dyDescent="0.3">
      <c r="A1534" s="2" t="str">
        <f>HYPERLINK(B1534,"Oppna PDF")</f>
        <v>Oppna PDF</v>
      </c>
      <c r="B1534" t="s">
        <v>4164</v>
      </c>
      <c r="C1534" t="s">
        <v>4168</v>
      </c>
      <c r="D1534" t="s">
        <v>4146</v>
      </c>
      <c r="E1534" t="s">
        <v>4166</v>
      </c>
      <c r="F1534" t="s">
        <v>4148</v>
      </c>
      <c r="G1534" t="s">
        <v>4149</v>
      </c>
      <c r="H1534" t="s">
        <v>61</v>
      </c>
      <c r="I1534" t="s">
        <v>4150</v>
      </c>
      <c r="J1534" t="s">
        <v>27</v>
      </c>
      <c r="K1534" t="s">
        <v>28</v>
      </c>
      <c r="L1534" t="s">
        <v>29</v>
      </c>
      <c r="M1534" t="s">
        <v>30</v>
      </c>
      <c r="N1534" t="s">
        <v>31</v>
      </c>
      <c r="Q1534" t="s">
        <v>4169</v>
      </c>
      <c r="R1534" t="s">
        <v>4169</v>
      </c>
    </row>
    <row r="1535" spans="1:18" x14ac:dyDescent="0.3">
      <c r="A1535" s="2" t="str">
        <f>HYPERLINK(B1535,"Oppna PDF")</f>
        <v>Oppna PDF</v>
      </c>
      <c r="B1535" t="s">
        <v>4164</v>
      </c>
      <c r="C1535" t="s">
        <v>4170</v>
      </c>
      <c r="D1535" t="s">
        <v>4146</v>
      </c>
      <c r="E1535" t="s">
        <v>4166</v>
      </c>
      <c r="F1535" t="s">
        <v>4148</v>
      </c>
      <c r="G1535" t="s">
        <v>4149</v>
      </c>
      <c r="H1535" t="s">
        <v>61</v>
      </c>
      <c r="I1535" t="s">
        <v>4150</v>
      </c>
      <c r="J1535" t="s">
        <v>91</v>
      </c>
      <c r="K1535" t="s">
        <v>92</v>
      </c>
      <c r="L1535" t="s">
        <v>29</v>
      </c>
      <c r="M1535" t="s">
        <v>30</v>
      </c>
      <c r="N1535" t="s">
        <v>31</v>
      </c>
      <c r="Q1535" t="s">
        <v>4171</v>
      </c>
      <c r="R1535" t="s">
        <v>4171</v>
      </c>
    </row>
    <row r="1536" spans="1:18" x14ac:dyDescent="0.3">
      <c r="A1536" s="2" t="str">
        <f>HYPERLINK(B1536,"Oppna PDF")</f>
        <v>Oppna PDF</v>
      </c>
      <c r="B1536" t="s">
        <v>4172</v>
      </c>
      <c r="C1536" t="s">
        <v>4173</v>
      </c>
      <c r="D1536" t="s">
        <v>4146</v>
      </c>
      <c r="E1536" t="s">
        <v>4174</v>
      </c>
      <c r="F1536" t="s">
        <v>4148</v>
      </c>
      <c r="G1536" t="s">
        <v>4149</v>
      </c>
      <c r="H1536" t="s">
        <v>61</v>
      </c>
      <c r="I1536" t="s">
        <v>4150</v>
      </c>
      <c r="J1536" t="s">
        <v>38</v>
      </c>
      <c r="K1536" t="s">
        <v>39</v>
      </c>
      <c r="L1536" t="s">
        <v>29</v>
      </c>
      <c r="M1536" t="s">
        <v>30</v>
      </c>
      <c r="N1536" t="s">
        <v>31</v>
      </c>
      <c r="Q1536" t="s">
        <v>4175</v>
      </c>
      <c r="R1536" t="s">
        <v>4176</v>
      </c>
    </row>
    <row r="1537" spans="1:18" x14ac:dyDescent="0.3">
      <c r="A1537" s="2" t="str">
        <f>HYPERLINK(B1537,"Oppna PDF")</f>
        <v>Oppna PDF</v>
      </c>
      <c r="B1537" t="s">
        <v>4172</v>
      </c>
      <c r="C1537" t="s">
        <v>4177</v>
      </c>
      <c r="D1537" t="s">
        <v>4146</v>
      </c>
      <c r="E1537" t="s">
        <v>4174</v>
      </c>
      <c r="F1537" t="s">
        <v>4148</v>
      </c>
      <c r="G1537" t="s">
        <v>4149</v>
      </c>
      <c r="H1537" t="s">
        <v>61</v>
      </c>
      <c r="I1537" t="s">
        <v>4150</v>
      </c>
      <c r="J1537" t="s">
        <v>27</v>
      </c>
      <c r="K1537" t="s">
        <v>28</v>
      </c>
      <c r="L1537" t="s">
        <v>29</v>
      </c>
      <c r="M1537" t="s">
        <v>30</v>
      </c>
      <c r="N1537" t="s">
        <v>31</v>
      </c>
      <c r="Q1537" t="s">
        <v>4178</v>
      </c>
      <c r="R1537" t="s">
        <v>4179</v>
      </c>
    </row>
    <row r="1538" spans="1:18" x14ac:dyDescent="0.3">
      <c r="A1538" s="2" t="str">
        <f>HYPERLINK(B1538,"Oppna PDF")</f>
        <v>Oppna PDF</v>
      </c>
      <c r="B1538" t="s">
        <v>4180</v>
      </c>
      <c r="C1538" t="s">
        <v>4181</v>
      </c>
      <c r="D1538" t="s">
        <v>4146</v>
      </c>
      <c r="E1538" t="s">
        <v>4182</v>
      </c>
      <c r="F1538" t="s">
        <v>4148</v>
      </c>
      <c r="G1538" t="s">
        <v>4149</v>
      </c>
      <c r="H1538" t="s">
        <v>61</v>
      </c>
      <c r="I1538" t="s">
        <v>4150</v>
      </c>
      <c r="J1538" t="s">
        <v>34</v>
      </c>
      <c r="K1538" t="s">
        <v>35</v>
      </c>
      <c r="L1538" t="s">
        <v>142</v>
      </c>
      <c r="M1538" t="s">
        <v>30</v>
      </c>
      <c r="N1538" t="s">
        <v>31</v>
      </c>
      <c r="Q1538" t="s">
        <v>4183</v>
      </c>
      <c r="R1538" t="s">
        <v>4184</v>
      </c>
    </row>
    <row r="1539" spans="1:18" x14ac:dyDescent="0.3">
      <c r="A1539" s="2" t="str">
        <f>HYPERLINK(B1539,"Oppna PDF")</f>
        <v>Oppna PDF</v>
      </c>
      <c r="B1539" t="s">
        <v>4185</v>
      </c>
      <c r="C1539" t="s">
        <v>4186</v>
      </c>
      <c r="D1539" t="s">
        <v>4146</v>
      </c>
      <c r="E1539" t="s">
        <v>4187</v>
      </c>
      <c r="F1539" t="s">
        <v>4148</v>
      </c>
      <c r="G1539" t="s">
        <v>4149</v>
      </c>
      <c r="H1539" t="s">
        <v>61</v>
      </c>
      <c r="I1539" t="s">
        <v>4150</v>
      </c>
      <c r="J1539" t="s">
        <v>38</v>
      </c>
      <c r="K1539" t="s">
        <v>39</v>
      </c>
      <c r="L1539" t="s">
        <v>142</v>
      </c>
      <c r="M1539" t="s">
        <v>30</v>
      </c>
      <c r="N1539" t="s">
        <v>31</v>
      </c>
      <c r="Q1539" t="s">
        <v>4188</v>
      </c>
      <c r="R1539" t="s">
        <v>4176</v>
      </c>
    </row>
    <row r="1540" spans="1:18" x14ac:dyDescent="0.3">
      <c r="A1540" s="2" t="str">
        <f>HYPERLINK(B1540,"Oppna PDF")</f>
        <v>Oppna PDF</v>
      </c>
      <c r="B1540" t="s">
        <v>4185</v>
      </c>
      <c r="C1540" t="s">
        <v>4189</v>
      </c>
      <c r="D1540" t="s">
        <v>4146</v>
      </c>
      <c r="E1540" t="s">
        <v>4187</v>
      </c>
      <c r="F1540" t="s">
        <v>4148</v>
      </c>
      <c r="G1540" t="s">
        <v>4149</v>
      </c>
      <c r="H1540" t="s">
        <v>61</v>
      </c>
      <c r="I1540" t="s">
        <v>4150</v>
      </c>
      <c r="J1540" t="s">
        <v>27</v>
      </c>
      <c r="K1540" t="s">
        <v>28</v>
      </c>
      <c r="L1540" t="s">
        <v>142</v>
      </c>
      <c r="M1540" t="s">
        <v>30</v>
      </c>
      <c r="N1540" t="s">
        <v>31</v>
      </c>
      <c r="Q1540" t="s">
        <v>4190</v>
      </c>
      <c r="R1540" t="s">
        <v>4191</v>
      </c>
    </row>
    <row r="1541" spans="1:18" x14ac:dyDescent="0.3">
      <c r="A1541" s="2" t="str">
        <f>HYPERLINK(B1541,"Oppna PDF")</f>
        <v>Oppna PDF</v>
      </c>
      <c r="B1541" t="s">
        <v>4192</v>
      </c>
      <c r="C1541" t="s">
        <v>4193</v>
      </c>
      <c r="D1541" t="s">
        <v>4194</v>
      </c>
      <c r="E1541" t="s">
        <v>4195</v>
      </c>
      <c r="F1541" t="s">
        <v>4148</v>
      </c>
      <c r="G1541" t="s">
        <v>4149</v>
      </c>
      <c r="H1541" t="s">
        <v>61</v>
      </c>
      <c r="I1541" t="s">
        <v>4150</v>
      </c>
      <c r="J1541" t="s">
        <v>38</v>
      </c>
      <c r="K1541" t="s">
        <v>39</v>
      </c>
      <c r="L1541" t="s">
        <v>29</v>
      </c>
      <c r="M1541" t="s">
        <v>30</v>
      </c>
      <c r="N1541" t="s">
        <v>31</v>
      </c>
      <c r="Q1541" t="s">
        <v>4151</v>
      </c>
      <c r="R1541" t="s">
        <v>4151</v>
      </c>
    </row>
    <row r="1542" spans="1:18" x14ac:dyDescent="0.3">
      <c r="A1542" s="2" t="str">
        <f>HYPERLINK(B1542,"Oppna PDF")</f>
        <v>Oppna PDF</v>
      </c>
      <c r="B1542" t="s">
        <v>4192</v>
      </c>
      <c r="C1542" t="s">
        <v>4196</v>
      </c>
      <c r="D1542" t="s">
        <v>4194</v>
      </c>
      <c r="E1542" t="s">
        <v>4195</v>
      </c>
      <c r="F1542" t="s">
        <v>4148</v>
      </c>
      <c r="G1542" t="s">
        <v>4149</v>
      </c>
      <c r="H1542" t="s">
        <v>61</v>
      </c>
      <c r="I1542" t="s">
        <v>4150</v>
      </c>
      <c r="J1542" t="s">
        <v>48</v>
      </c>
      <c r="K1542" t="s">
        <v>49</v>
      </c>
      <c r="L1542" t="s">
        <v>29</v>
      </c>
      <c r="M1542" t="s">
        <v>30</v>
      </c>
      <c r="N1542" t="s">
        <v>31</v>
      </c>
      <c r="Q1542" t="s">
        <v>4153</v>
      </c>
      <c r="R1542" t="s">
        <v>4153</v>
      </c>
    </row>
    <row r="1543" spans="1:18" x14ac:dyDescent="0.3">
      <c r="A1543" s="2" t="str">
        <f>HYPERLINK(B1543,"Oppna PDF")</f>
        <v>Oppna PDF</v>
      </c>
      <c r="B1543" t="s">
        <v>4192</v>
      </c>
      <c r="C1543" t="s">
        <v>4197</v>
      </c>
      <c r="D1543" t="s">
        <v>4194</v>
      </c>
      <c r="E1543" t="s">
        <v>4195</v>
      </c>
      <c r="F1543" t="s">
        <v>4148</v>
      </c>
      <c r="G1543" t="s">
        <v>4149</v>
      </c>
      <c r="H1543" t="s">
        <v>61</v>
      </c>
      <c r="I1543" t="s">
        <v>4150</v>
      </c>
      <c r="J1543" t="s">
        <v>38</v>
      </c>
      <c r="K1543" t="s">
        <v>39</v>
      </c>
      <c r="L1543" t="s">
        <v>29</v>
      </c>
      <c r="M1543" t="s">
        <v>30</v>
      </c>
      <c r="N1543" t="s">
        <v>31</v>
      </c>
      <c r="Q1543" t="s">
        <v>4155</v>
      </c>
      <c r="R1543" t="s">
        <v>4155</v>
      </c>
    </row>
    <row r="1544" spans="1:18" x14ac:dyDescent="0.3">
      <c r="A1544" s="2" t="str">
        <f>HYPERLINK(B1544,"Oppna PDF")</f>
        <v>Oppna PDF</v>
      </c>
      <c r="B1544" t="s">
        <v>4198</v>
      </c>
      <c r="C1544" t="s">
        <v>4199</v>
      </c>
      <c r="D1544" t="s">
        <v>4194</v>
      </c>
      <c r="E1544" t="s">
        <v>4200</v>
      </c>
      <c r="F1544" t="s">
        <v>4148</v>
      </c>
      <c r="G1544" t="s">
        <v>4149</v>
      </c>
      <c r="H1544" t="s">
        <v>61</v>
      </c>
      <c r="I1544" t="s">
        <v>4150</v>
      </c>
      <c r="J1544" t="s">
        <v>38</v>
      </c>
      <c r="K1544" t="s">
        <v>39</v>
      </c>
      <c r="L1544" t="s">
        <v>142</v>
      </c>
      <c r="M1544" t="s">
        <v>30</v>
      </c>
      <c r="N1544" t="s">
        <v>31</v>
      </c>
      <c r="Q1544" t="s">
        <v>4159</v>
      </c>
      <c r="R1544" t="s">
        <v>4160</v>
      </c>
    </row>
    <row r="1545" spans="1:18" x14ac:dyDescent="0.3">
      <c r="A1545" s="2" t="str">
        <f>HYPERLINK(B1545,"Oppna PDF")</f>
        <v>Oppna PDF</v>
      </c>
      <c r="B1545" t="s">
        <v>4198</v>
      </c>
      <c r="C1545" t="s">
        <v>4201</v>
      </c>
      <c r="D1545" t="s">
        <v>4194</v>
      </c>
      <c r="E1545" t="s">
        <v>4200</v>
      </c>
      <c r="F1545" t="s">
        <v>4148</v>
      </c>
      <c r="G1545" t="s">
        <v>4149</v>
      </c>
      <c r="H1545" t="s">
        <v>61</v>
      </c>
      <c r="I1545" t="s">
        <v>4150</v>
      </c>
      <c r="J1545" t="s">
        <v>27</v>
      </c>
      <c r="K1545" t="s">
        <v>28</v>
      </c>
      <c r="L1545" t="s">
        <v>142</v>
      </c>
      <c r="M1545" t="s">
        <v>30</v>
      </c>
      <c r="N1545" t="s">
        <v>31</v>
      </c>
      <c r="Q1545" t="s">
        <v>4162</v>
      </c>
      <c r="R1545" t="s">
        <v>4163</v>
      </c>
    </row>
    <row r="1546" spans="1:18" x14ac:dyDescent="0.3">
      <c r="A1546" s="2" t="str">
        <f>HYPERLINK(B1546,"Oppna PDF")</f>
        <v>Oppna PDF</v>
      </c>
      <c r="B1546" t="s">
        <v>4202</v>
      </c>
      <c r="C1546" t="s">
        <v>4203</v>
      </c>
      <c r="D1546" t="s">
        <v>4194</v>
      </c>
      <c r="E1546" t="s">
        <v>4204</v>
      </c>
      <c r="F1546" t="s">
        <v>4148</v>
      </c>
      <c r="G1546" t="s">
        <v>4149</v>
      </c>
      <c r="H1546" t="s">
        <v>61</v>
      </c>
      <c r="I1546" t="s">
        <v>4150</v>
      </c>
      <c r="J1546" t="s">
        <v>34</v>
      </c>
      <c r="K1546" t="s">
        <v>35</v>
      </c>
      <c r="L1546" t="s">
        <v>29</v>
      </c>
      <c r="M1546" t="s">
        <v>30</v>
      </c>
      <c r="N1546" t="s">
        <v>31</v>
      </c>
      <c r="Q1546" t="s">
        <v>4167</v>
      </c>
      <c r="R1546" t="s">
        <v>4167</v>
      </c>
    </row>
    <row r="1547" spans="1:18" x14ac:dyDescent="0.3">
      <c r="A1547" s="2" t="str">
        <f>HYPERLINK(B1547,"Oppna PDF")</f>
        <v>Oppna PDF</v>
      </c>
      <c r="B1547" t="s">
        <v>4202</v>
      </c>
      <c r="C1547" t="s">
        <v>4205</v>
      </c>
      <c r="D1547" t="s">
        <v>4194</v>
      </c>
      <c r="E1547" t="s">
        <v>4204</v>
      </c>
      <c r="F1547" t="s">
        <v>4148</v>
      </c>
      <c r="G1547" t="s">
        <v>4149</v>
      </c>
      <c r="H1547" t="s">
        <v>61</v>
      </c>
      <c r="I1547" t="s">
        <v>4150</v>
      </c>
      <c r="J1547" t="s">
        <v>27</v>
      </c>
      <c r="K1547" t="s">
        <v>28</v>
      </c>
      <c r="L1547" t="s">
        <v>29</v>
      </c>
      <c r="M1547" t="s">
        <v>30</v>
      </c>
      <c r="N1547" t="s">
        <v>31</v>
      </c>
      <c r="Q1547" t="s">
        <v>4169</v>
      </c>
      <c r="R1547" t="s">
        <v>4169</v>
      </c>
    </row>
    <row r="1548" spans="1:18" x14ac:dyDescent="0.3">
      <c r="A1548" s="2" t="str">
        <f>HYPERLINK(B1548,"Oppna PDF")</f>
        <v>Oppna PDF</v>
      </c>
      <c r="B1548" t="s">
        <v>4202</v>
      </c>
      <c r="C1548" t="s">
        <v>4206</v>
      </c>
      <c r="D1548" t="s">
        <v>4194</v>
      </c>
      <c r="E1548" t="s">
        <v>4204</v>
      </c>
      <c r="F1548" t="s">
        <v>4148</v>
      </c>
      <c r="G1548" t="s">
        <v>4149</v>
      </c>
      <c r="H1548" t="s">
        <v>61</v>
      </c>
      <c r="I1548" t="s">
        <v>4150</v>
      </c>
      <c r="J1548" t="s">
        <v>91</v>
      </c>
      <c r="K1548" t="s">
        <v>92</v>
      </c>
      <c r="L1548" t="s">
        <v>29</v>
      </c>
      <c r="M1548" t="s">
        <v>30</v>
      </c>
      <c r="N1548" t="s">
        <v>31</v>
      </c>
      <c r="Q1548" t="s">
        <v>4171</v>
      </c>
      <c r="R1548" t="s">
        <v>4171</v>
      </c>
    </row>
    <row r="1549" spans="1:18" x14ac:dyDescent="0.3">
      <c r="A1549" s="2" t="str">
        <f>HYPERLINK(B1549,"Oppna PDF")</f>
        <v>Oppna PDF</v>
      </c>
      <c r="B1549" t="s">
        <v>4207</v>
      </c>
      <c r="C1549" t="s">
        <v>4208</v>
      </c>
      <c r="D1549" t="s">
        <v>4194</v>
      </c>
      <c r="E1549" t="s">
        <v>4209</v>
      </c>
      <c r="F1549" t="s">
        <v>4148</v>
      </c>
      <c r="G1549" t="s">
        <v>4149</v>
      </c>
      <c r="H1549" t="s">
        <v>61</v>
      </c>
      <c r="I1549" t="s">
        <v>4150</v>
      </c>
      <c r="J1549" t="s">
        <v>38</v>
      </c>
      <c r="K1549" t="s">
        <v>39</v>
      </c>
      <c r="L1549" t="s">
        <v>29</v>
      </c>
      <c r="M1549" t="s">
        <v>30</v>
      </c>
      <c r="N1549" t="s">
        <v>31</v>
      </c>
      <c r="Q1549" t="s">
        <v>4175</v>
      </c>
      <c r="R1549" t="s">
        <v>4176</v>
      </c>
    </row>
    <row r="1550" spans="1:18" x14ac:dyDescent="0.3">
      <c r="A1550" s="2" t="str">
        <f>HYPERLINK(B1550,"Oppna PDF")</f>
        <v>Oppna PDF</v>
      </c>
      <c r="B1550" t="s">
        <v>4207</v>
      </c>
      <c r="C1550" t="s">
        <v>4210</v>
      </c>
      <c r="D1550" t="s">
        <v>4194</v>
      </c>
      <c r="E1550" t="s">
        <v>4209</v>
      </c>
      <c r="F1550" t="s">
        <v>4148</v>
      </c>
      <c r="G1550" t="s">
        <v>4149</v>
      </c>
      <c r="H1550" t="s">
        <v>61</v>
      </c>
      <c r="I1550" t="s">
        <v>4150</v>
      </c>
      <c r="J1550" t="s">
        <v>27</v>
      </c>
      <c r="K1550" t="s">
        <v>28</v>
      </c>
      <c r="L1550" t="s">
        <v>29</v>
      </c>
      <c r="M1550" t="s">
        <v>30</v>
      </c>
      <c r="N1550" t="s">
        <v>31</v>
      </c>
      <c r="Q1550" t="s">
        <v>4178</v>
      </c>
      <c r="R1550" t="s">
        <v>4179</v>
      </c>
    </row>
    <row r="1551" spans="1:18" x14ac:dyDescent="0.3">
      <c r="A1551" s="2" t="str">
        <f>HYPERLINK(B1551,"Oppna PDF")</f>
        <v>Oppna PDF</v>
      </c>
      <c r="B1551" t="s">
        <v>4211</v>
      </c>
      <c r="C1551" t="s">
        <v>4212</v>
      </c>
      <c r="D1551" t="s">
        <v>4194</v>
      </c>
      <c r="E1551" t="s">
        <v>4213</v>
      </c>
      <c r="F1551" t="s">
        <v>4148</v>
      </c>
      <c r="G1551" t="s">
        <v>4149</v>
      </c>
      <c r="H1551" t="s">
        <v>61</v>
      </c>
      <c r="I1551" t="s">
        <v>4150</v>
      </c>
      <c r="J1551" t="s">
        <v>34</v>
      </c>
      <c r="K1551" t="s">
        <v>35</v>
      </c>
      <c r="L1551" t="s">
        <v>142</v>
      </c>
      <c r="M1551" t="s">
        <v>30</v>
      </c>
      <c r="N1551" t="s">
        <v>31</v>
      </c>
      <c r="Q1551" t="s">
        <v>4183</v>
      </c>
      <c r="R1551" t="s">
        <v>4184</v>
      </c>
    </row>
    <row r="1552" spans="1:18" x14ac:dyDescent="0.3">
      <c r="A1552" s="2" t="str">
        <f>HYPERLINK(B1552,"Oppna PDF")</f>
        <v>Oppna PDF</v>
      </c>
      <c r="B1552" t="s">
        <v>4214</v>
      </c>
      <c r="C1552" t="s">
        <v>4215</v>
      </c>
      <c r="D1552" t="s">
        <v>4194</v>
      </c>
      <c r="E1552" t="s">
        <v>4216</v>
      </c>
      <c r="F1552" t="s">
        <v>4148</v>
      </c>
      <c r="G1552" t="s">
        <v>4149</v>
      </c>
      <c r="H1552" t="s">
        <v>61</v>
      </c>
      <c r="I1552" t="s">
        <v>4150</v>
      </c>
      <c r="J1552" t="s">
        <v>38</v>
      </c>
      <c r="K1552" t="s">
        <v>39</v>
      </c>
      <c r="L1552" t="s">
        <v>142</v>
      </c>
      <c r="M1552" t="s">
        <v>30</v>
      </c>
      <c r="N1552" t="s">
        <v>31</v>
      </c>
      <c r="Q1552" t="s">
        <v>4175</v>
      </c>
      <c r="R1552" t="s">
        <v>4176</v>
      </c>
    </row>
    <row r="1553" spans="1:18" x14ac:dyDescent="0.3">
      <c r="A1553" s="2" t="str">
        <f>HYPERLINK(B1553,"Oppna PDF")</f>
        <v>Oppna PDF</v>
      </c>
      <c r="B1553" t="s">
        <v>4214</v>
      </c>
      <c r="C1553" t="s">
        <v>4217</v>
      </c>
      <c r="D1553" t="s">
        <v>4194</v>
      </c>
      <c r="E1553" t="s">
        <v>4216</v>
      </c>
      <c r="F1553" t="s">
        <v>4148</v>
      </c>
      <c r="G1553" t="s">
        <v>4149</v>
      </c>
      <c r="H1553" t="s">
        <v>61</v>
      </c>
      <c r="I1553" t="s">
        <v>4150</v>
      </c>
      <c r="J1553" t="s">
        <v>27</v>
      </c>
      <c r="K1553" t="s">
        <v>28</v>
      </c>
      <c r="L1553" t="s">
        <v>142</v>
      </c>
      <c r="M1553" t="s">
        <v>30</v>
      </c>
      <c r="N1553" t="s">
        <v>31</v>
      </c>
      <c r="Q1553" t="s">
        <v>4218</v>
      </c>
      <c r="R1553" t="s">
        <v>4219</v>
      </c>
    </row>
    <row r="1554" spans="1:18" x14ac:dyDescent="0.3">
      <c r="A1554" s="2" t="str">
        <f>HYPERLINK(B1554,"Oppna PDF")</f>
        <v>Oppna PDF</v>
      </c>
      <c r="B1554" t="s">
        <v>4220</v>
      </c>
      <c r="C1554" t="s">
        <v>4221</v>
      </c>
      <c r="D1554" t="s">
        <v>4222</v>
      </c>
      <c r="E1554" t="s">
        <v>4223</v>
      </c>
      <c r="H1554" t="s">
        <v>61</v>
      </c>
      <c r="I1554" t="s">
        <v>4224</v>
      </c>
      <c r="J1554" t="s">
        <v>34</v>
      </c>
      <c r="K1554" t="s">
        <v>35</v>
      </c>
      <c r="L1554" t="s">
        <v>29</v>
      </c>
      <c r="M1554" t="s">
        <v>30</v>
      </c>
      <c r="N1554" t="s">
        <v>31</v>
      </c>
      <c r="Q1554" t="s">
        <v>4225</v>
      </c>
      <c r="R1554" t="s">
        <v>4225</v>
      </c>
    </row>
    <row r="1555" spans="1:18" x14ac:dyDescent="0.3">
      <c r="A1555" s="2" t="str">
        <f>HYPERLINK(B1555,"Oppna PDF")</f>
        <v>Oppna PDF</v>
      </c>
      <c r="B1555" t="s">
        <v>4226</v>
      </c>
      <c r="C1555" t="s">
        <v>4227</v>
      </c>
      <c r="D1555" t="s">
        <v>4222</v>
      </c>
      <c r="E1555" t="s">
        <v>4228</v>
      </c>
      <c r="H1555" t="s">
        <v>61</v>
      </c>
      <c r="I1555" t="s">
        <v>4224</v>
      </c>
      <c r="J1555" t="s">
        <v>38</v>
      </c>
      <c r="K1555" t="s">
        <v>39</v>
      </c>
      <c r="L1555" t="s">
        <v>142</v>
      </c>
      <c r="M1555" t="s">
        <v>30</v>
      </c>
      <c r="N1555" t="s">
        <v>31</v>
      </c>
      <c r="Q1555" t="s">
        <v>4229</v>
      </c>
      <c r="R1555" t="s">
        <v>4230</v>
      </c>
    </row>
    <row r="1556" spans="1:18" x14ac:dyDescent="0.3">
      <c r="A1556" s="2" t="str">
        <f>HYPERLINK(B1556,"Oppna PDF")</f>
        <v>Oppna PDF</v>
      </c>
      <c r="B1556" t="s">
        <v>4226</v>
      </c>
      <c r="C1556" t="s">
        <v>4231</v>
      </c>
      <c r="D1556" t="s">
        <v>4222</v>
      </c>
      <c r="E1556" t="s">
        <v>4228</v>
      </c>
      <c r="H1556" t="s">
        <v>61</v>
      </c>
      <c r="I1556" t="s">
        <v>4224</v>
      </c>
      <c r="J1556" t="s">
        <v>34</v>
      </c>
      <c r="K1556" t="s">
        <v>35</v>
      </c>
      <c r="L1556" t="s">
        <v>142</v>
      </c>
      <c r="M1556" t="s">
        <v>30</v>
      </c>
      <c r="N1556" t="s">
        <v>31</v>
      </c>
      <c r="Q1556" t="s">
        <v>4232</v>
      </c>
      <c r="R1556" t="s">
        <v>4232</v>
      </c>
    </row>
    <row r="1557" spans="1:18" x14ac:dyDescent="0.3">
      <c r="A1557" s="2" t="str">
        <f>HYPERLINK(B1557,"Oppna PDF")</f>
        <v>Oppna PDF</v>
      </c>
      <c r="B1557" t="s">
        <v>4226</v>
      </c>
      <c r="C1557" t="s">
        <v>4233</v>
      </c>
      <c r="D1557" t="s">
        <v>4222</v>
      </c>
      <c r="E1557" t="s">
        <v>4228</v>
      </c>
      <c r="H1557" t="s">
        <v>61</v>
      </c>
      <c r="I1557" t="s">
        <v>4224</v>
      </c>
      <c r="J1557" t="s">
        <v>27</v>
      </c>
      <c r="K1557" t="s">
        <v>28</v>
      </c>
      <c r="L1557" t="s">
        <v>142</v>
      </c>
      <c r="M1557" t="s">
        <v>30</v>
      </c>
      <c r="N1557" t="s">
        <v>31</v>
      </c>
      <c r="Q1557" t="s">
        <v>4234</v>
      </c>
      <c r="R1557" t="s">
        <v>4234</v>
      </c>
    </row>
    <row r="1558" spans="1:18" x14ac:dyDescent="0.3">
      <c r="A1558" s="2" t="str">
        <f>HYPERLINK(B1558,"Oppna PDF")</f>
        <v>Oppna PDF</v>
      </c>
      <c r="B1558" t="s">
        <v>4235</v>
      </c>
      <c r="C1558" t="s">
        <v>4236</v>
      </c>
      <c r="D1558" t="s">
        <v>4237</v>
      </c>
      <c r="E1558" t="s">
        <v>4238</v>
      </c>
      <c r="H1558" t="s">
        <v>61</v>
      </c>
      <c r="I1558" t="s">
        <v>4224</v>
      </c>
      <c r="J1558" t="s">
        <v>34</v>
      </c>
      <c r="K1558" t="s">
        <v>35</v>
      </c>
      <c r="L1558" t="s">
        <v>29</v>
      </c>
      <c r="M1558" t="s">
        <v>30</v>
      </c>
      <c r="N1558" t="s">
        <v>31</v>
      </c>
      <c r="Q1558" t="s">
        <v>4225</v>
      </c>
      <c r="R1558" t="s">
        <v>4225</v>
      </c>
    </row>
    <row r="1559" spans="1:18" x14ac:dyDescent="0.3">
      <c r="A1559" s="2" t="str">
        <f>HYPERLINK(B1559,"Oppna PDF")</f>
        <v>Oppna PDF</v>
      </c>
      <c r="B1559" t="s">
        <v>4239</v>
      </c>
      <c r="C1559" t="s">
        <v>4240</v>
      </c>
      <c r="D1559" t="s">
        <v>4237</v>
      </c>
      <c r="E1559" t="s">
        <v>4241</v>
      </c>
      <c r="H1559" t="s">
        <v>61</v>
      </c>
      <c r="I1559" t="s">
        <v>4224</v>
      </c>
      <c r="J1559" t="s">
        <v>38</v>
      </c>
      <c r="K1559" t="s">
        <v>39</v>
      </c>
      <c r="L1559" t="s">
        <v>142</v>
      </c>
      <c r="M1559" t="s">
        <v>30</v>
      </c>
      <c r="N1559" t="s">
        <v>31</v>
      </c>
      <c r="Q1559" t="s">
        <v>4229</v>
      </c>
      <c r="R1559" t="s">
        <v>4230</v>
      </c>
    </row>
    <row r="1560" spans="1:18" x14ac:dyDescent="0.3">
      <c r="A1560" s="2" t="str">
        <f>HYPERLINK(B1560,"Oppna PDF")</f>
        <v>Oppna PDF</v>
      </c>
      <c r="B1560" t="s">
        <v>4239</v>
      </c>
      <c r="C1560" t="s">
        <v>4242</v>
      </c>
      <c r="D1560" t="s">
        <v>4237</v>
      </c>
      <c r="E1560" t="s">
        <v>4241</v>
      </c>
      <c r="H1560" t="s">
        <v>61</v>
      </c>
      <c r="I1560" t="s">
        <v>4224</v>
      </c>
      <c r="J1560" t="s">
        <v>34</v>
      </c>
      <c r="K1560" t="s">
        <v>35</v>
      </c>
      <c r="L1560" t="s">
        <v>142</v>
      </c>
      <c r="M1560" t="s">
        <v>30</v>
      </c>
      <c r="N1560" t="s">
        <v>31</v>
      </c>
      <c r="Q1560" t="s">
        <v>4232</v>
      </c>
      <c r="R1560" t="s">
        <v>4232</v>
      </c>
    </row>
    <row r="1561" spans="1:18" x14ac:dyDescent="0.3">
      <c r="A1561" s="2" t="str">
        <f>HYPERLINK(B1561,"Oppna PDF")</f>
        <v>Oppna PDF</v>
      </c>
      <c r="B1561" t="s">
        <v>4239</v>
      </c>
      <c r="C1561" t="s">
        <v>4243</v>
      </c>
      <c r="D1561" t="s">
        <v>4237</v>
      </c>
      <c r="E1561" t="s">
        <v>4241</v>
      </c>
      <c r="H1561" t="s">
        <v>61</v>
      </c>
      <c r="I1561" t="s">
        <v>4224</v>
      </c>
      <c r="J1561" t="s">
        <v>27</v>
      </c>
      <c r="K1561" t="s">
        <v>28</v>
      </c>
      <c r="L1561" t="s">
        <v>142</v>
      </c>
      <c r="M1561" t="s">
        <v>30</v>
      </c>
      <c r="N1561" t="s">
        <v>31</v>
      </c>
      <c r="Q1561" t="s">
        <v>4234</v>
      </c>
      <c r="R1561" t="s">
        <v>4234</v>
      </c>
    </row>
    <row r="1562" spans="1:18" x14ac:dyDescent="0.3">
      <c r="A1562" s="2" t="str">
        <f>HYPERLINK(B1562,"Oppna PDF")</f>
        <v>Oppna PDF</v>
      </c>
      <c r="B1562" t="s">
        <v>4244</v>
      </c>
      <c r="C1562" t="s">
        <v>4245</v>
      </c>
      <c r="D1562" t="s">
        <v>4246</v>
      </c>
      <c r="E1562" t="s">
        <v>4247</v>
      </c>
      <c r="F1562" t="s">
        <v>266</v>
      </c>
      <c r="G1562" t="s">
        <v>267</v>
      </c>
      <c r="H1562" t="s">
        <v>25</v>
      </c>
      <c r="I1562" t="s">
        <v>4248</v>
      </c>
      <c r="J1562" t="s">
        <v>38</v>
      </c>
      <c r="K1562" t="s">
        <v>39</v>
      </c>
      <c r="L1562" t="s">
        <v>142</v>
      </c>
      <c r="M1562" t="s">
        <v>30</v>
      </c>
      <c r="N1562" t="s">
        <v>31</v>
      </c>
      <c r="Q1562" t="s">
        <v>4249</v>
      </c>
      <c r="R1562" t="s">
        <v>4249</v>
      </c>
    </row>
    <row r="1563" spans="1:18" x14ac:dyDescent="0.3">
      <c r="A1563" s="2" t="str">
        <f>HYPERLINK(B1563,"Oppna PDF")</f>
        <v>Oppna PDF</v>
      </c>
      <c r="B1563" t="s">
        <v>4244</v>
      </c>
      <c r="C1563" t="s">
        <v>4250</v>
      </c>
      <c r="D1563" t="s">
        <v>4246</v>
      </c>
      <c r="E1563" t="s">
        <v>4247</v>
      </c>
      <c r="F1563" t="s">
        <v>266</v>
      </c>
      <c r="G1563" t="s">
        <v>267</v>
      </c>
      <c r="H1563" t="s">
        <v>25</v>
      </c>
      <c r="I1563" t="s">
        <v>4248</v>
      </c>
      <c r="J1563" t="s">
        <v>91</v>
      </c>
      <c r="K1563" t="s">
        <v>92</v>
      </c>
      <c r="L1563" t="s">
        <v>29</v>
      </c>
      <c r="M1563" t="s">
        <v>30</v>
      </c>
      <c r="N1563" t="s">
        <v>31</v>
      </c>
      <c r="Q1563" t="s">
        <v>4251</v>
      </c>
      <c r="R1563" t="s">
        <v>4251</v>
      </c>
    </row>
    <row r="1564" spans="1:18" x14ac:dyDescent="0.3">
      <c r="A1564" s="2" t="str">
        <f>HYPERLINK(B1564,"Oppna PDF")</f>
        <v>Oppna PDF</v>
      </c>
      <c r="B1564" t="s">
        <v>4244</v>
      </c>
      <c r="C1564" t="s">
        <v>4252</v>
      </c>
      <c r="D1564" t="s">
        <v>4246</v>
      </c>
      <c r="E1564" t="s">
        <v>4247</v>
      </c>
      <c r="F1564" t="s">
        <v>266</v>
      </c>
      <c r="G1564" t="s">
        <v>267</v>
      </c>
      <c r="H1564" t="s">
        <v>25</v>
      </c>
      <c r="I1564" t="s">
        <v>4248</v>
      </c>
      <c r="J1564" t="s">
        <v>87</v>
      </c>
      <c r="K1564" t="s">
        <v>88</v>
      </c>
      <c r="L1564" t="s">
        <v>29</v>
      </c>
      <c r="M1564" t="s">
        <v>30</v>
      </c>
      <c r="N1564" t="s">
        <v>31</v>
      </c>
      <c r="Q1564" t="s">
        <v>4253</v>
      </c>
      <c r="R1564" t="s">
        <v>4253</v>
      </c>
    </row>
    <row r="1565" spans="1:18" x14ac:dyDescent="0.3">
      <c r="A1565" s="2" t="str">
        <f>HYPERLINK(B1565,"Oppna PDF")</f>
        <v>Oppna PDF</v>
      </c>
      <c r="B1565" t="s">
        <v>4254</v>
      </c>
      <c r="C1565" t="s">
        <v>4255</v>
      </c>
      <c r="D1565" t="s">
        <v>4246</v>
      </c>
      <c r="E1565" t="s">
        <v>4256</v>
      </c>
      <c r="F1565" t="s">
        <v>266</v>
      </c>
      <c r="G1565" t="s">
        <v>267</v>
      </c>
      <c r="H1565" t="s">
        <v>25</v>
      </c>
      <c r="I1565" t="s">
        <v>4248</v>
      </c>
      <c r="J1565" t="s">
        <v>38</v>
      </c>
      <c r="K1565" t="s">
        <v>39</v>
      </c>
      <c r="L1565" t="s">
        <v>29</v>
      </c>
      <c r="M1565" t="s">
        <v>30</v>
      </c>
      <c r="N1565" t="s">
        <v>31</v>
      </c>
      <c r="Q1565" t="s">
        <v>4257</v>
      </c>
      <c r="R1565" t="s">
        <v>4258</v>
      </c>
    </row>
    <row r="1566" spans="1:18" x14ac:dyDescent="0.3">
      <c r="A1566" s="2" t="str">
        <f>HYPERLINK(B1566,"Oppna PDF")</f>
        <v>Oppna PDF</v>
      </c>
      <c r="B1566" t="s">
        <v>4254</v>
      </c>
      <c r="C1566" t="s">
        <v>4259</v>
      </c>
      <c r="D1566" t="s">
        <v>4246</v>
      </c>
      <c r="E1566" t="s">
        <v>4256</v>
      </c>
      <c r="F1566" t="s">
        <v>266</v>
      </c>
      <c r="G1566" t="s">
        <v>267</v>
      </c>
      <c r="H1566" t="s">
        <v>25</v>
      </c>
      <c r="I1566" t="s">
        <v>4248</v>
      </c>
      <c r="J1566" t="s">
        <v>34</v>
      </c>
      <c r="K1566" t="s">
        <v>35</v>
      </c>
      <c r="L1566" t="s">
        <v>29</v>
      </c>
      <c r="M1566" t="s">
        <v>30</v>
      </c>
      <c r="N1566" t="s">
        <v>31</v>
      </c>
      <c r="Q1566" t="s">
        <v>4260</v>
      </c>
      <c r="R1566" t="s">
        <v>4260</v>
      </c>
    </row>
    <row r="1567" spans="1:18" x14ac:dyDescent="0.3">
      <c r="A1567" s="2" t="str">
        <f>HYPERLINK(B1567,"Oppna PDF")</f>
        <v>Oppna PDF</v>
      </c>
      <c r="B1567" t="s">
        <v>4254</v>
      </c>
      <c r="C1567" t="s">
        <v>4261</v>
      </c>
      <c r="D1567" t="s">
        <v>4246</v>
      </c>
      <c r="E1567" t="s">
        <v>4256</v>
      </c>
      <c r="F1567" t="s">
        <v>266</v>
      </c>
      <c r="G1567" t="s">
        <v>267</v>
      </c>
      <c r="H1567" t="s">
        <v>25</v>
      </c>
      <c r="I1567" t="s">
        <v>4248</v>
      </c>
      <c r="J1567" t="s">
        <v>87</v>
      </c>
      <c r="K1567" t="s">
        <v>88</v>
      </c>
      <c r="L1567" t="s">
        <v>29</v>
      </c>
      <c r="M1567" t="s">
        <v>30</v>
      </c>
      <c r="N1567" t="s">
        <v>31</v>
      </c>
      <c r="Q1567" t="s">
        <v>4262</v>
      </c>
      <c r="R1567" t="s">
        <v>4262</v>
      </c>
    </row>
    <row r="1568" spans="1:18" x14ac:dyDescent="0.3">
      <c r="A1568" s="2" t="str">
        <f>HYPERLINK(B1568,"Oppna PDF")</f>
        <v>Oppna PDF</v>
      </c>
      <c r="B1568" t="s">
        <v>4263</v>
      </c>
      <c r="C1568" t="s">
        <v>4264</v>
      </c>
      <c r="D1568" t="s">
        <v>4265</v>
      </c>
      <c r="E1568" t="s">
        <v>4266</v>
      </c>
      <c r="F1568" t="s">
        <v>266</v>
      </c>
      <c r="G1568" t="s">
        <v>267</v>
      </c>
      <c r="H1568" t="s">
        <v>25</v>
      </c>
      <c r="I1568" t="s">
        <v>4248</v>
      </c>
      <c r="J1568" t="s">
        <v>38</v>
      </c>
      <c r="K1568" t="s">
        <v>39</v>
      </c>
      <c r="L1568" t="s">
        <v>142</v>
      </c>
      <c r="M1568" t="s">
        <v>30</v>
      </c>
      <c r="N1568" t="s">
        <v>31</v>
      </c>
      <c r="Q1568" t="s">
        <v>4249</v>
      </c>
      <c r="R1568" t="s">
        <v>4249</v>
      </c>
    </row>
    <row r="1569" spans="1:18" x14ac:dyDescent="0.3">
      <c r="A1569" s="2" t="str">
        <f>HYPERLINK(B1569,"Oppna PDF")</f>
        <v>Oppna PDF</v>
      </c>
      <c r="B1569" t="s">
        <v>4263</v>
      </c>
      <c r="C1569" t="s">
        <v>4267</v>
      </c>
      <c r="D1569" t="s">
        <v>4265</v>
      </c>
      <c r="E1569" t="s">
        <v>4266</v>
      </c>
      <c r="F1569" t="s">
        <v>266</v>
      </c>
      <c r="G1569" t="s">
        <v>267</v>
      </c>
      <c r="H1569" t="s">
        <v>25</v>
      </c>
      <c r="I1569" t="s">
        <v>4248</v>
      </c>
      <c r="J1569" t="s">
        <v>91</v>
      </c>
      <c r="K1569" t="s">
        <v>92</v>
      </c>
      <c r="L1569" t="s">
        <v>29</v>
      </c>
      <c r="M1569" t="s">
        <v>30</v>
      </c>
      <c r="N1569" t="s">
        <v>31</v>
      </c>
      <c r="Q1569" t="s">
        <v>4251</v>
      </c>
      <c r="R1569" t="s">
        <v>4251</v>
      </c>
    </row>
    <row r="1570" spans="1:18" x14ac:dyDescent="0.3">
      <c r="A1570" s="2" t="str">
        <f>HYPERLINK(B1570,"Oppna PDF")</f>
        <v>Oppna PDF</v>
      </c>
      <c r="B1570" t="s">
        <v>4263</v>
      </c>
      <c r="C1570" t="s">
        <v>4268</v>
      </c>
      <c r="D1570" t="s">
        <v>4265</v>
      </c>
      <c r="E1570" t="s">
        <v>4266</v>
      </c>
      <c r="F1570" t="s">
        <v>266</v>
      </c>
      <c r="G1570" t="s">
        <v>267</v>
      </c>
      <c r="H1570" t="s">
        <v>25</v>
      </c>
      <c r="I1570" t="s">
        <v>4248</v>
      </c>
      <c r="J1570" t="s">
        <v>87</v>
      </c>
      <c r="K1570" t="s">
        <v>88</v>
      </c>
      <c r="L1570" t="s">
        <v>29</v>
      </c>
      <c r="M1570" t="s">
        <v>30</v>
      </c>
      <c r="N1570" t="s">
        <v>31</v>
      </c>
      <c r="Q1570" t="s">
        <v>4253</v>
      </c>
      <c r="R1570" t="s">
        <v>4253</v>
      </c>
    </row>
    <row r="1571" spans="1:18" x14ac:dyDescent="0.3">
      <c r="A1571" s="2" t="str">
        <f>HYPERLINK(B1571,"Oppna PDF")</f>
        <v>Oppna PDF</v>
      </c>
      <c r="B1571" t="s">
        <v>4269</v>
      </c>
      <c r="C1571" t="s">
        <v>4270</v>
      </c>
      <c r="D1571" t="s">
        <v>4265</v>
      </c>
      <c r="E1571" t="s">
        <v>4271</v>
      </c>
      <c r="F1571" t="s">
        <v>266</v>
      </c>
      <c r="G1571" t="s">
        <v>267</v>
      </c>
      <c r="H1571" t="s">
        <v>25</v>
      </c>
      <c r="I1571" t="s">
        <v>4248</v>
      </c>
      <c r="J1571" t="s">
        <v>38</v>
      </c>
      <c r="K1571" t="s">
        <v>39</v>
      </c>
      <c r="L1571" t="s">
        <v>29</v>
      </c>
      <c r="M1571" t="s">
        <v>30</v>
      </c>
      <c r="N1571" t="s">
        <v>31</v>
      </c>
      <c r="Q1571" t="s">
        <v>4257</v>
      </c>
      <c r="R1571" t="s">
        <v>4258</v>
      </c>
    </row>
    <row r="1572" spans="1:18" x14ac:dyDescent="0.3">
      <c r="A1572" s="2" t="str">
        <f>HYPERLINK(B1572,"Oppna PDF")</f>
        <v>Oppna PDF</v>
      </c>
      <c r="B1572" t="s">
        <v>4269</v>
      </c>
      <c r="C1572" t="s">
        <v>4272</v>
      </c>
      <c r="D1572" t="s">
        <v>4265</v>
      </c>
      <c r="E1572" t="s">
        <v>4271</v>
      </c>
      <c r="F1572" t="s">
        <v>266</v>
      </c>
      <c r="G1572" t="s">
        <v>267</v>
      </c>
      <c r="H1572" t="s">
        <v>25</v>
      </c>
      <c r="I1572" t="s">
        <v>4248</v>
      </c>
      <c r="J1572" t="s">
        <v>34</v>
      </c>
      <c r="K1572" t="s">
        <v>35</v>
      </c>
      <c r="L1572" t="s">
        <v>29</v>
      </c>
      <c r="M1572" t="s">
        <v>30</v>
      </c>
      <c r="N1572" t="s">
        <v>31</v>
      </c>
      <c r="Q1572" t="s">
        <v>4260</v>
      </c>
      <c r="R1572" t="s">
        <v>4260</v>
      </c>
    </row>
    <row r="1573" spans="1:18" x14ac:dyDescent="0.3">
      <c r="A1573" s="2" t="str">
        <f>HYPERLINK(B1573,"Oppna PDF")</f>
        <v>Oppna PDF</v>
      </c>
      <c r="B1573" t="s">
        <v>4269</v>
      </c>
      <c r="C1573" t="s">
        <v>4273</v>
      </c>
      <c r="D1573" t="s">
        <v>4265</v>
      </c>
      <c r="E1573" t="s">
        <v>4271</v>
      </c>
      <c r="F1573" t="s">
        <v>266</v>
      </c>
      <c r="G1573" t="s">
        <v>267</v>
      </c>
      <c r="H1573" t="s">
        <v>25</v>
      </c>
      <c r="I1573" t="s">
        <v>4248</v>
      </c>
      <c r="J1573" t="s">
        <v>87</v>
      </c>
      <c r="K1573" t="s">
        <v>88</v>
      </c>
      <c r="L1573" t="s">
        <v>29</v>
      </c>
      <c r="M1573" t="s">
        <v>30</v>
      </c>
      <c r="N1573" t="s">
        <v>31</v>
      </c>
      <c r="Q1573" t="s">
        <v>4262</v>
      </c>
      <c r="R1573" t="s">
        <v>4262</v>
      </c>
    </row>
    <row r="1574" spans="1:18" x14ac:dyDescent="0.3">
      <c r="A1574" s="2" t="str">
        <f>HYPERLINK(B1574,"Oppna PDF")</f>
        <v>Oppna PDF</v>
      </c>
      <c r="B1574" t="s">
        <v>4274</v>
      </c>
      <c r="C1574" t="s">
        <v>4275</v>
      </c>
      <c r="D1574" t="s">
        <v>4276</v>
      </c>
      <c r="E1574" t="s">
        <v>4277</v>
      </c>
      <c r="H1574" t="s">
        <v>61</v>
      </c>
      <c r="I1574" t="s">
        <v>4278</v>
      </c>
      <c r="J1574" t="s">
        <v>38</v>
      </c>
      <c r="K1574" t="s">
        <v>39</v>
      </c>
      <c r="L1574" t="s">
        <v>29</v>
      </c>
      <c r="M1574" t="s">
        <v>30</v>
      </c>
      <c r="N1574" t="s">
        <v>31</v>
      </c>
      <c r="Q1574" t="s">
        <v>4279</v>
      </c>
      <c r="R1574" t="s">
        <v>4279</v>
      </c>
    </row>
    <row r="1575" spans="1:18" x14ac:dyDescent="0.3">
      <c r="A1575" s="2" t="str">
        <f>HYPERLINK(B1575,"Oppna PDF")</f>
        <v>Oppna PDF</v>
      </c>
      <c r="B1575" t="s">
        <v>4274</v>
      </c>
      <c r="C1575" t="s">
        <v>4280</v>
      </c>
      <c r="D1575" t="s">
        <v>4276</v>
      </c>
      <c r="E1575" t="s">
        <v>4277</v>
      </c>
      <c r="H1575" t="s">
        <v>61</v>
      </c>
      <c r="I1575" t="s">
        <v>4278</v>
      </c>
      <c r="J1575" t="s">
        <v>91</v>
      </c>
      <c r="K1575" t="s">
        <v>92</v>
      </c>
      <c r="L1575" t="s">
        <v>29</v>
      </c>
      <c r="M1575" t="s">
        <v>30</v>
      </c>
      <c r="N1575" t="s">
        <v>31</v>
      </c>
      <c r="Q1575" t="s">
        <v>4281</v>
      </c>
      <c r="R1575" t="s">
        <v>4282</v>
      </c>
    </row>
    <row r="1576" spans="1:18" x14ac:dyDescent="0.3">
      <c r="A1576" s="2" t="str">
        <f>HYPERLINK(B1576,"Oppna PDF")</f>
        <v>Oppna PDF</v>
      </c>
      <c r="B1576" t="s">
        <v>4274</v>
      </c>
      <c r="C1576" t="s">
        <v>4283</v>
      </c>
      <c r="D1576" t="s">
        <v>4276</v>
      </c>
      <c r="E1576" t="s">
        <v>4277</v>
      </c>
      <c r="H1576" t="s">
        <v>61</v>
      </c>
      <c r="I1576" t="s">
        <v>4278</v>
      </c>
      <c r="J1576" t="s">
        <v>91</v>
      </c>
      <c r="K1576" t="s">
        <v>92</v>
      </c>
      <c r="L1576" t="s">
        <v>29</v>
      </c>
      <c r="M1576" t="s">
        <v>30</v>
      </c>
      <c r="N1576" t="s">
        <v>31</v>
      </c>
      <c r="Q1576" t="s">
        <v>4284</v>
      </c>
      <c r="R1576" t="s">
        <v>4284</v>
      </c>
    </row>
    <row r="1577" spans="1:18" x14ac:dyDescent="0.3">
      <c r="A1577" s="2" t="str">
        <f>HYPERLINK(B1577,"Oppna PDF")</f>
        <v>Oppna PDF</v>
      </c>
      <c r="B1577" t="s">
        <v>4285</v>
      </c>
      <c r="C1577" t="s">
        <v>4286</v>
      </c>
      <c r="D1577" t="s">
        <v>4276</v>
      </c>
      <c r="E1577" t="s">
        <v>4287</v>
      </c>
      <c r="H1577" t="s">
        <v>61</v>
      </c>
      <c r="I1577" t="s">
        <v>4278</v>
      </c>
      <c r="J1577" t="s">
        <v>27</v>
      </c>
      <c r="K1577" t="s">
        <v>28</v>
      </c>
      <c r="L1577" t="s">
        <v>29</v>
      </c>
      <c r="M1577" t="s">
        <v>30</v>
      </c>
      <c r="N1577" t="s">
        <v>31</v>
      </c>
      <c r="Q1577" t="s">
        <v>4288</v>
      </c>
      <c r="R1577" t="s">
        <v>4288</v>
      </c>
    </row>
    <row r="1578" spans="1:18" x14ac:dyDescent="0.3">
      <c r="A1578" s="2" t="str">
        <f>HYPERLINK(B1578,"Oppna PDF")</f>
        <v>Oppna PDF</v>
      </c>
      <c r="B1578" t="s">
        <v>4285</v>
      </c>
      <c r="C1578" t="s">
        <v>4289</v>
      </c>
      <c r="D1578" t="s">
        <v>4276</v>
      </c>
      <c r="E1578" t="s">
        <v>4287</v>
      </c>
      <c r="H1578" t="s">
        <v>61</v>
      </c>
      <c r="I1578" t="s">
        <v>4278</v>
      </c>
      <c r="J1578" t="s">
        <v>27</v>
      </c>
      <c r="K1578" t="s">
        <v>28</v>
      </c>
      <c r="L1578" t="s">
        <v>29</v>
      </c>
      <c r="M1578" t="s">
        <v>30</v>
      </c>
      <c r="N1578" t="s">
        <v>31</v>
      </c>
      <c r="Q1578" t="s">
        <v>4290</v>
      </c>
      <c r="R1578" t="s">
        <v>4290</v>
      </c>
    </row>
    <row r="1579" spans="1:18" x14ac:dyDescent="0.3">
      <c r="A1579" s="2" t="str">
        <f>HYPERLINK(B1579,"Oppna PDF")</f>
        <v>Oppna PDF</v>
      </c>
      <c r="B1579" t="s">
        <v>4291</v>
      </c>
      <c r="C1579" t="s">
        <v>4292</v>
      </c>
      <c r="D1579" t="s">
        <v>4276</v>
      </c>
      <c r="E1579" t="s">
        <v>4293</v>
      </c>
      <c r="H1579" t="s">
        <v>61</v>
      </c>
      <c r="I1579" t="s">
        <v>4278</v>
      </c>
      <c r="J1579" t="s">
        <v>38</v>
      </c>
      <c r="K1579" t="s">
        <v>39</v>
      </c>
      <c r="L1579" t="s">
        <v>29</v>
      </c>
      <c r="M1579" t="s">
        <v>30</v>
      </c>
      <c r="N1579" t="s">
        <v>31</v>
      </c>
      <c r="Q1579" t="s">
        <v>4294</v>
      </c>
      <c r="R1579" t="s">
        <v>4295</v>
      </c>
    </row>
    <row r="1580" spans="1:18" x14ac:dyDescent="0.3">
      <c r="A1580" s="2" t="str">
        <f>HYPERLINK(B1580,"Oppna PDF")</f>
        <v>Oppna PDF</v>
      </c>
      <c r="B1580" t="s">
        <v>4291</v>
      </c>
      <c r="C1580" t="s">
        <v>4296</v>
      </c>
      <c r="D1580" t="s">
        <v>4276</v>
      </c>
      <c r="E1580" t="s">
        <v>4293</v>
      </c>
      <c r="H1580" t="s">
        <v>61</v>
      </c>
      <c r="I1580" t="s">
        <v>4278</v>
      </c>
      <c r="J1580" t="s">
        <v>34</v>
      </c>
      <c r="K1580" t="s">
        <v>35</v>
      </c>
      <c r="L1580" t="s">
        <v>29</v>
      </c>
      <c r="M1580" t="s">
        <v>30</v>
      </c>
      <c r="N1580" t="s">
        <v>31</v>
      </c>
      <c r="Q1580" t="s">
        <v>4297</v>
      </c>
      <c r="R1580" t="s">
        <v>4297</v>
      </c>
    </row>
    <row r="1581" spans="1:18" x14ac:dyDescent="0.3">
      <c r="A1581" s="2" t="str">
        <f>HYPERLINK(B1581,"Oppna PDF")</f>
        <v>Oppna PDF</v>
      </c>
      <c r="B1581" t="s">
        <v>4291</v>
      </c>
      <c r="C1581" t="s">
        <v>4298</v>
      </c>
      <c r="D1581" t="s">
        <v>4276</v>
      </c>
      <c r="E1581" t="s">
        <v>4293</v>
      </c>
      <c r="H1581" t="s">
        <v>61</v>
      </c>
      <c r="I1581" t="s">
        <v>4278</v>
      </c>
      <c r="J1581" t="s">
        <v>1293</v>
      </c>
      <c r="K1581" t="s">
        <v>1294</v>
      </c>
      <c r="L1581" t="s">
        <v>29</v>
      </c>
      <c r="M1581" t="s">
        <v>30</v>
      </c>
      <c r="N1581" t="s">
        <v>31</v>
      </c>
      <c r="Q1581" t="s">
        <v>4299</v>
      </c>
      <c r="R1581" t="s">
        <v>4299</v>
      </c>
    </row>
    <row r="1582" spans="1:18" x14ac:dyDescent="0.3">
      <c r="A1582" s="2" t="str">
        <f>HYPERLINK(B1582,"Oppna PDF")</f>
        <v>Oppna PDF</v>
      </c>
      <c r="B1582" t="s">
        <v>4300</v>
      </c>
      <c r="C1582" t="s">
        <v>4301</v>
      </c>
      <c r="D1582" t="s">
        <v>4302</v>
      </c>
      <c r="E1582" t="s">
        <v>4303</v>
      </c>
      <c r="H1582" t="s">
        <v>61</v>
      </c>
      <c r="I1582" t="s">
        <v>4278</v>
      </c>
      <c r="J1582" t="s">
        <v>38</v>
      </c>
      <c r="K1582" t="s">
        <v>39</v>
      </c>
      <c r="L1582" t="s">
        <v>29</v>
      </c>
      <c r="M1582" t="s">
        <v>30</v>
      </c>
      <c r="N1582" t="s">
        <v>31</v>
      </c>
      <c r="Q1582" t="s">
        <v>4279</v>
      </c>
      <c r="R1582" t="s">
        <v>4279</v>
      </c>
    </row>
    <row r="1583" spans="1:18" x14ac:dyDescent="0.3">
      <c r="A1583" s="2" t="str">
        <f>HYPERLINK(B1583,"Oppna PDF")</f>
        <v>Oppna PDF</v>
      </c>
      <c r="B1583" t="s">
        <v>4300</v>
      </c>
      <c r="C1583" t="s">
        <v>4304</v>
      </c>
      <c r="D1583" t="s">
        <v>4302</v>
      </c>
      <c r="E1583" t="s">
        <v>4303</v>
      </c>
      <c r="H1583" t="s">
        <v>61</v>
      </c>
      <c r="I1583" t="s">
        <v>4278</v>
      </c>
      <c r="J1583" t="s">
        <v>91</v>
      </c>
      <c r="K1583" t="s">
        <v>92</v>
      </c>
      <c r="L1583" t="s">
        <v>29</v>
      </c>
      <c r="M1583" t="s">
        <v>30</v>
      </c>
      <c r="N1583" t="s">
        <v>31</v>
      </c>
      <c r="Q1583" t="s">
        <v>4281</v>
      </c>
      <c r="R1583" t="s">
        <v>4282</v>
      </c>
    </row>
    <row r="1584" spans="1:18" x14ac:dyDescent="0.3">
      <c r="A1584" s="2" t="str">
        <f>HYPERLINK(B1584,"Oppna PDF")</f>
        <v>Oppna PDF</v>
      </c>
      <c r="B1584" t="s">
        <v>4300</v>
      </c>
      <c r="C1584" t="s">
        <v>4305</v>
      </c>
      <c r="D1584" t="s">
        <v>4302</v>
      </c>
      <c r="E1584" t="s">
        <v>4303</v>
      </c>
      <c r="H1584" t="s">
        <v>61</v>
      </c>
      <c r="I1584" t="s">
        <v>4278</v>
      </c>
      <c r="J1584" t="s">
        <v>91</v>
      </c>
      <c r="K1584" t="s">
        <v>92</v>
      </c>
      <c r="L1584" t="s">
        <v>29</v>
      </c>
      <c r="M1584" t="s">
        <v>30</v>
      </c>
      <c r="N1584" t="s">
        <v>31</v>
      </c>
      <c r="Q1584" t="s">
        <v>4284</v>
      </c>
      <c r="R1584" t="s">
        <v>4284</v>
      </c>
    </row>
    <row r="1585" spans="1:18" x14ac:dyDescent="0.3">
      <c r="A1585" s="2" t="str">
        <f>HYPERLINK(B1585,"Oppna PDF")</f>
        <v>Oppna PDF</v>
      </c>
      <c r="B1585" t="s">
        <v>4306</v>
      </c>
      <c r="C1585" t="s">
        <v>4307</v>
      </c>
      <c r="D1585" t="s">
        <v>4302</v>
      </c>
      <c r="E1585" t="s">
        <v>4308</v>
      </c>
      <c r="H1585" t="s">
        <v>61</v>
      </c>
      <c r="I1585" t="s">
        <v>4278</v>
      </c>
      <c r="J1585" t="s">
        <v>27</v>
      </c>
      <c r="K1585" t="s">
        <v>28</v>
      </c>
      <c r="L1585" t="s">
        <v>29</v>
      </c>
      <c r="M1585" t="s">
        <v>30</v>
      </c>
      <c r="N1585" t="s">
        <v>31</v>
      </c>
      <c r="Q1585" t="s">
        <v>4288</v>
      </c>
      <c r="R1585" t="s">
        <v>4288</v>
      </c>
    </row>
    <row r="1586" spans="1:18" x14ac:dyDescent="0.3">
      <c r="A1586" s="2" t="str">
        <f>HYPERLINK(B1586,"Oppna PDF")</f>
        <v>Oppna PDF</v>
      </c>
      <c r="B1586" t="s">
        <v>4306</v>
      </c>
      <c r="C1586" t="s">
        <v>4309</v>
      </c>
      <c r="D1586" t="s">
        <v>4302</v>
      </c>
      <c r="E1586" t="s">
        <v>4308</v>
      </c>
      <c r="H1586" t="s">
        <v>61</v>
      </c>
      <c r="I1586" t="s">
        <v>4278</v>
      </c>
      <c r="J1586" t="s">
        <v>27</v>
      </c>
      <c r="K1586" t="s">
        <v>28</v>
      </c>
      <c r="L1586" t="s">
        <v>29</v>
      </c>
      <c r="M1586" t="s">
        <v>30</v>
      </c>
      <c r="N1586" t="s">
        <v>31</v>
      </c>
      <c r="Q1586" t="s">
        <v>4290</v>
      </c>
      <c r="R1586" t="s">
        <v>4290</v>
      </c>
    </row>
    <row r="1587" spans="1:18" x14ac:dyDescent="0.3">
      <c r="A1587" s="2" t="str">
        <f>HYPERLINK(B1587,"Oppna PDF")</f>
        <v>Oppna PDF</v>
      </c>
      <c r="B1587" t="s">
        <v>4310</v>
      </c>
      <c r="C1587" t="s">
        <v>4311</v>
      </c>
      <c r="D1587" t="s">
        <v>4302</v>
      </c>
      <c r="E1587" t="s">
        <v>4312</v>
      </c>
      <c r="H1587" t="s">
        <v>61</v>
      </c>
      <c r="I1587" t="s">
        <v>4278</v>
      </c>
      <c r="J1587" t="s">
        <v>38</v>
      </c>
      <c r="K1587" t="s">
        <v>39</v>
      </c>
      <c r="L1587" t="s">
        <v>29</v>
      </c>
      <c r="M1587" t="s">
        <v>30</v>
      </c>
      <c r="N1587" t="s">
        <v>31</v>
      </c>
      <c r="Q1587" t="s">
        <v>4294</v>
      </c>
      <c r="R1587" t="s">
        <v>4295</v>
      </c>
    </row>
    <row r="1588" spans="1:18" x14ac:dyDescent="0.3">
      <c r="A1588" s="2" t="str">
        <f>HYPERLINK(B1588,"Oppna PDF")</f>
        <v>Oppna PDF</v>
      </c>
      <c r="B1588" t="s">
        <v>4310</v>
      </c>
      <c r="C1588" t="s">
        <v>4313</v>
      </c>
      <c r="D1588" t="s">
        <v>4302</v>
      </c>
      <c r="E1588" t="s">
        <v>4312</v>
      </c>
      <c r="H1588" t="s">
        <v>61</v>
      </c>
      <c r="I1588" t="s">
        <v>4278</v>
      </c>
      <c r="J1588" t="s">
        <v>34</v>
      </c>
      <c r="K1588" t="s">
        <v>35</v>
      </c>
      <c r="L1588" t="s">
        <v>29</v>
      </c>
      <c r="M1588" t="s">
        <v>30</v>
      </c>
      <c r="N1588" t="s">
        <v>31</v>
      </c>
      <c r="Q1588" t="s">
        <v>4297</v>
      </c>
      <c r="R1588" t="s">
        <v>4297</v>
      </c>
    </row>
    <row r="1589" spans="1:18" x14ac:dyDescent="0.3">
      <c r="A1589" s="2" t="str">
        <f>HYPERLINK(B1589,"Oppna PDF")</f>
        <v>Oppna PDF</v>
      </c>
      <c r="B1589" t="s">
        <v>4310</v>
      </c>
      <c r="C1589" t="s">
        <v>4314</v>
      </c>
      <c r="D1589" t="s">
        <v>4302</v>
      </c>
      <c r="E1589" t="s">
        <v>4312</v>
      </c>
      <c r="H1589" t="s">
        <v>61</v>
      </c>
      <c r="I1589" t="s">
        <v>4278</v>
      </c>
      <c r="J1589" t="s">
        <v>1293</v>
      </c>
      <c r="K1589" t="s">
        <v>1294</v>
      </c>
      <c r="L1589" t="s">
        <v>29</v>
      </c>
      <c r="M1589" t="s">
        <v>30</v>
      </c>
      <c r="N1589" t="s">
        <v>31</v>
      </c>
      <c r="Q1589" t="s">
        <v>4299</v>
      </c>
      <c r="R1589" t="s">
        <v>4299</v>
      </c>
    </row>
    <row r="1590" spans="1:18" x14ac:dyDescent="0.3">
      <c r="A1590" s="2" t="str">
        <f>HYPERLINK(B1590,"Oppna PDF")</f>
        <v>Oppna PDF</v>
      </c>
      <c r="B1590" t="s">
        <v>4315</v>
      </c>
      <c r="C1590" t="s">
        <v>4316</v>
      </c>
      <c r="D1590" t="s">
        <v>4317</v>
      </c>
      <c r="E1590" t="s">
        <v>4318</v>
      </c>
      <c r="H1590" t="s">
        <v>61</v>
      </c>
      <c r="I1590" t="s">
        <v>4319</v>
      </c>
      <c r="J1590" t="s">
        <v>34</v>
      </c>
      <c r="K1590" t="s">
        <v>35</v>
      </c>
      <c r="L1590" t="s">
        <v>29</v>
      </c>
      <c r="M1590" t="s">
        <v>30</v>
      </c>
      <c r="N1590" t="s">
        <v>31</v>
      </c>
      <c r="Q1590" t="s">
        <v>4320</v>
      </c>
      <c r="R1590" t="s">
        <v>4320</v>
      </c>
    </row>
    <row r="1591" spans="1:18" x14ac:dyDescent="0.3">
      <c r="A1591" s="2" t="str">
        <f>HYPERLINK(B1591,"Oppna PDF")</f>
        <v>Oppna PDF</v>
      </c>
      <c r="B1591" t="s">
        <v>4321</v>
      </c>
      <c r="C1591" t="s">
        <v>4322</v>
      </c>
      <c r="D1591" t="s">
        <v>4317</v>
      </c>
      <c r="E1591" t="s">
        <v>4323</v>
      </c>
      <c r="H1591" t="s">
        <v>61</v>
      </c>
      <c r="I1591" t="s">
        <v>4319</v>
      </c>
      <c r="J1591" t="s">
        <v>91</v>
      </c>
      <c r="K1591" t="s">
        <v>92</v>
      </c>
      <c r="L1591" t="s">
        <v>29</v>
      </c>
      <c r="M1591" t="s">
        <v>30</v>
      </c>
      <c r="N1591" t="s">
        <v>31</v>
      </c>
      <c r="Q1591" t="s">
        <v>4324</v>
      </c>
      <c r="R1591" t="s">
        <v>4324</v>
      </c>
    </row>
    <row r="1592" spans="1:18" x14ac:dyDescent="0.3">
      <c r="A1592" s="2" t="str">
        <f>HYPERLINK(B1592,"Oppna PDF")</f>
        <v>Oppna PDF</v>
      </c>
      <c r="B1592" t="s">
        <v>4325</v>
      </c>
      <c r="C1592" t="s">
        <v>4326</v>
      </c>
      <c r="D1592" t="s">
        <v>4317</v>
      </c>
      <c r="E1592" t="s">
        <v>4327</v>
      </c>
      <c r="H1592" t="s">
        <v>61</v>
      </c>
      <c r="I1592" t="s">
        <v>4319</v>
      </c>
      <c r="J1592" t="s">
        <v>34</v>
      </c>
      <c r="K1592" t="s">
        <v>35</v>
      </c>
      <c r="L1592" t="s">
        <v>29</v>
      </c>
      <c r="M1592" t="s">
        <v>30</v>
      </c>
      <c r="N1592" t="s">
        <v>31</v>
      </c>
      <c r="Q1592" t="s">
        <v>4328</v>
      </c>
      <c r="R1592" t="s">
        <v>4328</v>
      </c>
    </row>
    <row r="1593" spans="1:18" x14ac:dyDescent="0.3">
      <c r="A1593" s="2" t="str">
        <f>HYPERLINK(B1593,"Oppna PDF")</f>
        <v>Oppna PDF</v>
      </c>
      <c r="B1593" t="s">
        <v>4325</v>
      </c>
      <c r="C1593" t="s">
        <v>4329</v>
      </c>
      <c r="D1593" t="s">
        <v>4317</v>
      </c>
      <c r="E1593" t="s">
        <v>4327</v>
      </c>
      <c r="H1593" t="s">
        <v>61</v>
      </c>
      <c r="I1593" t="s">
        <v>4319</v>
      </c>
      <c r="J1593" t="s">
        <v>34</v>
      </c>
      <c r="K1593" t="s">
        <v>35</v>
      </c>
      <c r="L1593" t="s">
        <v>29</v>
      </c>
      <c r="M1593" t="s">
        <v>30</v>
      </c>
      <c r="N1593" t="s">
        <v>31</v>
      </c>
      <c r="Q1593" t="s">
        <v>4330</v>
      </c>
      <c r="R1593" t="s">
        <v>4330</v>
      </c>
    </row>
    <row r="1594" spans="1:18" x14ac:dyDescent="0.3">
      <c r="A1594" s="2" t="str">
        <f>HYPERLINK(B1594,"Oppna PDF")</f>
        <v>Oppna PDF</v>
      </c>
      <c r="B1594" t="s">
        <v>4325</v>
      </c>
      <c r="C1594" t="s">
        <v>4331</v>
      </c>
      <c r="D1594" t="s">
        <v>4317</v>
      </c>
      <c r="E1594" t="s">
        <v>4327</v>
      </c>
      <c r="H1594" t="s">
        <v>61</v>
      </c>
      <c r="I1594" t="s">
        <v>4319</v>
      </c>
      <c r="J1594" t="s">
        <v>34</v>
      </c>
      <c r="K1594" t="s">
        <v>35</v>
      </c>
      <c r="L1594" t="s">
        <v>29</v>
      </c>
      <c r="M1594" t="s">
        <v>30</v>
      </c>
      <c r="N1594" t="s">
        <v>31</v>
      </c>
      <c r="Q1594" t="s">
        <v>4332</v>
      </c>
      <c r="R1594" t="s">
        <v>4332</v>
      </c>
    </row>
    <row r="1595" spans="1:18" x14ac:dyDescent="0.3">
      <c r="A1595" s="2" t="str">
        <f>HYPERLINK(B1595,"Oppna PDF")</f>
        <v>Oppna PDF</v>
      </c>
      <c r="B1595" t="s">
        <v>4333</v>
      </c>
      <c r="C1595" t="s">
        <v>4334</v>
      </c>
      <c r="D1595" t="s">
        <v>4317</v>
      </c>
      <c r="E1595" t="s">
        <v>4335</v>
      </c>
      <c r="H1595" t="s">
        <v>61</v>
      </c>
      <c r="I1595" t="s">
        <v>4319</v>
      </c>
      <c r="J1595" t="s">
        <v>38</v>
      </c>
      <c r="K1595" t="s">
        <v>39</v>
      </c>
      <c r="L1595" t="s">
        <v>142</v>
      </c>
      <c r="M1595" t="s">
        <v>30</v>
      </c>
      <c r="N1595" t="s">
        <v>31</v>
      </c>
      <c r="Q1595" t="s">
        <v>4336</v>
      </c>
      <c r="R1595" t="s">
        <v>4337</v>
      </c>
    </row>
    <row r="1596" spans="1:18" x14ac:dyDescent="0.3">
      <c r="A1596" s="2" t="str">
        <f>HYPERLINK(B1596,"Oppna PDF")</f>
        <v>Oppna PDF</v>
      </c>
      <c r="B1596" t="s">
        <v>4338</v>
      </c>
      <c r="C1596" t="s">
        <v>4339</v>
      </c>
      <c r="D1596" t="s">
        <v>4340</v>
      </c>
      <c r="E1596" t="s">
        <v>4341</v>
      </c>
      <c r="H1596" t="s">
        <v>61</v>
      </c>
      <c r="I1596" t="s">
        <v>4319</v>
      </c>
      <c r="J1596" t="s">
        <v>34</v>
      </c>
      <c r="K1596" t="s">
        <v>35</v>
      </c>
      <c r="L1596" t="s">
        <v>29</v>
      </c>
      <c r="M1596" t="s">
        <v>30</v>
      </c>
      <c r="N1596" t="s">
        <v>31</v>
      </c>
      <c r="Q1596" t="s">
        <v>4320</v>
      </c>
      <c r="R1596" t="s">
        <v>4320</v>
      </c>
    </row>
    <row r="1597" spans="1:18" x14ac:dyDescent="0.3">
      <c r="A1597" s="2" t="str">
        <f>HYPERLINK(B1597,"Oppna PDF")</f>
        <v>Oppna PDF</v>
      </c>
      <c r="B1597" t="s">
        <v>4342</v>
      </c>
      <c r="C1597" t="s">
        <v>4343</v>
      </c>
      <c r="D1597" t="s">
        <v>4340</v>
      </c>
      <c r="E1597" t="s">
        <v>4344</v>
      </c>
      <c r="H1597" t="s">
        <v>61</v>
      </c>
      <c r="I1597" t="s">
        <v>4319</v>
      </c>
      <c r="J1597" t="s">
        <v>91</v>
      </c>
      <c r="K1597" t="s">
        <v>92</v>
      </c>
      <c r="L1597" t="s">
        <v>29</v>
      </c>
      <c r="M1597" t="s">
        <v>30</v>
      </c>
      <c r="N1597" t="s">
        <v>31</v>
      </c>
      <c r="Q1597" t="s">
        <v>4324</v>
      </c>
      <c r="R1597" t="s">
        <v>4324</v>
      </c>
    </row>
    <row r="1598" spans="1:18" x14ac:dyDescent="0.3">
      <c r="A1598" s="2" t="str">
        <f>HYPERLINK(B1598,"Oppna PDF")</f>
        <v>Oppna PDF</v>
      </c>
      <c r="B1598" t="s">
        <v>4345</v>
      </c>
      <c r="C1598" t="s">
        <v>4346</v>
      </c>
      <c r="D1598" t="s">
        <v>4340</v>
      </c>
      <c r="E1598" t="s">
        <v>4347</v>
      </c>
      <c r="H1598" t="s">
        <v>61</v>
      </c>
      <c r="I1598" t="s">
        <v>4319</v>
      </c>
      <c r="J1598" t="s">
        <v>34</v>
      </c>
      <c r="K1598" t="s">
        <v>35</v>
      </c>
      <c r="L1598" t="s">
        <v>29</v>
      </c>
      <c r="M1598" t="s">
        <v>30</v>
      </c>
      <c r="N1598" t="s">
        <v>31</v>
      </c>
      <c r="Q1598" t="s">
        <v>4328</v>
      </c>
      <c r="R1598" t="s">
        <v>4328</v>
      </c>
    </row>
    <row r="1599" spans="1:18" x14ac:dyDescent="0.3">
      <c r="A1599" s="2" t="str">
        <f>HYPERLINK(B1599,"Oppna PDF")</f>
        <v>Oppna PDF</v>
      </c>
      <c r="B1599" t="s">
        <v>4345</v>
      </c>
      <c r="C1599" t="s">
        <v>4348</v>
      </c>
      <c r="D1599" t="s">
        <v>4340</v>
      </c>
      <c r="E1599" t="s">
        <v>4347</v>
      </c>
      <c r="H1599" t="s">
        <v>61</v>
      </c>
      <c r="I1599" t="s">
        <v>4319</v>
      </c>
      <c r="J1599" t="s">
        <v>34</v>
      </c>
      <c r="K1599" t="s">
        <v>35</v>
      </c>
      <c r="L1599" t="s">
        <v>29</v>
      </c>
      <c r="M1599" t="s">
        <v>30</v>
      </c>
      <c r="N1599" t="s">
        <v>31</v>
      </c>
      <c r="Q1599" t="s">
        <v>4330</v>
      </c>
      <c r="R1599" t="s">
        <v>4330</v>
      </c>
    </row>
    <row r="1600" spans="1:18" x14ac:dyDescent="0.3">
      <c r="A1600" s="2" t="str">
        <f>HYPERLINK(B1600,"Oppna PDF")</f>
        <v>Oppna PDF</v>
      </c>
      <c r="B1600" t="s">
        <v>4345</v>
      </c>
      <c r="C1600" t="s">
        <v>4349</v>
      </c>
      <c r="D1600" t="s">
        <v>4340</v>
      </c>
      <c r="E1600" t="s">
        <v>4347</v>
      </c>
      <c r="H1600" t="s">
        <v>61</v>
      </c>
      <c r="I1600" t="s">
        <v>4319</v>
      </c>
      <c r="J1600" t="s">
        <v>34</v>
      </c>
      <c r="K1600" t="s">
        <v>35</v>
      </c>
      <c r="L1600" t="s">
        <v>29</v>
      </c>
      <c r="M1600" t="s">
        <v>30</v>
      </c>
      <c r="N1600" t="s">
        <v>31</v>
      </c>
      <c r="Q1600" t="s">
        <v>4332</v>
      </c>
      <c r="R1600" t="s">
        <v>4332</v>
      </c>
    </row>
    <row r="1601" spans="1:18" x14ac:dyDescent="0.3">
      <c r="A1601" s="2" t="str">
        <f>HYPERLINK(B1601,"Oppna PDF")</f>
        <v>Oppna PDF</v>
      </c>
      <c r="B1601" t="s">
        <v>4350</v>
      </c>
      <c r="C1601" t="s">
        <v>4351</v>
      </c>
      <c r="D1601" t="s">
        <v>4340</v>
      </c>
      <c r="E1601" t="s">
        <v>4352</v>
      </c>
      <c r="H1601" t="s">
        <v>61</v>
      </c>
      <c r="I1601" t="s">
        <v>4319</v>
      </c>
      <c r="J1601" t="s">
        <v>38</v>
      </c>
      <c r="K1601" t="s">
        <v>39</v>
      </c>
      <c r="L1601" t="s">
        <v>142</v>
      </c>
      <c r="M1601" t="s">
        <v>30</v>
      </c>
      <c r="N1601" t="s">
        <v>31</v>
      </c>
      <c r="Q1601" t="s">
        <v>4353</v>
      </c>
      <c r="R1601" t="s">
        <v>4354</v>
      </c>
    </row>
    <row r="1602" spans="1:18" x14ac:dyDescent="0.3">
      <c r="A1602" s="2" t="str">
        <f>HYPERLINK(B1602,"Oppna PDF")</f>
        <v>Oppna PDF</v>
      </c>
      <c r="B1602" t="s">
        <v>4355</v>
      </c>
      <c r="C1602" t="s">
        <v>4356</v>
      </c>
      <c r="D1602" t="s">
        <v>4357</v>
      </c>
      <c r="E1602" t="s">
        <v>4358</v>
      </c>
      <c r="H1602" t="s">
        <v>25</v>
      </c>
      <c r="I1602" t="s">
        <v>4359</v>
      </c>
      <c r="J1602" t="s">
        <v>38</v>
      </c>
      <c r="K1602" t="s">
        <v>39</v>
      </c>
      <c r="L1602" t="s">
        <v>29</v>
      </c>
      <c r="M1602" t="s">
        <v>30</v>
      </c>
      <c r="N1602" t="s">
        <v>31</v>
      </c>
      <c r="Q1602" t="s">
        <v>4360</v>
      </c>
      <c r="R1602" t="s">
        <v>4360</v>
      </c>
    </row>
    <row r="1603" spans="1:18" x14ac:dyDescent="0.3">
      <c r="A1603" s="2" t="str">
        <f>HYPERLINK(B1603,"Oppna PDF")</f>
        <v>Oppna PDF</v>
      </c>
      <c r="B1603" t="s">
        <v>4355</v>
      </c>
      <c r="C1603" t="s">
        <v>4361</v>
      </c>
      <c r="D1603" t="s">
        <v>4357</v>
      </c>
      <c r="E1603" t="s">
        <v>4358</v>
      </c>
      <c r="H1603" t="s">
        <v>25</v>
      </c>
      <c r="I1603" t="s">
        <v>4359</v>
      </c>
      <c r="J1603" t="s">
        <v>38</v>
      </c>
      <c r="K1603" t="s">
        <v>39</v>
      </c>
      <c r="L1603" t="s">
        <v>29</v>
      </c>
      <c r="M1603" t="s">
        <v>30</v>
      </c>
      <c r="N1603" t="s">
        <v>31</v>
      </c>
      <c r="Q1603" t="s">
        <v>4362</v>
      </c>
      <c r="R1603" t="s">
        <v>4362</v>
      </c>
    </row>
    <row r="1604" spans="1:18" x14ac:dyDescent="0.3">
      <c r="A1604" s="2" t="str">
        <f>HYPERLINK(B1604,"Oppna PDF")</f>
        <v>Oppna PDF</v>
      </c>
      <c r="B1604" t="s">
        <v>4355</v>
      </c>
      <c r="C1604" t="s">
        <v>4363</v>
      </c>
      <c r="D1604" t="s">
        <v>4357</v>
      </c>
      <c r="E1604" t="s">
        <v>4358</v>
      </c>
      <c r="H1604" t="s">
        <v>25</v>
      </c>
      <c r="I1604" t="s">
        <v>4359</v>
      </c>
      <c r="J1604" t="s">
        <v>91</v>
      </c>
      <c r="K1604" t="s">
        <v>92</v>
      </c>
      <c r="L1604" t="s">
        <v>29</v>
      </c>
      <c r="M1604" t="s">
        <v>30</v>
      </c>
      <c r="N1604" t="s">
        <v>31</v>
      </c>
      <c r="Q1604" t="s">
        <v>4364</v>
      </c>
      <c r="R1604" t="s">
        <v>4364</v>
      </c>
    </row>
    <row r="1605" spans="1:18" x14ac:dyDescent="0.3">
      <c r="A1605" s="2" t="str">
        <f>HYPERLINK(B1605,"Oppna PDF")</f>
        <v>Oppna PDF</v>
      </c>
      <c r="B1605" t="s">
        <v>4365</v>
      </c>
      <c r="C1605" t="s">
        <v>4366</v>
      </c>
      <c r="D1605" t="s">
        <v>4357</v>
      </c>
      <c r="E1605" t="s">
        <v>4367</v>
      </c>
      <c r="H1605" t="s">
        <v>25</v>
      </c>
      <c r="I1605" t="s">
        <v>4359</v>
      </c>
      <c r="J1605" t="s">
        <v>91</v>
      </c>
      <c r="K1605" t="s">
        <v>92</v>
      </c>
      <c r="L1605" t="s">
        <v>29</v>
      </c>
      <c r="M1605" t="s">
        <v>30</v>
      </c>
      <c r="N1605" t="s">
        <v>31</v>
      </c>
      <c r="Q1605" t="s">
        <v>4368</v>
      </c>
      <c r="R1605" t="s">
        <v>4369</v>
      </c>
    </row>
    <row r="1606" spans="1:18" x14ac:dyDescent="0.3">
      <c r="A1606" s="2" t="str">
        <f>HYPERLINK(B1606,"Oppna PDF")</f>
        <v>Oppna PDF</v>
      </c>
      <c r="B1606" t="s">
        <v>4365</v>
      </c>
      <c r="C1606" t="s">
        <v>4370</v>
      </c>
      <c r="D1606" t="s">
        <v>4357</v>
      </c>
      <c r="E1606" t="s">
        <v>4367</v>
      </c>
      <c r="H1606" t="s">
        <v>25</v>
      </c>
      <c r="I1606" t="s">
        <v>4359</v>
      </c>
      <c r="J1606" t="s">
        <v>48</v>
      </c>
      <c r="K1606" t="s">
        <v>49</v>
      </c>
      <c r="L1606" t="s">
        <v>29</v>
      </c>
      <c r="M1606" t="s">
        <v>30</v>
      </c>
      <c r="N1606" t="s">
        <v>31</v>
      </c>
      <c r="Q1606" t="e">
        <f>- för vätskeformiga produkter gäller att de ska invallas.</f>
        <v>#NAME?</v>
      </c>
      <c r="R1606" t="e">
        <f>- för vätskeformiga produkter gäller att de ska invallas.</f>
        <v>#NAME?</v>
      </c>
    </row>
    <row r="1607" spans="1:18" x14ac:dyDescent="0.3">
      <c r="A1607" s="2" t="str">
        <f>HYPERLINK(B1607,"Oppna PDF")</f>
        <v>Oppna PDF</v>
      </c>
      <c r="B1607" t="s">
        <v>4365</v>
      </c>
      <c r="C1607" t="s">
        <v>4371</v>
      </c>
      <c r="D1607" t="s">
        <v>4357</v>
      </c>
      <c r="E1607" t="s">
        <v>4367</v>
      </c>
      <c r="H1607" t="s">
        <v>25</v>
      </c>
      <c r="I1607" t="s">
        <v>4359</v>
      </c>
      <c r="J1607" t="s">
        <v>48</v>
      </c>
      <c r="K1607" t="s">
        <v>49</v>
      </c>
      <c r="L1607" t="s">
        <v>29</v>
      </c>
      <c r="M1607" t="s">
        <v>30</v>
      </c>
      <c r="N1607" t="s">
        <v>31</v>
      </c>
      <c r="Q1607" t="e">
        <f>- Om förvaring sker utomhus ska invallningen förses med skärmtak eller liknande anordning för skydd mot regnvatten.</f>
        <v>#NAME?</v>
      </c>
      <c r="R1607" t="e">
        <f>- Om förvaring sker utomhus ska invallningen förses med skärmtak eller liknande anordning för skydd mot regnvatten.</f>
        <v>#NAME?</v>
      </c>
    </row>
    <row r="1608" spans="1:18" x14ac:dyDescent="0.3">
      <c r="A1608" s="2" t="str">
        <f>HYPERLINK(B1608,"Oppna PDF")</f>
        <v>Oppna PDF</v>
      </c>
      <c r="B1608" t="s">
        <v>4372</v>
      </c>
      <c r="C1608" t="s">
        <v>4373</v>
      </c>
      <c r="D1608" t="s">
        <v>4374</v>
      </c>
      <c r="E1608" t="s">
        <v>4375</v>
      </c>
      <c r="H1608" t="s">
        <v>25</v>
      </c>
      <c r="I1608" t="s">
        <v>4359</v>
      </c>
      <c r="J1608" t="s">
        <v>38</v>
      </c>
      <c r="K1608" t="s">
        <v>39</v>
      </c>
      <c r="L1608" t="s">
        <v>29</v>
      </c>
      <c r="M1608" t="s">
        <v>30</v>
      </c>
      <c r="N1608" t="s">
        <v>31</v>
      </c>
      <c r="Q1608" t="s">
        <v>4360</v>
      </c>
      <c r="R1608" t="s">
        <v>4360</v>
      </c>
    </row>
    <row r="1609" spans="1:18" x14ac:dyDescent="0.3">
      <c r="A1609" s="2" t="str">
        <f>HYPERLINK(B1609,"Oppna PDF")</f>
        <v>Oppna PDF</v>
      </c>
      <c r="B1609" t="s">
        <v>4372</v>
      </c>
      <c r="C1609" t="s">
        <v>4376</v>
      </c>
      <c r="D1609" t="s">
        <v>4374</v>
      </c>
      <c r="E1609" t="s">
        <v>4375</v>
      </c>
      <c r="H1609" t="s">
        <v>25</v>
      </c>
      <c r="I1609" t="s">
        <v>4359</v>
      </c>
      <c r="J1609" t="s">
        <v>38</v>
      </c>
      <c r="K1609" t="s">
        <v>39</v>
      </c>
      <c r="L1609" t="s">
        <v>29</v>
      </c>
      <c r="M1609" t="s">
        <v>30</v>
      </c>
      <c r="N1609" t="s">
        <v>31</v>
      </c>
      <c r="Q1609" t="s">
        <v>4362</v>
      </c>
      <c r="R1609" t="s">
        <v>4362</v>
      </c>
    </row>
    <row r="1610" spans="1:18" x14ac:dyDescent="0.3">
      <c r="A1610" s="2" t="str">
        <f>HYPERLINK(B1610,"Oppna PDF")</f>
        <v>Oppna PDF</v>
      </c>
      <c r="B1610" t="s">
        <v>4372</v>
      </c>
      <c r="C1610" t="s">
        <v>4377</v>
      </c>
      <c r="D1610" t="s">
        <v>4374</v>
      </c>
      <c r="E1610" t="s">
        <v>4375</v>
      </c>
      <c r="H1610" t="s">
        <v>25</v>
      </c>
      <c r="I1610" t="s">
        <v>4359</v>
      </c>
      <c r="J1610" t="s">
        <v>91</v>
      </c>
      <c r="K1610" t="s">
        <v>92</v>
      </c>
      <c r="L1610" t="s">
        <v>29</v>
      </c>
      <c r="M1610" t="s">
        <v>30</v>
      </c>
      <c r="N1610" t="s">
        <v>31</v>
      </c>
      <c r="Q1610" t="s">
        <v>4364</v>
      </c>
      <c r="R1610" t="s">
        <v>4364</v>
      </c>
    </row>
    <row r="1611" spans="1:18" x14ac:dyDescent="0.3">
      <c r="A1611" s="2" t="str">
        <f>HYPERLINK(B1611,"Oppna PDF")</f>
        <v>Oppna PDF</v>
      </c>
      <c r="B1611" t="s">
        <v>4378</v>
      </c>
      <c r="C1611" t="s">
        <v>4379</v>
      </c>
      <c r="D1611" t="s">
        <v>4374</v>
      </c>
      <c r="E1611" t="s">
        <v>4380</v>
      </c>
      <c r="H1611" t="s">
        <v>25</v>
      </c>
      <c r="I1611" t="s">
        <v>4359</v>
      </c>
      <c r="J1611" t="s">
        <v>91</v>
      </c>
      <c r="K1611" t="s">
        <v>92</v>
      </c>
      <c r="L1611" t="s">
        <v>29</v>
      </c>
      <c r="M1611" t="s">
        <v>30</v>
      </c>
      <c r="N1611" t="s">
        <v>31</v>
      </c>
      <c r="Q1611" t="s">
        <v>4368</v>
      </c>
      <c r="R1611" t="s">
        <v>4369</v>
      </c>
    </row>
    <row r="1612" spans="1:18" x14ac:dyDescent="0.3">
      <c r="A1612" s="2" t="str">
        <f>HYPERLINK(B1612,"Oppna PDF")</f>
        <v>Oppna PDF</v>
      </c>
      <c r="B1612" t="s">
        <v>4378</v>
      </c>
      <c r="C1612" t="s">
        <v>4381</v>
      </c>
      <c r="D1612" t="s">
        <v>4374</v>
      </c>
      <c r="E1612" t="s">
        <v>4380</v>
      </c>
      <c r="H1612" t="s">
        <v>25</v>
      </c>
      <c r="I1612" t="s">
        <v>4359</v>
      </c>
      <c r="J1612" t="s">
        <v>48</v>
      </c>
      <c r="K1612" t="s">
        <v>49</v>
      </c>
      <c r="L1612" t="s">
        <v>29</v>
      </c>
      <c r="M1612" t="s">
        <v>30</v>
      </c>
      <c r="N1612" t="s">
        <v>31</v>
      </c>
      <c r="Q1612" t="e">
        <f>- för vätskeformiga produkter gäller att de ska invallas.</f>
        <v>#NAME?</v>
      </c>
      <c r="R1612" t="e">
        <f>- för vätskeformiga produkter gäller att de ska invallas.</f>
        <v>#NAME?</v>
      </c>
    </row>
    <row r="1613" spans="1:18" x14ac:dyDescent="0.3">
      <c r="A1613" s="2" t="str">
        <f>HYPERLINK(B1613,"Oppna PDF")</f>
        <v>Oppna PDF</v>
      </c>
      <c r="B1613" t="s">
        <v>4378</v>
      </c>
      <c r="C1613" t="s">
        <v>4382</v>
      </c>
      <c r="D1613" t="s">
        <v>4374</v>
      </c>
      <c r="E1613" t="s">
        <v>4380</v>
      </c>
      <c r="H1613" t="s">
        <v>25</v>
      </c>
      <c r="I1613" t="s">
        <v>4359</v>
      </c>
      <c r="J1613" t="s">
        <v>48</v>
      </c>
      <c r="K1613" t="s">
        <v>49</v>
      </c>
      <c r="L1613" t="s">
        <v>29</v>
      </c>
      <c r="M1613" t="s">
        <v>30</v>
      </c>
      <c r="N1613" t="s">
        <v>31</v>
      </c>
      <c r="Q1613" t="e">
        <f>- Om förvaring sker utomhus ska invallningen förses med skärmtak eller liknande anordning för skydd mot regnvatten.</f>
        <v>#NAME?</v>
      </c>
      <c r="R1613" t="e">
        <f>- Om förvaring sker utomhus ska invallningen förses med skärmtak eller liknande anordning för skydd mot regnvatten.</f>
        <v>#NAME?</v>
      </c>
    </row>
    <row r="1614" spans="1:18" x14ac:dyDescent="0.3">
      <c r="A1614" s="2" t="str">
        <f>HYPERLINK(B1614,"Oppna PDF")</f>
        <v>Oppna PDF</v>
      </c>
      <c r="B1614" t="s">
        <v>4383</v>
      </c>
      <c r="C1614" t="s">
        <v>4384</v>
      </c>
      <c r="D1614" t="s">
        <v>4385</v>
      </c>
      <c r="E1614" t="s">
        <v>4386</v>
      </c>
      <c r="H1614" t="s">
        <v>61</v>
      </c>
      <c r="I1614" t="s">
        <v>4387</v>
      </c>
      <c r="J1614" t="s">
        <v>91</v>
      </c>
      <c r="K1614" t="s">
        <v>92</v>
      </c>
      <c r="L1614" t="s">
        <v>29</v>
      </c>
      <c r="M1614" t="s">
        <v>30</v>
      </c>
      <c r="N1614" t="s">
        <v>31</v>
      </c>
      <c r="Q1614" t="s">
        <v>4388</v>
      </c>
      <c r="R1614" t="s">
        <v>4389</v>
      </c>
    </row>
    <row r="1615" spans="1:18" x14ac:dyDescent="0.3">
      <c r="A1615" s="2" t="str">
        <f>HYPERLINK(B1615,"Oppna PDF")</f>
        <v>Oppna PDF</v>
      </c>
      <c r="B1615" t="s">
        <v>4383</v>
      </c>
      <c r="C1615" t="s">
        <v>4390</v>
      </c>
      <c r="D1615" t="s">
        <v>4385</v>
      </c>
      <c r="E1615" t="s">
        <v>4386</v>
      </c>
      <c r="H1615" t="s">
        <v>61</v>
      </c>
      <c r="I1615" t="s">
        <v>4387</v>
      </c>
      <c r="J1615" t="s">
        <v>34</v>
      </c>
      <c r="K1615" t="s">
        <v>35</v>
      </c>
      <c r="L1615" t="s">
        <v>29</v>
      </c>
      <c r="M1615" t="s">
        <v>30</v>
      </c>
      <c r="N1615" t="s">
        <v>31</v>
      </c>
      <c r="Q1615" t="s">
        <v>4391</v>
      </c>
      <c r="R1615" t="s">
        <v>4392</v>
      </c>
    </row>
    <row r="1616" spans="1:18" x14ac:dyDescent="0.3">
      <c r="A1616" s="2" t="str">
        <f>HYPERLINK(B1616,"Oppna PDF")</f>
        <v>Oppna PDF</v>
      </c>
      <c r="B1616" t="s">
        <v>4393</v>
      </c>
      <c r="C1616" t="s">
        <v>4394</v>
      </c>
      <c r="D1616" t="s">
        <v>4395</v>
      </c>
      <c r="E1616" t="s">
        <v>4396</v>
      </c>
      <c r="H1616" t="s">
        <v>61</v>
      </c>
      <c r="I1616" t="s">
        <v>4387</v>
      </c>
      <c r="J1616" t="s">
        <v>91</v>
      </c>
      <c r="K1616" t="s">
        <v>92</v>
      </c>
      <c r="L1616" t="s">
        <v>29</v>
      </c>
      <c r="M1616" t="s">
        <v>30</v>
      </c>
      <c r="N1616" t="s">
        <v>31</v>
      </c>
      <c r="Q1616" t="s">
        <v>4388</v>
      </c>
      <c r="R1616" t="s">
        <v>4389</v>
      </c>
    </row>
    <row r="1617" spans="1:18" x14ac:dyDescent="0.3">
      <c r="A1617" s="2" t="str">
        <f>HYPERLINK(B1617,"Oppna PDF")</f>
        <v>Oppna PDF</v>
      </c>
      <c r="B1617" t="s">
        <v>4393</v>
      </c>
      <c r="C1617" t="s">
        <v>4397</v>
      </c>
      <c r="D1617" t="s">
        <v>4395</v>
      </c>
      <c r="E1617" t="s">
        <v>4396</v>
      </c>
      <c r="H1617" t="s">
        <v>61</v>
      </c>
      <c r="I1617" t="s">
        <v>4387</v>
      </c>
      <c r="J1617" t="s">
        <v>34</v>
      </c>
      <c r="K1617" t="s">
        <v>35</v>
      </c>
      <c r="L1617" t="s">
        <v>29</v>
      </c>
      <c r="M1617" t="s">
        <v>30</v>
      </c>
      <c r="N1617" t="s">
        <v>31</v>
      </c>
      <c r="Q1617" t="s">
        <v>4391</v>
      </c>
      <c r="R1617" t="s">
        <v>4392</v>
      </c>
    </row>
    <row r="1618" spans="1:18" x14ac:dyDescent="0.3">
      <c r="A1618" s="2" t="str">
        <f>HYPERLINK(B1618,"Oppna PDF")</f>
        <v>Oppna PDF</v>
      </c>
      <c r="B1618" t="s">
        <v>4398</v>
      </c>
      <c r="C1618" t="s">
        <v>4399</v>
      </c>
      <c r="D1618" t="s">
        <v>4400</v>
      </c>
      <c r="E1618" t="s">
        <v>4401</v>
      </c>
      <c r="H1618" t="s">
        <v>25</v>
      </c>
      <c r="I1618" t="s">
        <v>4402</v>
      </c>
      <c r="J1618" t="s">
        <v>34</v>
      </c>
      <c r="K1618" t="s">
        <v>35</v>
      </c>
      <c r="L1618" t="s">
        <v>29</v>
      </c>
      <c r="M1618" t="s">
        <v>30</v>
      </c>
      <c r="N1618" t="s">
        <v>31</v>
      </c>
      <c r="Q1618" t="s">
        <v>4403</v>
      </c>
      <c r="R1618" t="s">
        <v>4404</v>
      </c>
    </row>
    <row r="1619" spans="1:18" x14ac:dyDescent="0.3">
      <c r="A1619" s="2" t="str">
        <f>HYPERLINK(B1619,"Oppna PDF")</f>
        <v>Oppna PDF</v>
      </c>
      <c r="B1619" t="s">
        <v>4398</v>
      </c>
      <c r="C1619" t="s">
        <v>4405</v>
      </c>
      <c r="D1619" t="s">
        <v>4400</v>
      </c>
      <c r="E1619" t="s">
        <v>4401</v>
      </c>
      <c r="H1619" t="s">
        <v>25</v>
      </c>
      <c r="I1619" t="s">
        <v>4402</v>
      </c>
      <c r="J1619" t="s">
        <v>34</v>
      </c>
      <c r="K1619" t="s">
        <v>35</v>
      </c>
      <c r="L1619" t="s">
        <v>29</v>
      </c>
      <c r="M1619" t="s">
        <v>30</v>
      </c>
      <c r="N1619" t="s">
        <v>31</v>
      </c>
      <c r="Q1619" t="s">
        <v>4406</v>
      </c>
      <c r="R1619" t="s">
        <v>4406</v>
      </c>
    </row>
    <row r="1620" spans="1:18" x14ac:dyDescent="0.3">
      <c r="A1620" s="2" t="str">
        <f>HYPERLINK(B1620,"Oppna PDF")</f>
        <v>Oppna PDF</v>
      </c>
      <c r="B1620" t="s">
        <v>4398</v>
      </c>
      <c r="C1620" t="s">
        <v>4407</v>
      </c>
      <c r="D1620" t="s">
        <v>4400</v>
      </c>
      <c r="E1620" t="s">
        <v>4401</v>
      </c>
      <c r="H1620" t="s">
        <v>25</v>
      </c>
      <c r="I1620" t="s">
        <v>4402</v>
      </c>
      <c r="J1620" t="s">
        <v>34</v>
      </c>
      <c r="K1620" t="s">
        <v>35</v>
      </c>
      <c r="L1620" t="s">
        <v>29</v>
      </c>
      <c r="M1620" t="s">
        <v>30</v>
      </c>
      <c r="N1620" t="s">
        <v>31</v>
      </c>
      <c r="Q1620" t="s">
        <v>4408</v>
      </c>
      <c r="R1620" t="s">
        <v>4408</v>
      </c>
    </row>
    <row r="1621" spans="1:18" x14ac:dyDescent="0.3">
      <c r="A1621" s="2" t="str">
        <f>HYPERLINK(B1621,"Oppna PDF")</f>
        <v>Oppna PDF</v>
      </c>
      <c r="B1621" t="s">
        <v>4409</v>
      </c>
      <c r="C1621" t="s">
        <v>4410</v>
      </c>
      <c r="D1621" t="s">
        <v>4400</v>
      </c>
      <c r="E1621" t="s">
        <v>4411</v>
      </c>
      <c r="H1621" t="s">
        <v>25</v>
      </c>
      <c r="I1621" t="s">
        <v>4402</v>
      </c>
      <c r="J1621" t="s">
        <v>87</v>
      </c>
      <c r="K1621" t="s">
        <v>88</v>
      </c>
      <c r="L1621" t="s">
        <v>29</v>
      </c>
      <c r="M1621" t="s">
        <v>30</v>
      </c>
      <c r="N1621" t="s">
        <v>31</v>
      </c>
      <c r="Q1621" t="s">
        <v>4412</v>
      </c>
      <c r="R1621" t="s">
        <v>4412</v>
      </c>
    </row>
    <row r="1622" spans="1:18" x14ac:dyDescent="0.3">
      <c r="A1622" s="2" t="str">
        <f>HYPERLINK(B1622,"Oppna PDF")</f>
        <v>Oppna PDF</v>
      </c>
      <c r="B1622" t="s">
        <v>4409</v>
      </c>
      <c r="C1622" t="s">
        <v>4413</v>
      </c>
      <c r="D1622" t="s">
        <v>4400</v>
      </c>
      <c r="E1622" t="s">
        <v>4411</v>
      </c>
      <c r="H1622" t="s">
        <v>25</v>
      </c>
      <c r="I1622" t="s">
        <v>4402</v>
      </c>
      <c r="J1622" t="s">
        <v>87</v>
      </c>
      <c r="K1622" t="s">
        <v>88</v>
      </c>
      <c r="L1622" t="s">
        <v>29</v>
      </c>
      <c r="M1622" t="s">
        <v>30</v>
      </c>
      <c r="N1622" t="s">
        <v>31</v>
      </c>
      <c r="Q1622" t="s">
        <v>4414</v>
      </c>
      <c r="R1622" t="s">
        <v>4414</v>
      </c>
    </row>
    <row r="1623" spans="1:18" x14ac:dyDescent="0.3">
      <c r="A1623" s="2" t="str">
        <f>HYPERLINK(B1623,"Oppna PDF")</f>
        <v>Oppna PDF</v>
      </c>
      <c r="B1623" t="s">
        <v>4409</v>
      </c>
      <c r="C1623" t="s">
        <v>4415</v>
      </c>
      <c r="D1623" t="s">
        <v>4400</v>
      </c>
      <c r="E1623" t="s">
        <v>4411</v>
      </c>
      <c r="H1623" t="s">
        <v>25</v>
      </c>
      <c r="I1623" t="s">
        <v>4402</v>
      </c>
      <c r="J1623" t="s">
        <v>209</v>
      </c>
      <c r="K1623" t="s">
        <v>210</v>
      </c>
      <c r="L1623" t="s">
        <v>29</v>
      </c>
      <c r="M1623" t="s">
        <v>30</v>
      </c>
      <c r="N1623" t="s">
        <v>31</v>
      </c>
      <c r="Q1623" t="s">
        <v>4416</v>
      </c>
      <c r="R1623" t="s">
        <v>4416</v>
      </c>
    </row>
    <row r="1624" spans="1:18" x14ac:dyDescent="0.3">
      <c r="A1624" s="2" t="str">
        <f>HYPERLINK(B1624,"Oppna PDF")</f>
        <v>Oppna PDF</v>
      </c>
      <c r="B1624" t="s">
        <v>4417</v>
      </c>
      <c r="C1624" t="s">
        <v>4418</v>
      </c>
      <c r="D1624" t="s">
        <v>4400</v>
      </c>
      <c r="E1624" t="s">
        <v>4419</v>
      </c>
      <c r="H1624" t="s">
        <v>25</v>
      </c>
      <c r="I1624" t="s">
        <v>4402</v>
      </c>
      <c r="J1624" t="s">
        <v>87</v>
      </c>
      <c r="K1624" t="s">
        <v>88</v>
      </c>
      <c r="L1624" t="s">
        <v>29</v>
      </c>
      <c r="M1624" t="s">
        <v>30</v>
      </c>
      <c r="N1624" t="s">
        <v>31</v>
      </c>
      <c r="Q1624" t="s">
        <v>4420</v>
      </c>
      <c r="R1624" t="s">
        <v>4420</v>
      </c>
    </row>
    <row r="1625" spans="1:18" x14ac:dyDescent="0.3">
      <c r="A1625" s="2" t="str">
        <f>HYPERLINK(B1625,"Oppna PDF")</f>
        <v>Oppna PDF</v>
      </c>
      <c r="B1625" t="s">
        <v>4417</v>
      </c>
      <c r="C1625" t="s">
        <v>4421</v>
      </c>
      <c r="D1625" t="s">
        <v>4400</v>
      </c>
      <c r="E1625" t="s">
        <v>4419</v>
      </c>
      <c r="H1625" t="s">
        <v>25</v>
      </c>
      <c r="I1625" t="s">
        <v>4402</v>
      </c>
      <c r="J1625" t="s">
        <v>209</v>
      </c>
      <c r="K1625" t="s">
        <v>210</v>
      </c>
      <c r="L1625" t="s">
        <v>29</v>
      </c>
      <c r="M1625" t="s">
        <v>30</v>
      </c>
      <c r="N1625" t="s">
        <v>31</v>
      </c>
      <c r="Q1625" t="s">
        <v>4422</v>
      </c>
      <c r="R1625" t="s">
        <v>4422</v>
      </c>
    </row>
    <row r="1626" spans="1:18" x14ac:dyDescent="0.3">
      <c r="A1626" s="2" t="str">
        <f>HYPERLINK(B1626,"Oppna PDF")</f>
        <v>Oppna PDF</v>
      </c>
      <c r="B1626" t="s">
        <v>4417</v>
      </c>
      <c r="C1626" t="s">
        <v>4423</v>
      </c>
      <c r="D1626" t="s">
        <v>4400</v>
      </c>
      <c r="E1626" t="s">
        <v>4419</v>
      </c>
      <c r="H1626" t="s">
        <v>25</v>
      </c>
      <c r="I1626" t="s">
        <v>4402</v>
      </c>
      <c r="J1626" t="s">
        <v>209</v>
      </c>
      <c r="K1626" t="s">
        <v>210</v>
      </c>
      <c r="L1626" t="s">
        <v>29</v>
      </c>
      <c r="M1626" t="s">
        <v>30</v>
      </c>
      <c r="N1626" t="s">
        <v>31</v>
      </c>
      <c r="Q1626" t="s">
        <v>4424</v>
      </c>
      <c r="R1626" t="s">
        <v>4424</v>
      </c>
    </row>
    <row r="1627" spans="1:18" x14ac:dyDescent="0.3">
      <c r="A1627" s="2" t="str">
        <f>HYPERLINK(B1627,"Oppna PDF")</f>
        <v>Oppna PDF</v>
      </c>
      <c r="B1627" t="s">
        <v>4425</v>
      </c>
      <c r="C1627" t="s">
        <v>4426</v>
      </c>
      <c r="D1627" t="s">
        <v>4400</v>
      </c>
      <c r="E1627" t="s">
        <v>4427</v>
      </c>
      <c r="H1627" t="s">
        <v>25</v>
      </c>
      <c r="I1627" t="s">
        <v>4402</v>
      </c>
      <c r="J1627" t="s">
        <v>87</v>
      </c>
      <c r="K1627" t="s">
        <v>88</v>
      </c>
      <c r="L1627" t="s">
        <v>29</v>
      </c>
      <c r="M1627" t="s">
        <v>30</v>
      </c>
      <c r="N1627" t="s">
        <v>31</v>
      </c>
      <c r="Q1627" t="s">
        <v>4428</v>
      </c>
      <c r="R1627" t="s">
        <v>4428</v>
      </c>
    </row>
    <row r="1628" spans="1:18" x14ac:dyDescent="0.3">
      <c r="A1628" s="2" t="str">
        <f>HYPERLINK(B1628,"Oppna PDF")</f>
        <v>Oppna PDF</v>
      </c>
      <c r="B1628" t="s">
        <v>4425</v>
      </c>
      <c r="C1628" t="s">
        <v>4429</v>
      </c>
      <c r="D1628" t="s">
        <v>4400</v>
      </c>
      <c r="E1628" t="s">
        <v>4427</v>
      </c>
      <c r="H1628" t="s">
        <v>25</v>
      </c>
      <c r="I1628" t="s">
        <v>4402</v>
      </c>
      <c r="J1628" t="s">
        <v>87</v>
      </c>
      <c r="K1628" t="s">
        <v>88</v>
      </c>
      <c r="L1628" t="s">
        <v>29</v>
      </c>
      <c r="M1628" t="s">
        <v>30</v>
      </c>
      <c r="N1628" t="s">
        <v>31</v>
      </c>
      <c r="Q1628" t="s">
        <v>4414</v>
      </c>
      <c r="R1628" t="s">
        <v>4414</v>
      </c>
    </row>
    <row r="1629" spans="1:18" x14ac:dyDescent="0.3">
      <c r="A1629" s="2" t="str">
        <f>HYPERLINK(B1629,"Oppna PDF")</f>
        <v>Oppna PDF</v>
      </c>
      <c r="B1629" t="s">
        <v>4425</v>
      </c>
      <c r="C1629" t="s">
        <v>4430</v>
      </c>
      <c r="D1629" t="s">
        <v>4400</v>
      </c>
      <c r="E1629" t="s">
        <v>4427</v>
      </c>
      <c r="H1629" t="s">
        <v>25</v>
      </c>
      <c r="I1629" t="s">
        <v>4402</v>
      </c>
      <c r="J1629" t="s">
        <v>209</v>
      </c>
      <c r="K1629" t="s">
        <v>210</v>
      </c>
      <c r="L1629" t="s">
        <v>29</v>
      </c>
      <c r="M1629" t="s">
        <v>30</v>
      </c>
      <c r="N1629" t="s">
        <v>31</v>
      </c>
      <c r="Q1629" t="s">
        <v>4416</v>
      </c>
      <c r="R1629" t="s">
        <v>4416</v>
      </c>
    </row>
    <row r="1630" spans="1:18" x14ac:dyDescent="0.3">
      <c r="A1630" s="2" t="str">
        <f>HYPERLINK(B1630,"Oppna PDF")</f>
        <v>Oppna PDF</v>
      </c>
      <c r="B1630" t="s">
        <v>4431</v>
      </c>
      <c r="C1630" t="s">
        <v>4432</v>
      </c>
      <c r="D1630" t="s">
        <v>4400</v>
      </c>
      <c r="E1630" t="s">
        <v>4433</v>
      </c>
      <c r="H1630" t="s">
        <v>25</v>
      </c>
      <c r="I1630" t="s">
        <v>4402</v>
      </c>
      <c r="J1630" t="s">
        <v>38</v>
      </c>
      <c r="K1630" t="s">
        <v>39</v>
      </c>
      <c r="L1630" t="s">
        <v>29</v>
      </c>
      <c r="M1630" t="s">
        <v>30</v>
      </c>
      <c r="N1630" t="s">
        <v>31</v>
      </c>
      <c r="Q1630" t="s">
        <v>4434</v>
      </c>
      <c r="R1630" t="s">
        <v>4435</v>
      </c>
    </row>
    <row r="1631" spans="1:18" x14ac:dyDescent="0.3">
      <c r="A1631" s="2" t="str">
        <f>HYPERLINK(B1631,"Oppna PDF")</f>
        <v>Oppna PDF</v>
      </c>
      <c r="B1631" t="s">
        <v>4431</v>
      </c>
      <c r="C1631" t="s">
        <v>4436</v>
      </c>
      <c r="D1631" t="s">
        <v>4400</v>
      </c>
      <c r="E1631" t="s">
        <v>4433</v>
      </c>
      <c r="H1631" t="s">
        <v>25</v>
      </c>
      <c r="I1631" t="s">
        <v>4402</v>
      </c>
      <c r="J1631" t="s">
        <v>38</v>
      </c>
      <c r="K1631" t="s">
        <v>39</v>
      </c>
      <c r="L1631" t="s">
        <v>29</v>
      </c>
      <c r="M1631" t="s">
        <v>30</v>
      </c>
      <c r="N1631" t="s">
        <v>31</v>
      </c>
      <c r="Q1631" t="s">
        <v>4437</v>
      </c>
      <c r="R1631" t="s">
        <v>4437</v>
      </c>
    </row>
    <row r="1632" spans="1:18" x14ac:dyDescent="0.3">
      <c r="A1632" s="2" t="str">
        <f>HYPERLINK(B1632,"Oppna PDF")</f>
        <v>Oppna PDF</v>
      </c>
      <c r="B1632" t="s">
        <v>4431</v>
      </c>
      <c r="C1632" t="s">
        <v>4438</v>
      </c>
      <c r="D1632" t="s">
        <v>4400</v>
      </c>
      <c r="E1632" t="s">
        <v>4433</v>
      </c>
      <c r="H1632" t="s">
        <v>25</v>
      </c>
      <c r="I1632" t="s">
        <v>4402</v>
      </c>
      <c r="J1632" t="s">
        <v>38</v>
      </c>
      <c r="K1632" t="s">
        <v>39</v>
      </c>
      <c r="L1632" t="s">
        <v>29</v>
      </c>
      <c r="M1632" t="s">
        <v>30</v>
      </c>
      <c r="N1632" t="s">
        <v>31</v>
      </c>
      <c r="Q1632" t="s">
        <v>4439</v>
      </c>
      <c r="R1632" t="s">
        <v>4439</v>
      </c>
    </row>
    <row r="1633" spans="1:18" x14ac:dyDescent="0.3">
      <c r="A1633" s="2" t="str">
        <f>HYPERLINK(B1633,"Oppna PDF")</f>
        <v>Oppna PDF</v>
      </c>
      <c r="B1633" t="s">
        <v>4440</v>
      </c>
      <c r="C1633" t="s">
        <v>4441</v>
      </c>
      <c r="D1633" t="s">
        <v>4400</v>
      </c>
      <c r="E1633" t="s">
        <v>4442</v>
      </c>
      <c r="H1633" t="s">
        <v>25</v>
      </c>
      <c r="I1633" t="s">
        <v>4402</v>
      </c>
      <c r="J1633" t="s">
        <v>87</v>
      </c>
      <c r="K1633" t="s">
        <v>88</v>
      </c>
      <c r="L1633" t="s">
        <v>29</v>
      </c>
      <c r="M1633" t="s">
        <v>30</v>
      </c>
      <c r="N1633" t="s">
        <v>31</v>
      </c>
      <c r="Q1633" t="s">
        <v>4443</v>
      </c>
      <c r="R1633" t="s">
        <v>4444</v>
      </c>
    </row>
    <row r="1634" spans="1:18" x14ac:dyDescent="0.3">
      <c r="A1634" s="2" t="str">
        <f>HYPERLINK(B1634,"Oppna PDF")</f>
        <v>Oppna PDF</v>
      </c>
      <c r="B1634" t="s">
        <v>4440</v>
      </c>
      <c r="C1634" t="s">
        <v>4445</v>
      </c>
      <c r="D1634" t="s">
        <v>4400</v>
      </c>
      <c r="E1634" t="s">
        <v>4442</v>
      </c>
      <c r="H1634" t="s">
        <v>25</v>
      </c>
      <c r="I1634" t="s">
        <v>4402</v>
      </c>
      <c r="J1634" t="s">
        <v>38</v>
      </c>
      <c r="K1634" t="s">
        <v>39</v>
      </c>
      <c r="L1634" t="s">
        <v>29</v>
      </c>
      <c r="M1634" t="s">
        <v>30</v>
      </c>
      <c r="N1634" t="s">
        <v>31</v>
      </c>
      <c r="Q1634" t="s">
        <v>4446</v>
      </c>
      <c r="R1634" t="s">
        <v>4446</v>
      </c>
    </row>
    <row r="1635" spans="1:18" x14ac:dyDescent="0.3">
      <c r="A1635" s="2" t="str">
        <f>HYPERLINK(B1635,"Oppna PDF")</f>
        <v>Oppna PDF</v>
      </c>
      <c r="B1635" t="s">
        <v>4440</v>
      </c>
      <c r="C1635" t="s">
        <v>4447</v>
      </c>
      <c r="D1635" t="s">
        <v>4400</v>
      </c>
      <c r="E1635" t="s">
        <v>4442</v>
      </c>
      <c r="H1635" t="s">
        <v>25</v>
      </c>
      <c r="I1635" t="s">
        <v>4402</v>
      </c>
      <c r="J1635" t="s">
        <v>209</v>
      </c>
      <c r="K1635" t="s">
        <v>210</v>
      </c>
      <c r="L1635" t="s">
        <v>29</v>
      </c>
      <c r="M1635" t="s">
        <v>30</v>
      </c>
      <c r="N1635" t="s">
        <v>31</v>
      </c>
      <c r="Q1635" t="s">
        <v>4448</v>
      </c>
      <c r="R1635" t="s">
        <v>4448</v>
      </c>
    </row>
    <row r="1636" spans="1:18" x14ac:dyDescent="0.3">
      <c r="A1636" s="2" t="str">
        <f>HYPERLINK(B1636,"Oppna PDF")</f>
        <v>Oppna PDF</v>
      </c>
      <c r="B1636" t="s">
        <v>4449</v>
      </c>
      <c r="C1636" t="s">
        <v>4450</v>
      </c>
      <c r="D1636" t="s">
        <v>4451</v>
      </c>
      <c r="E1636" t="s">
        <v>4452</v>
      </c>
      <c r="H1636" t="s">
        <v>25</v>
      </c>
      <c r="I1636" t="s">
        <v>4402</v>
      </c>
      <c r="J1636" t="s">
        <v>34</v>
      </c>
      <c r="K1636" t="s">
        <v>35</v>
      </c>
      <c r="L1636" t="s">
        <v>29</v>
      </c>
      <c r="M1636" t="s">
        <v>30</v>
      </c>
      <c r="N1636" t="s">
        <v>31</v>
      </c>
      <c r="Q1636" t="s">
        <v>4403</v>
      </c>
      <c r="R1636" t="s">
        <v>4404</v>
      </c>
    </row>
    <row r="1637" spans="1:18" x14ac:dyDescent="0.3">
      <c r="A1637" s="2" t="str">
        <f>HYPERLINK(B1637,"Oppna PDF")</f>
        <v>Oppna PDF</v>
      </c>
      <c r="B1637" t="s">
        <v>4449</v>
      </c>
      <c r="C1637" t="s">
        <v>4453</v>
      </c>
      <c r="D1637" t="s">
        <v>4451</v>
      </c>
      <c r="E1637" t="s">
        <v>4452</v>
      </c>
      <c r="H1637" t="s">
        <v>25</v>
      </c>
      <c r="I1637" t="s">
        <v>4402</v>
      </c>
      <c r="J1637" t="s">
        <v>34</v>
      </c>
      <c r="K1637" t="s">
        <v>35</v>
      </c>
      <c r="L1637" t="s">
        <v>29</v>
      </c>
      <c r="M1637" t="s">
        <v>30</v>
      </c>
      <c r="N1637" t="s">
        <v>31</v>
      </c>
      <c r="Q1637" t="s">
        <v>4406</v>
      </c>
      <c r="R1637" t="s">
        <v>4406</v>
      </c>
    </row>
    <row r="1638" spans="1:18" x14ac:dyDescent="0.3">
      <c r="A1638" s="2" t="str">
        <f>HYPERLINK(B1638,"Oppna PDF")</f>
        <v>Oppna PDF</v>
      </c>
      <c r="B1638" t="s">
        <v>4449</v>
      </c>
      <c r="C1638" t="s">
        <v>4454</v>
      </c>
      <c r="D1638" t="s">
        <v>4451</v>
      </c>
      <c r="E1638" t="s">
        <v>4452</v>
      </c>
      <c r="H1638" t="s">
        <v>25</v>
      </c>
      <c r="I1638" t="s">
        <v>4402</v>
      </c>
      <c r="J1638" t="s">
        <v>34</v>
      </c>
      <c r="K1638" t="s">
        <v>35</v>
      </c>
      <c r="L1638" t="s">
        <v>29</v>
      </c>
      <c r="M1638" t="s">
        <v>30</v>
      </c>
      <c r="N1638" t="s">
        <v>31</v>
      </c>
      <c r="Q1638" t="s">
        <v>4408</v>
      </c>
      <c r="R1638" t="s">
        <v>4408</v>
      </c>
    </row>
    <row r="1639" spans="1:18" x14ac:dyDescent="0.3">
      <c r="A1639" s="2" t="str">
        <f>HYPERLINK(B1639,"Oppna PDF")</f>
        <v>Oppna PDF</v>
      </c>
      <c r="B1639" t="s">
        <v>4455</v>
      </c>
      <c r="C1639" t="s">
        <v>4456</v>
      </c>
      <c r="D1639" t="s">
        <v>4451</v>
      </c>
      <c r="E1639" t="s">
        <v>4457</v>
      </c>
      <c r="H1639" t="s">
        <v>25</v>
      </c>
      <c r="I1639" t="s">
        <v>4402</v>
      </c>
      <c r="J1639" t="s">
        <v>87</v>
      </c>
      <c r="K1639" t="s">
        <v>88</v>
      </c>
      <c r="L1639" t="s">
        <v>29</v>
      </c>
      <c r="M1639" t="s">
        <v>30</v>
      </c>
      <c r="N1639" t="s">
        <v>31</v>
      </c>
      <c r="Q1639" t="s">
        <v>4412</v>
      </c>
      <c r="R1639" t="s">
        <v>4412</v>
      </c>
    </row>
    <row r="1640" spans="1:18" x14ac:dyDescent="0.3">
      <c r="A1640" s="2" t="str">
        <f>HYPERLINK(B1640,"Oppna PDF")</f>
        <v>Oppna PDF</v>
      </c>
      <c r="B1640" t="s">
        <v>4455</v>
      </c>
      <c r="C1640" t="s">
        <v>4458</v>
      </c>
      <c r="D1640" t="s">
        <v>4451</v>
      </c>
      <c r="E1640" t="s">
        <v>4457</v>
      </c>
      <c r="H1640" t="s">
        <v>25</v>
      </c>
      <c r="I1640" t="s">
        <v>4402</v>
      </c>
      <c r="J1640" t="s">
        <v>87</v>
      </c>
      <c r="K1640" t="s">
        <v>88</v>
      </c>
      <c r="L1640" t="s">
        <v>29</v>
      </c>
      <c r="M1640" t="s">
        <v>30</v>
      </c>
      <c r="N1640" t="s">
        <v>31</v>
      </c>
      <c r="Q1640" t="s">
        <v>4414</v>
      </c>
      <c r="R1640" t="s">
        <v>4414</v>
      </c>
    </row>
    <row r="1641" spans="1:18" x14ac:dyDescent="0.3">
      <c r="A1641" s="2" t="str">
        <f>HYPERLINK(B1641,"Oppna PDF")</f>
        <v>Oppna PDF</v>
      </c>
      <c r="B1641" t="s">
        <v>4455</v>
      </c>
      <c r="C1641" t="s">
        <v>4459</v>
      </c>
      <c r="D1641" t="s">
        <v>4451</v>
      </c>
      <c r="E1641" t="s">
        <v>4457</v>
      </c>
      <c r="H1641" t="s">
        <v>25</v>
      </c>
      <c r="I1641" t="s">
        <v>4402</v>
      </c>
      <c r="J1641" t="s">
        <v>209</v>
      </c>
      <c r="K1641" t="s">
        <v>210</v>
      </c>
      <c r="L1641" t="s">
        <v>29</v>
      </c>
      <c r="M1641" t="s">
        <v>30</v>
      </c>
      <c r="N1641" t="s">
        <v>31</v>
      </c>
      <c r="Q1641" t="s">
        <v>4416</v>
      </c>
      <c r="R1641" t="s">
        <v>4416</v>
      </c>
    </row>
    <row r="1642" spans="1:18" x14ac:dyDescent="0.3">
      <c r="A1642" s="2" t="str">
        <f>HYPERLINK(B1642,"Oppna PDF")</f>
        <v>Oppna PDF</v>
      </c>
      <c r="B1642" t="s">
        <v>4460</v>
      </c>
      <c r="C1642" t="s">
        <v>4461</v>
      </c>
      <c r="D1642" t="s">
        <v>4451</v>
      </c>
      <c r="E1642" t="s">
        <v>4462</v>
      </c>
      <c r="H1642" t="s">
        <v>25</v>
      </c>
      <c r="I1642" t="s">
        <v>4402</v>
      </c>
      <c r="J1642" t="s">
        <v>87</v>
      </c>
      <c r="K1642" t="s">
        <v>88</v>
      </c>
      <c r="L1642" t="s">
        <v>29</v>
      </c>
      <c r="M1642" t="s">
        <v>30</v>
      </c>
      <c r="N1642" t="s">
        <v>31</v>
      </c>
      <c r="Q1642" t="s">
        <v>4420</v>
      </c>
      <c r="R1642" t="s">
        <v>4420</v>
      </c>
    </row>
    <row r="1643" spans="1:18" x14ac:dyDescent="0.3">
      <c r="A1643" s="2" t="str">
        <f>HYPERLINK(B1643,"Oppna PDF")</f>
        <v>Oppna PDF</v>
      </c>
      <c r="B1643" t="s">
        <v>4460</v>
      </c>
      <c r="C1643" t="s">
        <v>4463</v>
      </c>
      <c r="D1643" t="s">
        <v>4451</v>
      </c>
      <c r="E1643" t="s">
        <v>4462</v>
      </c>
      <c r="H1643" t="s">
        <v>25</v>
      </c>
      <c r="I1643" t="s">
        <v>4402</v>
      </c>
      <c r="J1643" t="s">
        <v>209</v>
      </c>
      <c r="K1643" t="s">
        <v>210</v>
      </c>
      <c r="L1643" t="s">
        <v>29</v>
      </c>
      <c r="M1643" t="s">
        <v>30</v>
      </c>
      <c r="N1643" t="s">
        <v>31</v>
      </c>
      <c r="Q1643" t="s">
        <v>4422</v>
      </c>
      <c r="R1643" t="s">
        <v>4422</v>
      </c>
    </row>
    <row r="1644" spans="1:18" x14ac:dyDescent="0.3">
      <c r="A1644" s="2" t="str">
        <f>HYPERLINK(B1644,"Oppna PDF")</f>
        <v>Oppna PDF</v>
      </c>
      <c r="B1644" t="s">
        <v>4460</v>
      </c>
      <c r="C1644" t="s">
        <v>4464</v>
      </c>
      <c r="D1644" t="s">
        <v>4451</v>
      </c>
      <c r="E1644" t="s">
        <v>4462</v>
      </c>
      <c r="H1644" t="s">
        <v>25</v>
      </c>
      <c r="I1644" t="s">
        <v>4402</v>
      </c>
      <c r="J1644" t="s">
        <v>209</v>
      </c>
      <c r="K1644" t="s">
        <v>210</v>
      </c>
      <c r="L1644" t="s">
        <v>29</v>
      </c>
      <c r="M1644" t="s">
        <v>30</v>
      </c>
      <c r="N1644" t="s">
        <v>31</v>
      </c>
      <c r="Q1644" t="s">
        <v>4424</v>
      </c>
      <c r="R1644" t="s">
        <v>4424</v>
      </c>
    </row>
    <row r="1645" spans="1:18" x14ac:dyDescent="0.3">
      <c r="A1645" s="2" t="str">
        <f>HYPERLINK(B1645,"Oppna PDF")</f>
        <v>Oppna PDF</v>
      </c>
      <c r="B1645" t="s">
        <v>4465</v>
      </c>
      <c r="C1645" t="s">
        <v>4466</v>
      </c>
      <c r="D1645" t="s">
        <v>4451</v>
      </c>
      <c r="E1645" t="s">
        <v>4467</v>
      </c>
      <c r="H1645" t="s">
        <v>25</v>
      </c>
      <c r="I1645" t="s">
        <v>4402</v>
      </c>
      <c r="J1645" t="s">
        <v>87</v>
      </c>
      <c r="K1645" t="s">
        <v>88</v>
      </c>
      <c r="L1645" t="s">
        <v>29</v>
      </c>
      <c r="M1645" t="s">
        <v>30</v>
      </c>
      <c r="N1645" t="s">
        <v>31</v>
      </c>
      <c r="Q1645" t="s">
        <v>4428</v>
      </c>
      <c r="R1645" t="s">
        <v>4428</v>
      </c>
    </row>
    <row r="1646" spans="1:18" x14ac:dyDescent="0.3">
      <c r="A1646" s="2" t="str">
        <f>HYPERLINK(B1646,"Oppna PDF")</f>
        <v>Oppna PDF</v>
      </c>
      <c r="B1646" t="s">
        <v>4465</v>
      </c>
      <c r="C1646" t="s">
        <v>4468</v>
      </c>
      <c r="D1646" t="s">
        <v>4451</v>
      </c>
      <c r="E1646" t="s">
        <v>4467</v>
      </c>
      <c r="H1646" t="s">
        <v>25</v>
      </c>
      <c r="I1646" t="s">
        <v>4402</v>
      </c>
      <c r="J1646" t="s">
        <v>87</v>
      </c>
      <c r="K1646" t="s">
        <v>88</v>
      </c>
      <c r="L1646" t="s">
        <v>29</v>
      </c>
      <c r="M1646" t="s">
        <v>30</v>
      </c>
      <c r="N1646" t="s">
        <v>31</v>
      </c>
      <c r="Q1646" t="s">
        <v>4414</v>
      </c>
      <c r="R1646" t="s">
        <v>4414</v>
      </c>
    </row>
    <row r="1647" spans="1:18" x14ac:dyDescent="0.3">
      <c r="A1647" s="2" t="str">
        <f>HYPERLINK(B1647,"Oppna PDF")</f>
        <v>Oppna PDF</v>
      </c>
      <c r="B1647" t="s">
        <v>4465</v>
      </c>
      <c r="C1647" t="s">
        <v>4469</v>
      </c>
      <c r="D1647" t="s">
        <v>4451</v>
      </c>
      <c r="E1647" t="s">
        <v>4467</v>
      </c>
      <c r="H1647" t="s">
        <v>25</v>
      </c>
      <c r="I1647" t="s">
        <v>4402</v>
      </c>
      <c r="J1647" t="s">
        <v>209</v>
      </c>
      <c r="K1647" t="s">
        <v>210</v>
      </c>
      <c r="L1647" t="s">
        <v>29</v>
      </c>
      <c r="M1647" t="s">
        <v>30</v>
      </c>
      <c r="N1647" t="s">
        <v>31</v>
      </c>
      <c r="Q1647" t="s">
        <v>4416</v>
      </c>
      <c r="R1647" t="s">
        <v>4416</v>
      </c>
    </row>
    <row r="1648" spans="1:18" x14ac:dyDescent="0.3">
      <c r="A1648" s="2" t="str">
        <f>HYPERLINK(B1648,"Oppna PDF")</f>
        <v>Oppna PDF</v>
      </c>
      <c r="B1648" t="s">
        <v>4470</v>
      </c>
      <c r="C1648" t="s">
        <v>4471</v>
      </c>
      <c r="D1648" t="s">
        <v>4451</v>
      </c>
      <c r="E1648" t="s">
        <v>4472</v>
      </c>
      <c r="H1648" t="s">
        <v>25</v>
      </c>
      <c r="I1648" t="s">
        <v>4402</v>
      </c>
      <c r="J1648" t="s">
        <v>38</v>
      </c>
      <c r="K1648" t="s">
        <v>39</v>
      </c>
      <c r="L1648" t="s">
        <v>29</v>
      </c>
      <c r="M1648" t="s">
        <v>30</v>
      </c>
      <c r="N1648" t="s">
        <v>31</v>
      </c>
      <c r="Q1648" t="s">
        <v>4434</v>
      </c>
      <c r="R1648" t="s">
        <v>4435</v>
      </c>
    </row>
    <row r="1649" spans="1:18" x14ac:dyDescent="0.3">
      <c r="A1649" s="2" t="str">
        <f>HYPERLINK(B1649,"Oppna PDF")</f>
        <v>Oppna PDF</v>
      </c>
      <c r="B1649" t="s">
        <v>4470</v>
      </c>
      <c r="C1649" t="s">
        <v>4473</v>
      </c>
      <c r="D1649" t="s">
        <v>4451</v>
      </c>
      <c r="E1649" t="s">
        <v>4472</v>
      </c>
      <c r="H1649" t="s">
        <v>25</v>
      </c>
      <c r="I1649" t="s">
        <v>4402</v>
      </c>
      <c r="J1649" t="s">
        <v>38</v>
      </c>
      <c r="K1649" t="s">
        <v>39</v>
      </c>
      <c r="L1649" t="s">
        <v>29</v>
      </c>
      <c r="M1649" t="s">
        <v>30</v>
      </c>
      <c r="N1649" t="s">
        <v>31</v>
      </c>
      <c r="Q1649" t="s">
        <v>4437</v>
      </c>
      <c r="R1649" t="s">
        <v>4437</v>
      </c>
    </row>
    <row r="1650" spans="1:18" x14ac:dyDescent="0.3">
      <c r="A1650" s="2" t="str">
        <f>HYPERLINK(B1650,"Oppna PDF")</f>
        <v>Oppna PDF</v>
      </c>
      <c r="B1650" t="s">
        <v>4470</v>
      </c>
      <c r="C1650" t="s">
        <v>4474</v>
      </c>
      <c r="D1650" t="s">
        <v>4451</v>
      </c>
      <c r="E1650" t="s">
        <v>4472</v>
      </c>
      <c r="H1650" t="s">
        <v>25</v>
      </c>
      <c r="I1650" t="s">
        <v>4402</v>
      </c>
      <c r="J1650" t="s">
        <v>38</v>
      </c>
      <c r="K1650" t="s">
        <v>39</v>
      </c>
      <c r="L1650" t="s">
        <v>29</v>
      </c>
      <c r="M1650" t="s">
        <v>30</v>
      </c>
      <c r="N1650" t="s">
        <v>31</v>
      </c>
      <c r="Q1650" t="s">
        <v>4439</v>
      </c>
      <c r="R1650" t="s">
        <v>4439</v>
      </c>
    </row>
    <row r="1651" spans="1:18" x14ac:dyDescent="0.3">
      <c r="A1651" s="2" t="str">
        <f>HYPERLINK(B1651,"Oppna PDF")</f>
        <v>Oppna PDF</v>
      </c>
      <c r="B1651" t="s">
        <v>4475</v>
      </c>
      <c r="C1651" t="s">
        <v>4476</v>
      </c>
      <c r="D1651" t="s">
        <v>4451</v>
      </c>
      <c r="E1651" t="s">
        <v>4477</v>
      </c>
      <c r="H1651" t="s">
        <v>25</v>
      </c>
      <c r="I1651" t="s">
        <v>4402</v>
      </c>
      <c r="J1651" t="s">
        <v>87</v>
      </c>
      <c r="K1651" t="s">
        <v>88</v>
      </c>
      <c r="L1651" t="s">
        <v>29</v>
      </c>
      <c r="M1651" t="s">
        <v>30</v>
      </c>
      <c r="N1651" t="s">
        <v>31</v>
      </c>
      <c r="Q1651" t="s">
        <v>4443</v>
      </c>
      <c r="R1651" t="s">
        <v>4444</v>
      </c>
    </row>
    <row r="1652" spans="1:18" x14ac:dyDescent="0.3">
      <c r="A1652" s="2" t="str">
        <f>HYPERLINK(B1652,"Oppna PDF")</f>
        <v>Oppna PDF</v>
      </c>
      <c r="B1652" t="s">
        <v>4475</v>
      </c>
      <c r="C1652" t="s">
        <v>4478</v>
      </c>
      <c r="D1652" t="s">
        <v>4451</v>
      </c>
      <c r="E1652" t="s">
        <v>4477</v>
      </c>
      <c r="H1652" t="s">
        <v>25</v>
      </c>
      <c r="I1652" t="s">
        <v>4402</v>
      </c>
      <c r="J1652" t="s">
        <v>38</v>
      </c>
      <c r="K1652" t="s">
        <v>39</v>
      </c>
      <c r="L1652" t="s">
        <v>29</v>
      </c>
      <c r="M1652" t="s">
        <v>30</v>
      </c>
      <c r="N1652" t="s">
        <v>31</v>
      </c>
      <c r="Q1652" t="s">
        <v>4446</v>
      </c>
      <c r="R1652" t="s">
        <v>4446</v>
      </c>
    </row>
    <row r="1653" spans="1:18" x14ac:dyDescent="0.3">
      <c r="A1653" s="2" t="str">
        <f>HYPERLINK(B1653,"Oppna PDF")</f>
        <v>Oppna PDF</v>
      </c>
      <c r="B1653" t="s">
        <v>4475</v>
      </c>
      <c r="C1653" t="s">
        <v>4479</v>
      </c>
      <c r="D1653" t="s">
        <v>4451</v>
      </c>
      <c r="E1653" t="s">
        <v>4477</v>
      </c>
      <c r="H1653" t="s">
        <v>25</v>
      </c>
      <c r="I1653" t="s">
        <v>4402</v>
      </c>
      <c r="J1653" t="s">
        <v>209</v>
      </c>
      <c r="K1653" t="s">
        <v>210</v>
      </c>
      <c r="L1653" t="s">
        <v>29</v>
      </c>
      <c r="M1653" t="s">
        <v>30</v>
      </c>
      <c r="N1653" t="s">
        <v>31</v>
      </c>
      <c r="Q1653" t="s">
        <v>4448</v>
      </c>
      <c r="R1653" t="s">
        <v>4448</v>
      </c>
    </row>
    <row r="1654" spans="1:18" x14ac:dyDescent="0.3">
      <c r="A1654" s="2" t="str">
        <f>HYPERLINK(B1654,"Oppna PDF")</f>
        <v>Oppna PDF</v>
      </c>
      <c r="B1654" t="s">
        <v>4480</v>
      </c>
      <c r="C1654" t="s">
        <v>4481</v>
      </c>
      <c r="D1654" t="s">
        <v>4482</v>
      </c>
      <c r="E1654" t="s">
        <v>4483</v>
      </c>
      <c r="F1654" t="s">
        <v>4484</v>
      </c>
      <c r="G1654" t="s">
        <v>4485</v>
      </c>
      <c r="H1654" t="s">
        <v>61</v>
      </c>
      <c r="I1654" t="s">
        <v>4486</v>
      </c>
      <c r="J1654" t="s">
        <v>27</v>
      </c>
      <c r="K1654" t="s">
        <v>28</v>
      </c>
      <c r="L1654" t="s">
        <v>29</v>
      </c>
      <c r="M1654" t="s">
        <v>30</v>
      </c>
      <c r="N1654" t="s">
        <v>31</v>
      </c>
      <c r="Q1654" t="s">
        <v>4487</v>
      </c>
      <c r="R1654" t="s">
        <v>4487</v>
      </c>
    </row>
    <row r="1655" spans="1:18" x14ac:dyDescent="0.3">
      <c r="A1655" s="2" t="str">
        <f>HYPERLINK(B1655,"Oppna PDF")</f>
        <v>Oppna PDF</v>
      </c>
      <c r="B1655" t="s">
        <v>4480</v>
      </c>
      <c r="C1655" t="s">
        <v>4488</v>
      </c>
      <c r="D1655" t="s">
        <v>4482</v>
      </c>
      <c r="E1655" t="s">
        <v>4483</v>
      </c>
      <c r="F1655" t="s">
        <v>4484</v>
      </c>
      <c r="G1655" t="s">
        <v>4485</v>
      </c>
      <c r="H1655" t="s">
        <v>61</v>
      </c>
      <c r="I1655" t="s">
        <v>4486</v>
      </c>
      <c r="J1655" t="s">
        <v>91</v>
      </c>
      <c r="K1655" t="s">
        <v>92</v>
      </c>
      <c r="L1655" t="s">
        <v>29</v>
      </c>
      <c r="M1655" t="s">
        <v>30</v>
      </c>
      <c r="N1655" t="s">
        <v>31</v>
      </c>
      <c r="Q1655" t="s">
        <v>4489</v>
      </c>
      <c r="R1655" t="s">
        <v>4490</v>
      </c>
    </row>
    <row r="1656" spans="1:18" x14ac:dyDescent="0.3">
      <c r="A1656" s="2" t="str">
        <f>HYPERLINK(B1656,"Oppna PDF")</f>
        <v>Oppna PDF</v>
      </c>
      <c r="B1656" t="s">
        <v>4480</v>
      </c>
      <c r="C1656" t="s">
        <v>4491</v>
      </c>
      <c r="D1656" t="s">
        <v>4482</v>
      </c>
      <c r="E1656" t="s">
        <v>4483</v>
      </c>
      <c r="F1656" t="s">
        <v>4484</v>
      </c>
      <c r="G1656" t="s">
        <v>4485</v>
      </c>
      <c r="H1656" t="s">
        <v>61</v>
      </c>
      <c r="I1656" t="s">
        <v>4486</v>
      </c>
      <c r="J1656" t="s">
        <v>34</v>
      </c>
      <c r="K1656" t="s">
        <v>35</v>
      </c>
      <c r="L1656" t="s">
        <v>29</v>
      </c>
      <c r="M1656" t="s">
        <v>30</v>
      </c>
      <c r="N1656" t="s">
        <v>31</v>
      </c>
      <c r="Q1656" t="s">
        <v>4492</v>
      </c>
      <c r="R1656" t="s">
        <v>4492</v>
      </c>
    </row>
    <row r="1657" spans="1:18" x14ac:dyDescent="0.3">
      <c r="A1657" s="2" t="str">
        <f>HYPERLINK(B1657,"Oppna PDF")</f>
        <v>Oppna PDF</v>
      </c>
      <c r="B1657" t="s">
        <v>4493</v>
      </c>
      <c r="C1657" t="s">
        <v>4494</v>
      </c>
      <c r="D1657" t="s">
        <v>4482</v>
      </c>
      <c r="E1657" t="s">
        <v>4495</v>
      </c>
      <c r="F1657" t="s">
        <v>4484</v>
      </c>
      <c r="G1657" t="s">
        <v>4485</v>
      </c>
      <c r="H1657" t="s">
        <v>61</v>
      </c>
      <c r="I1657" t="s">
        <v>4486</v>
      </c>
      <c r="J1657" t="s">
        <v>38</v>
      </c>
      <c r="K1657" t="s">
        <v>39</v>
      </c>
      <c r="L1657" t="s">
        <v>29</v>
      </c>
      <c r="M1657" t="s">
        <v>30</v>
      </c>
      <c r="N1657" t="s">
        <v>31</v>
      </c>
      <c r="Q1657" t="s">
        <v>4496</v>
      </c>
      <c r="R1657" t="s">
        <v>4497</v>
      </c>
    </row>
    <row r="1658" spans="1:18" x14ac:dyDescent="0.3">
      <c r="A1658" s="2" t="str">
        <f>HYPERLINK(B1658,"Oppna PDF")</f>
        <v>Oppna PDF</v>
      </c>
      <c r="B1658" t="s">
        <v>4493</v>
      </c>
      <c r="C1658" t="s">
        <v>4498</v>
      </c>
      <c r="D1658" t="s">
        <v>4482</v>
      </c>
      <c r="E1658" t="s">
        <v>4495</v>
      </c>
      <c r="F1658" t="s">
        <v>4484</v>
      </c>
      <c r="G1658" t="s">
        <v>4485</v>
      </c>
      <c r="H1658" t="s">
        <v>61</v>
      </c>
      <c r="I1658" t="s">
        <v>4486</v>
      </c>
      <c r="J1658" t="s">
        <v>27</v>
      </c>
      <c r="K1658" t="s">
        <v>28</v>
      </c>
      <c r="L1658" t="s">
        <v>29</v>
      </c>
      <c r="M1658" t="s">
        <v>30</v>
      </c>
      <c r="N1658" t="s">
        <v>31</v>
      </c>
      <c r="Q1658" t="s">
        <v>4499</v>
      </c>
      <c r="R1658" t="s">
        <v>4499</v>
      </c>
    </row>
    <row r="1659" spans="1:18" x14ac:dyDescent="0.3">
      <c r="A1659" s="2" t="str">
        <f>HYPERLINK(B1659,"Oppna PDF")</f>
        <v>Oppna PDF</v>
      </c>
      <c r="B1659" t="s">
        <v>4493</v>
      </c>
      <c r="C1659" t="s">
        <v>4500</v>
      </c>
      <c r="D1659" t="s">
        <v>4482</v>
      </c>
      <c r="E1659" t="s">
        <v>4495</v>
      </c>
      <c r="F1659" t="s">
        <v>4484</v>
      </c>
      <c r="G1659" t="s">
        <v>4485</v>
      </c>
      <c r="H1659" t="s">
        <v>61</v>
      </c>
      <c r="I1659" t="s">
        <v>4486</v>
      </c>
      <c r="J1659" t="s">
        <v>87</v>
      </c>
      <c r="K1659" t="s">
        <v>88</v>
      </c>
      <c r="L1659" t="s">
        <v>29</v>
      </c>
      <c r="M1659" t="s">
        <v>30</v>
      </c>
      <c r="N1659" t="s">
        <v>31</v>
      </c>
      <c r="Q1659" t="s">
        <v>4501</v>
      </c>
      <c r="R1659" t="s">
        <v>4501</v>
      </c>
    </row>
    <row r="1660" spans="1:18" x14ac:dyDescent="0.3">
      <c r="A1660" s="2" t="str">
        <f>HYPERLINK(B1660,"Oppna PDF")</f>
        <v>Oppna PDF</v>
      </c>
      <c r="B1660" t="s">
        <v>4502</v>
      </c>
      <c r="C1660" t="s">
        <v>4503</v>
      </c>
      <c r="D1660" t="s">
        <v>4482</v>
      </c>
      <c r="E1660" t="s">
        <v>4504</v>
      </c>
      <c r="F1660" t="s">
        <v>4484</v>
      </c>
      <c r="G1660" t="s">
        <v>4485</v>
      </c>
      <c r="H1660" t="s">
        <v>61</v>
      </c>
      <c r="I1660" t="s">
        <v>4486</v>
      </c>
      <c r="J1660" t="s">
        <v>34</v>
      </c>
      <c r="K1660" t="s">
        <v>35</v>
      </c>
      <c r="L1660" t="s">
        <v>29</v>
      </c>
      <c r="M1660" t="s">
        <v>30</v>
      </c>
      <c r="N1660" t="s">
        <v>31</v>
      </c>
      <c r="Q1660" t="s">
        <v>4505</v>
      </c>
      <c r="R1660" t="s">
        <v>4505</v>
      </c>
    </row>
    <row r="1661" spans="1:18" x14ac:dyDescent="0.3">
      <c r="A1661" s="2" t="str">
        <f>HYPERLINK(B1661,"Oppna PDF")</f>
        <v>Oppna PDF</v>
      </c>
      <c r="B1661" t="s">
        <v>4502</v>
      </c>
      <c r="C1661" t="s">
        <v>4506</v>
      </c>
      <c r="D1661" t="s">
        <v>4482</v>
      </c>
      <c r="E1661" t="s">
        <v>4504</v>
      </c>
      <c r="F1661" t="s">
        <v>4484</v>
      </c>
      <c r="G1661" t="s">
        <v>4485</v>
      </c>
      <c r="H1661" t="s">
        <v>61</v>
      </c>
      <c r="I1661" t="s">
        <v>4486</v>
      </c>
      <c r="J1661" t="s">
        <v>91</v>
      </c>
      <c r="K1661" t="s">
        <v>92</v>
      </c>
      <c r="L1661" t="s">
        <v>29</v>
      </c>
      <c r="M1661" t="s">
        <v>30</v>
      </c>
      <c r="N1661" t="s">
        <v>31</v>
      </c>
      <c r="Q1661" t="s">
        <v>4507</v>
      </c>
      <c r="R1661" t="s">
        <v>4507</v>
      </c>
    </row>
    <row r="1662" spans="1:18" x14ac:dyDescent="0.3">
      <c r="A1662" s="2" t="str">
        <f>HYPERLINK(B1662,"Oppna PDF")</f>
        <v>Oppna PDF</v>
      </c>
      <c r="B1662" t="s">
        <v>4502</v>
      </c>
      <c r="C1662" t="s">
        <v>4508</v>
      </c>
      <c r="D1662" t="s">
        <v>4482</v>
      </c>
      <c r="E1662" t="s">
        <v>4504</v>
      </c>
      <c r="F1662" t="s">
        <v>4484</v>
      </c>
      <c r="G1662" t="s">
        <v>4485</v>
      </c>
      <c r="H1662" t="s">
        <v>61</v>
      </c>
      <c r="I1662" t="s">
        <v>4486</v>
      </c>
      <c r="J1662" t="s">
        <v>34</v>
      </c>
      <c r="K1662" t="s">
        <v>35</v>
      </c>
      <c r="L1662" t="s">
        <v>29</v>
      </c>
      <c r="M1662" t="s">
        <v>30</v>
      </c>
      <c r="N1662" t="s">
        <v>31</v>
      </c>
      <c r="Q1662" t="s">
        <v>4509</v>
      </c>
      <c r="R1662" t="s">
        <v>4509</v>
      </c>
    </row>
    <row r="1663" spans="1:18" x14ac:dyDescent="0.3">
      <c r="A1663" s="2" t="str">
        <f>HYPERLINK(B1663,"Oppna PDF")</f>
        <v>Oppna PDF</v>
      </c>
      <c r="B1663" t="s">
        <v>4510</v>
      </c>
      <c r="C1663" t="s">
        <v>4511</v>
      </c>
      <c r="D1663" t="s">
        <v>4482</v>
      </c>
      <c r="E1663" t="s">
        <v>4512</v>
      </c>
      <c r="F1663" t="s">
        <v>4484</v>
      </c>
      <c r="G1663" t="s">
        <v>4485</v>
      </c>
      <c r="H1663" t="s">
        <v>61</v>
      </c>
      <c r="I1663" t="s">
        <v>4486</v>
      </c>
      <c r="J1663" t="s">
        <v>87</v>
      </c>
      <c r="K1663" t="s">
        <v>88</v>
      </c>
      <c r="L1663" t="s">
        <v>29</v>
      </c>
      <c r="M1663" t="s">
        <v>30</v>
      </c>
      <c r="N1663" t="s">
        <v>31</v>
      </c>
      <c r="Q1663" t="s">
        <v>4513</v>
      </c>
      <c r="R1663" t="s">
        <v>4514</v>
      </c>
    </row>
    <row r="1664" spans="1:18" x14ac:dyDescent="0.3">
      <c r="A1664" s="2" t="str">
        <f>HYPERLINK(B1664,"Oppna PDF")</f>
        <v>Oppna PDF</v>
      </c>
      <c r="B1664" t="s">
        <v>4510</v>
      </c>
      <c r="C1664" t="s">
        <v>4515</v>
      </c>
      <c r="D1664" t="s">
        <v>4482</v>
      </c>
      <c r="E1664" t="s">
        <v>4512</v>
      </c>
      <c r="F1664" t="s">
        <v>4484</v>
      </c>
      <c r="G1664" t="s">
        <v>4485</v>
      </c>
      <c r="H1664" t="s">
        <v>61</v>
      </c>
      <c r="I1664" t="s">
        <v>4486</v>
      </c>
      <c r="J1664" t="s">
        <v>27</v>
      </c>
      <c r="K1664" t="s">
        <v>28</v>
      </c>
      <c r="L1664" t="s">
        <v>29</v>
      </c>
      <c r="M1664" t="s">
        <v>30</v>
      </c>
      <c r="N1664" t="s">
        <v>31</v>
      </c>
      <c r="Q1664" t="s">
        <v>4516</v>
      </c>
      <c r="R1664" t="s">
        <v>4516</v>
      </c>
    </row>
    <row r="1665" spans="1:18" x14ac:dyDescent="0.3">
      <c r="A1665" s="2" t="str">
        <f>HYPERLINK(B1665,"Oppna PDF")</f>
        <v>Oppna PDF</v>
      </c>
      <c r="B1665" t="s">
        <v>4510</v>
      </c>
      <c r="C1665" t="s">
        <v>4517</v>
      </c>
      <c r="D1665" t="s">
        <v>4482</v>
      </c>
      <c r="E1665" t="s">
        <v>4512</v>
      </c>
      <c r="F1665" t="s">
        <v>4484</v>
      </c>
      <c r="G1665" t="s">
        <v>4485</v>
      </c>
      <c r="H1665" t="s">
        <v>61</v>
      </c>
      <c r="I1665" t="s">
        <v>4486</v>
      </c>
      <c r="J1665" t="s">
        <v>27</v>
      </c>
      <c r="K1665" t="s">
        <v>28</v>
      </c>
      <c r="L1665" t="s">
        <v>29</v>
      </c>
      <c r="M1665" t="s">
        <v>30</v>
      </c>
      <c r="N1665" t="s">
        <v>31</v>
      </c>
      <c r="Q1665" t="s">
        <v>4518</v>
      </c>
      <c r="R1665" t="s">
        <v>4519</v>
      </c>
    </row>
    <row r="1666" spans="1:18" x14ac:dyDescent="0.3">
      <c r="A1666" s="2" t="str">
        <f>HYPERLINK(B1666,"Oppna PDF")</f>
        <v>Oppna PDF</v>
      </c>
      <c r="B1666" t="s">
        <v>4520</v>
      </c>
      <c r="C1666" t="s">
        <v>4521</v>
      </c>
      <c r="D1666" t="s">
        <v>4482</v>
      </c>
      <c r="E1666" t="s">
        <v>4522</v>
      </c>
      <c r="F1666" t="s">
        <v>4484</v>
      </c>
      <c r="G1666" t="s">
        <v>4485</v>
      </c>
      <c r="H1666" t="s">
        <v>61</v>
      </c>
      <c r="I1666" t="s">
        <v>4486</v>
      </c>
      <c r="J1666" t="s">
        <v>27</v>
      </c>
      <c r="K1666" t="s">
        <v>28</v>
      </c>
      <c r="L1666" t="s">
        <v>29</v>
      </c>
      <c r="M1666" t="s">
        <v>30</v>
      </c>
      <c r="N1666" t="s">
        <v>31</v>
      </c>
      <c r="Q1666" t="s">
        <v>4516</v>
      </c>
      <c r="R1666" t="s">
        <v>4516</v>
      </c>
    </row>
    <row r="1667" spans="1:18" x14ac:dyDescent="0.3">
      <c r="A1667" s="2" t="str">
        <f>HYPERLINK(B1667,"Oppna PDF")</f>
        <v>Oppna PDF</v>
      </c>
      <c r="B1667" t="s">
        <v>4520</v>
      </c>
      <c r="C1667" t="s">
        <v>4523</v>
      </c>
      <c r="D1667" t="s">
        <v>4482</v>
      </c>
      <c r="E1667" t="s">
        <v>4522</v>
      </c>
      <c r="F1667" t="s">
        <v>4484</v>
      </c>
      <c r="G1667" t="s">
        <v>4485</v>
      </c>
      <c r="H1667" t="s">
        <v>61</v>
      </c>
      <c r="I1667" t="s">
        <v>4486</v>
      </c>
      <c r="J1667" t="s">
        <v>27</v>
      </c>
      <c r="K1667" t="s">
        <v>28</v>
      </c>
      <c r="L1667" t="s">
        <v>29</v>
      </c>
      <c r="M1667" t="s">
        <v>30</v>
      </c>
      <c r="N1667" t="s">
        <v>31</v>
      </c>
      <c r="Q1667" t="s">
        <v>4524</v>
      </c>
      <c r="R1667" t="s">
        <v>4525</v>
      </c>
    </row>
    <row r="1668" spans="1:18" x14ac:dyDescent="0.3">
      <c r="A1668" s="2" t="str">
        <f>HYPERLINK(B1668,"Oppna PDF")</f>
        <v>Oppna PDF</v>
      </c>
      <c r="B1668" t="s">
        <v>4520</v>
      </c>
      <c r="C1668" t="s">
        <v>4526</v>
      </c>
      <c r="D1668" t="s">
        <v>4482</v>
      </c>
      <c r="E1668" t="s">
        <v>4522</v>
      </c>
      <c r="F1668" t="s">
        <v>4484</v>
      </c>
      <c r="G1668" t="s">
        <v>4485</v>
      </c>
      <c r="H1668" t="s">
        <v>61</v>
      </c>
      <c r="I1668" t="s">
        <v>4486</v>
      </c>
      <c r="J1668" t="s">
        <v>209</v>
      </c>
      <c r="K1668" t="s">
        <v>210</v>
      </c>
      <c r="L1668" t="s">
        <v>29</v>
      </c>
      <c r="M1668" t="s">
        <v>30</v>
      </c>
      <c r="N1668" t="s">
        <v>31</v>
      </c>
      <c r="Q1668" t="s">
        <v>4527</v>
      </c>
      <c r="R1668" t="s">
        <v>4527</v>
      </c>
    </row>
    <row r="1669" spans="1:18" x14ac:dyDescent="0.3">
      <c r="A1669" s="2" t="str">
        <f>HYPERLINK(B1669,"Oppna PDF")</f>
        <v>Oppna PDF</v>
      </c>
      <c r="B1669" t="s">
        <v>4528</v>
      </c>
      <c r="C1669" t="s">
        <v>4529</v>
      </c>
      <c r="D1669" t="s">
        <v>4482</v>
      </c>
      <c r="E1669" t="s">
        <v>4530</v>
      </c>
      <c r="F1669" t="s">
        <v>4484</v>
      </c>
      <c r="G1669" t="s">
        <v>4485</v>
      </c>
      <c r="H1669" t="s">
        <v>61</v>
      </c>
      <c r="I1669" t="s">
        <v>4486</v>
      </c>
      <c r="J1669" t="s">
        <v>38</v>
      </c>
      <c r="K1669" t="s">
        <v>39</v>
      </c>
      <c r="L1669" t="s">
        <v>29</v>
      </c>
      <c r="M1669" t="s">
        <v>30</v>
      </c>
      <c r="N1669" t="s">
        <v>31</v>
      </c>
      <c r="Q1669" t="s">
        <v>4531</v>
      </c>
      <c r="R1669" t="s">
        <v>4531</v>
      </c>
    </row>
    <row r="1670" spans="1:18" x14ac:dyDescent="0.3">
      <c r="A1670" s="2" t="str">
        <f>HYPERLINK(B1670,"Oppna PDF")</f>
        <v>Oppna PDF</v>
      </c>
      <c r="B1670" t="s">
        <v>4528</v>
      </c>
      <c r="C1670" t="s">
        <v>4532</v>
      </c>
      <c r="D1670" t="s">
        <v>4482</v>
      </c>
      <c r="E1670" t="s">
        <v>4530</v>
      </c>
      <c r="F1670" t="s">
        <v>4484</v>
      </c>
      <c r="G1670" t="s">
        <v>4485</v>
      </c>
      <c r="H1670" t="s">
        <v>61</v>
      </c>
      <c r="I1670" t="s">
        <v>4486</v>
      </c>
      <c r="J1670" t="s">
        <v>87</v>
      </c>
      <c r="K1670" t="s">
        <v>88</v>
      </c>
      <c r="L1670" t="s">
        <v>29</v>
      </c>
      <c r="M1670" t="s">
        <v>30</v>
      </c>
      <c r="N1670" t="s">
        <v>31</v>
      </c>
      <c r="Q1670" t="s">
        <v>4533</v>
      </c>
      <c r="R1670" t="s">
        <v>4533</v>
      </c>
    </row>
    <row r="1671" spans="1:18" x14ac:dyDescent="0.3">
      <c r="A1671" s="2" t="str">
        <f>HYPERLINK(B1671,"Oppna PDF")</f>
        <v>Oppna PDF</v>
      </c>
      <c r="B1671" t="s">
        <v>4534</v>
      </c>
      <c r="C1671" t="s">
        <v>4535</v>
      </c>
      <c r="D1671" t="s">
        <v>4536</v>
      </c>
      <c r="E1671" t="s">
        <v>4537</v>
      </c>
      <c r="F1671" t="s">
        <v>4484</v>
      </c>
      <c r="G1671" t="s">
        <v>4485</v>
      </c>
      <c r="H1671" t="s">
        <v>61</v>
      </c>
      <c r="I1671" t="s">
        <v>4486</v>
      </c>
      <c r="J1671" t="s">
        <v>27</v>
      </c>
      <c r="K1671" t="s">
        <v>28</v>
      </c>
      <c r="L1671" t="s">
        <v>29</v>
      </c>
      <c r="M1671" t="s">
        <v>30</v>
      </c>
      <c r="N1671" t="s">
        <v>31</v>
      </c>
      <c r="Q1671" t="s">
        <v>4487</v>
      </c>
      <c r="R1671" t="s">
        <v>4487</v>
      </c>
    </row>
    <row r="1672" spans="1:18" x14ac:dyDescent="0.3">
      <c r="A1672" s="2" t="str">
        <f>HYPERLINK(B1672,"Oppna PDF")</f>
        <v>Oppna PDF</v>
      </c>
      <c r="B1672" t="s">
        <v>4534</v>
      </c>
      <c r="C1672" t="s">
        <v>4538</v>
      </c>
      <c r="D1672" t="s">
        <v>4536</v>
      </c>
      <c r="E1672" t="s">
        <v>4537</v>
      </c>
      <c r="F1672" t="s">
        <v>4484</v>
      </c>
      <c r="G1672" t="s">
        <v>4485</v>
      </c>
      <c r="H1672" t="s">
        <v>61</v>
      </c>
      <c r="I1672" t="s">
        <v>4486</v>
      </c>
      <c r="J1672" t="s">
        <v>91</v>
      </c>
      <c r="K1672" t="s">
        <v>92</v>
      </c>
      <c r="L1672" t="s">
        <v>29</v>
      </c>
      <c r="M1672" t="s">
        <v>30</v>
      </c>
      <c r="N1672" t="s">
        <v>31</v>
      </c>
      <c r="Q1672" t="s">
        <v>4489</v>
      </c>
      <c r="R1672" t="s">
        <v>4490</v>
      </c>
    </row>
    <row r="1673" spans="1:18" x14ac:dyDescent="0.3">
      <c r="A1673" s="2" t="str">
        <f>HYPERLINK(B1673,"Oppna PDF")</f>
        <v>Oppna PDF</v>
      </c>
      <c r="B1673" t="s">
        <v>4534</v>
      </c>
      <c r="C1673" t="s">
        <v>4539</v>
      </c>
      <c r="D1673" t="s">
        <v>4536</v>
      </c>
      <c r="E1673" t="s">
        <v>4537</v>
      </c>
      <c r="F1673" t="s">
        <v>4484</v>
      </c>
      <c r="G1673" t="s">
        <v>4485</v>
      </c>
      <c r="H1673" t="s">
        <v>61</v>
      </c>
      <c r="I1673" t="s">
        <v>4486</v>
      </c>
      <c r="J1673" t="s">
        <v>34</v>
      </c>
      <c r="K1673" t="s">
        <v>35</v>
      </c>
      <c r="L1673" t="s">
        <v>29</v>
      </c>
      <c r="M1673" t="s">
        <v>30</v>
      </c>
      <c r="N1673" t="s">
        <v>31</v>
      </c>
      <c r="Q1673" t="s">
        <v>4492</v>
      </c>
      <c r="R1673" t="s">
        <v>4492</v>
      </c>
    </row>
    <row r="1674" spans="1:18" x14ac:dyDescent="0.3">
      <c r="A1674" s="2" t="str">
        <f>HYPERLINK(B1674,"Oppna PDF")</f>
        <v>Oppna PDF</v>
      </c>
      <c r="B1674" t="s">
        <v>4540</v>
      </c>
      <c r="C1674" t="s">
        <v>4541</v>
      </c>
      <c r="D1674" t="s">
        <v>4536</v>
      </c>
      <c r="E1674" t="s">
        <v>4542</v>
      </c>
      <c r="F1674" t="s">
        <v>4484</v>
      </c>
      <c r="G1674" t="s">
        <v>4485</v>
      </c>
      <c r="H1674" t="s">
        <v>61</v>
      </c>
      <c r="I1674" t="s">
        <v>4486</v>
      </c>
      <c r="J1674" t="s">
        <v>38</v>
      </c>
      <c r="K1674" t="s">
        <v>39</v>
      </c>
      <c r="L1674" t="s">
        <v>29</v>
      </c>
      <c r="M1674" t="s">
        <v>30</v>
      </c>
      <c r="N1674" t="s">
        <v>31</v>
      </c>
      <c r="Q1674" t="s">
        <v>4496</v>
      </c>
      <c r="R1674" t="s">
        <v>4497</v>
      </c>
    </row>
    <row r="1675" spans="1:18" x14ac:dyDescent="0.3">
      <c r="A1675" s="2" t="str">
        <f>HYPERLINK(B1675,"Oppna PDF")</f>
        <v>Oppna PDF</v>
      </c>
      <c r="B1675" t="s">
        <v>4540</v>
      </c>
      <c r="C1675" t="s">
        <v>4543</v>
      </c>
      <c r="D1675" t="s">
        <v>4536</v>
      </c>
      <c r="E1675" t="s">
        <v>4542</v>
      </c>
      <c r="F1675" t="s">
        <v>4484</v>
      </c>
      <c r="G1675" t="s">
        <v>4485</v>
      </c>
      <c r="H1675" t="s">
        <v>61</v>
      </c>
      <c r="I1675" t="s">
        <v>4486</v>
      </c>
      <c r="J1675" t="s">
        <v>27</v>
      </c>
      <c r="K1675" t="s">
        <v>28</v>
      </c>
      <c r="L1675" t="s">
        <v>29</v>
      </c>
      <c r="M1675" t="s">
        <v>30</v>
      </c>
      <c r="N1675" t="s">
        <v>31</v>
      </c>
      <c r="Q1675" t="s">
        <v>4499</v>
      </c>
      <c r="R1675" t="s">
        <v>4499</v>
      </c>
    </row>
    <row r="1676" spans="1:18" x14ac:dyDescent="0.3">
      <c r="A1676" s="2" t="str">
        <f>HYPERLINK(B1676,"Oppna PDF")</f>
        <v>Oppna PDF</v>
      </c>
      <c r="B1676" t="s">
        <v>4540</v>
      </c>
      <c r="C1676" t="s">
        <v>4544</v>
      </c>
      <c r="D1676" t="s">
        <v>4536</v>
      </c>
      <c r="E1676" t="s">
        <v>4542</v>
      </c>
      <c r="F1676" t="s">
        <v>4484</v>
      </c>
      <c r="G1676" t="s">
        <v>4485</v>
      </c>
      <c r="H1676" t="s">
        <v>61</v>
      </c>
      <c r="I1676" t="s">
        <v>4486</v>
      </c>
      <c r="J1676" t="s">
        <v>87</v>
      </c>
      <c r="K1676" t="s">
        <v>88</v>
      </c>
      <c r="L1676" t="s">
        <v>29</v>
      </c>
      <c r="M1676" t="s">
        <v>30</v>
      </c>
      <c r="N1676" t="s">
        <v>31</v>
      </c>
      <c r="Q1676" t="s">
        <v>4501</v>
      </c>
      <c r="R1676" t="s">
        <v>4501</v>
      </c>
    </row>
    <row r="1677" spans="1:18" x14ac:dyDescent="0.3">
      <c r="A1677" s="2" t="str">
        <f>HYPERLINK(B1677,"Oppna PDF")</f>
        <v>Oppna PDF</v>
      </c>
      <c r="B1677" t="s">
        <v>4545</v>
      </c>
      <c r="C1677" t="s">
        <v>4546</v>
      </c>
      <c r="D1677" t="s">
        <v>4536</v>
      </c>
      <c r="E1677" t="s">
        <v>4547</v>
      </c>
      <c r="F1677" t="s">
        <v>4484</v>
      </c>
      <c r="G1677" t="s">
        <v>4485</v>
      </c>
      <c r="H1677" t="s">
        <v>61</v>
      </c>
      <c r="I1677" t="s">
        <v>4486</v>
      </c>
      <c r="J1677" t="s">
        <v>34</v>
      </c>
      <c r="K1677" t="s">
        <v>35</v>
      </c>
      <c r="L1677" t="s">
        <v>29</v>
      </c>
      <c r="M1677" t="s">
        <v>30</v>
      </c>
      <c r="N1677" t="s">
        <v>31</v>
      </c>
      <c r="Q1677" t="s">
        <v>4505</v>
      </c>
      <c r="R1677" t="s">
        <v>4505</v>
      </c>
    </row>
    <row r="1678" spans="1:18" x14ac:dyDescent="0.3">
      <c r="A1678" s="2" t="str">
        <f>HYPERLINK(B1678,"Oppna PDF")</f>
        <v>Oppna PDF</v>
      </c>
      <c r="B1678" t="s">
        <v>4545</v>
      </c>
      <c r="C1678" t="s">
        <v>4548</v>
      </c>
      <c r="D1678" t="s">
        <v>4536</v>
      </c>
      <c r="E1678" t="s">
        <v>4547</v>
      </c>
      <c r="F1678" t="s">
        <v>4484</v>
      </c>
      <c r="G1678" t="s">
        <v>4485</v>
      </c>
      <c r="H1678" t="s">
        <v>61</v>
      </c>
      <c r="I1678" t="s">
        <v>4486</v>
      </c>
      <c r="J1678" t="s">
        <v>91</v>
      </c>
      <c r="K1678" t="s">
        <v>92</v>
      </c>
      <c r="L1678" t="s">
        <v>29</v>
      </c>
      <c r="M1678" t="s">
        <v>30</v>
      </c>
      <c r="N1678" t="s">
        <v>31</v>
      </c>
      <c r="Q1678" t="s">
        <v>4507</v>
      </c>
      <c r="R1678" t="s">
        <v>4507</v>
      </c>
    </row>
    <row r="1679" spans="1:18" x14ac:dyDescent="0.3">
      <c r="A1679" s="2" t="str">
        <f>HYPERLINK(B1679,"Oppna PDF")</f>
        <v>Oppna PDF</v>
      </c>
      <c r="B1679" t="s">
        <v>4545</v>
      </c>
      <c r="C1679" t="s">
        <v>4549</v>
      </c>
      <c r="D1679" t="s">
        <v>4536</v>
      </c>
      <c r="E1679" t="s">
        <v>4547</v>
      </c>
      <c r="F1679" t="s">
        <v>4484</v>
      </c>
      <c r="G1679" t="s">
        <v>4485</v>
      </c>
      <c r="H1679" t="s">
        <v>61</v>
      </c>
      <c r="I1679" t="s">
        <v>4486</v>
      </c>
      <c r="J1679" t="s">
        <v>34</v>
      </c>
      <c r="K1679" t="s">
        <v>35</v>
      </c>
      <c r="L1679" t="s">
        <v>29</v>
      </c>
      <c r="M1679" t="s">
        <v>30</v>
      </c>
      <c r="N1679" t="s">
        <v>31</v>
      </c>
      <c r="Q1679" t="s">
        <v>4509</v>
      </c>
      <c r="R1679" t="s">
        <v>4509</v>
      </c>
    </row>
    <row r="1680" spans="1:18" x14ac:dyDescent="0.3">
      <c r="A1680" s="2" t="str">
        <f>HYPERLINK(B1680,"Oppna PDF")</f>
        <v>Oppna PDF</v>
      </c>
      <c r="B1680" t="s">
        <v>4550</v>
      </c>
      <c r="C1680" t="s">
        <v>4551</v>
      </c>
      <c r="D1680" t="s">
        <v>4536</v>
      </c>
      <c r="E1680" t="s">
        <v>4552</v>
      </c>
      <c r="F1680" t="s">
        <v>4484</v>
      </c>
      <c r="G1680" t="s">
        <v>4485</v>
      </c>
      <c r="H1680" t="s">
        <v>61</v>
      </c>
      <c r="I1680" t="s">
        <v>4486</v>
      </c>
      <c r="J1680" t="s">
        <v>87</v>
      </c>
      <c r="K1680" t="s">
        <v>88</v>
      </c>
      <c r="L1680" t="s">
        <v>29</v>
      </c>
      <c r="M1680" t="s">
        <v>30</v>
      </c>
      <c r="N1680" t="s">
        <v>31</v>
      </c>
      <c r="Q1680" t="s">
        <v>4513</v>
      </c>
      <c r="R1680" t="s">
        <v>4514</v>
      </c>
    </row>
    <row r="1681" spans="1:18" x14ac:dyDescent="0.3">
      <c r="A1681" s="2" t="str">
        <f>HYPERLINK(B1681,"Oppna PDF")</f>
        <v>Oppna PDF</v>
      </c>
      <c r="B1681" t="s">
        <v>4550</v>
      </c>
      <c r="C1681" t="s">
        <v>4553</v>
      </c>
      <c r="D1681" t="s">
        <v>4536</v>
      </c>
      <c r="E1681" t="s">
        <v>4552</v>
      </c>
      <c r="F1681" t="s">
        <v>4484</v>
      </c>
      <c r="G1681" t="s">
        <v>4485</v>
      </c>
      <c r="H1681" t="s">
        <v>61</v>
      </c>
      <c r="I1681" t="s">
        <v>4486</v>
      </c>
      <c r="J1681" t="s">
        <v>27</v>
      </c>
      <c r="K1681" t="s">
        <v>28</v>
      </c>
      <c r="L1681" t="s">
        <v>29</v>
      </c>
      <c r="M1681" t="s">
        <v>30</v>
      </c>
      <c r="N1681" t="s">
        <v>31</v>
      </c>
      <c r="Q1681" t="s">
        <v>4516</v>
      </c>
      <c r="R1681" t="s">
        <v>4516</v>
      </c>
    </row>
    <row r="1682" spans="1:18" x14ac:dyDescent="0.3">
      <c r="A1682" s="2" t="str">
        <f>HYPERLINK(B1682,"Oppna PDF")</f>
        <v>Oppna PDF</v>
      </c>
      <c r="B1682" t="s">
        <v>4550</v>
      </c>
      <c r="C1682" t="s">
        <v>4554</v>
      </c>
      <c r="D1682" t="s">
        <v>4536</v>
      </c>
      <c r="E1682" t="s">
        <v>4552</v>
      </c>
      <c r="F1682" t="s">
        <v>4484</v>
      </c>
      <c r="G1682" t="s">
        <v>4485</v>
      </c>
      <c r="H1682" t="s">
        <v>61</v>
      </c>
      <c r="I1682" t="s">
        <v>4486</v>
      </c>
      <c r="J1682" t="s">
        <v>27</v>
      </c>
      <c r="K1682" t="s">
        <v>28</v>
      </c>
      <c r="L1682" t="s">
        <v>29</v>
      </c>
      <c r="M1682" t="s">
        <v>30</v>
      </c>
      <c r="N1682" t="s">
        <v>31</v>
      </c>
      <c r="Q1682" t="s">
        <v>4518</v>
      </c>
      <c r="R1682" t="s">
        <v>4519</v>
      </c>
    </row>
    <row r="1683" spans="1:18" x14ac:dyDescent="0.3">
      <c r="A1683" s="2" t="str">
        <f>HYPERLINK(B1683,"Oppna PDF")</f>
        <v>Oppna PDF</v>
      </c>
      <c r="B1683" t="s">
        <v>4555</v>
      </c>
      <c r="C1683" t="s">
        <v>4556</v>
      </c>
      <c r="D1683" t="s">
        <v>4536</v>
      </c>
      <c r="E1683" t="s">
        <v>4557</v>
      </c>
      <c r="F1683" t="s">
        <v>4484</v>
      </c>
      <c r="G1683" t="s">
        <v>4485</v>
      </c>
      <c r="H1683" t="s">
        <v>61</v>
      </c>
      <c r="I1683" t="s">
        <v>4486</v>
      </c>
      <c r="J1683" t="s">
        <v>27</v>
      </c>
      <c r="K1683" t="s">
        <v>28</v>
      </c>
      <c r="L1683" t="s">
        <v>29</v>
      </c>
      <c r="M1683" t="s">
        <v>30</v>
      </c>
      <c r="N1683" t="s">
        <v>31</v>
      </c>
      <c r="Q1683" t="s">
        <v>4516</v>
      </c>
      <c r="R1683" t="s">
        <v>4516</v>
      </c>
    </row>
    <row r="1684" spans="1:18" x14ac:dyDescent="0.3">
      <c r="A1684" s="2" t="str">
        <f>HYPERLINK(B1684,"Oppna PDF")</f>
        <v>Oppna PDF</v>
      </c>
      <c r="B1684" t="s">
        <v>4555</v>
      </c>
      <c r="C1684" t="s">
        <v>4558</v>
      </c>
      <c r="D1684" t="s">
        <v>4536</v>
      </c>
      <c r="E1684" t="s">
        <v>4557</v>
      </c>
      <c r="F1684" t="s">
        <v>4484</v>
      </c>
      <c r="G1684" t="s">
        <v>4485</v>
      </c>
      <c r="H1684" t="s">
        <v>61</v>
      </c>
      <c r="I1684" t="s">
        <v>4486</v>
      </c>
      <c r="J1684" t="s">
        <v>27</v>
      </c>
      <c r="K1684" t="s">
        <v>28</v>
      </c>
      <c r="L1684" t="s">
        <v>29</v>
      </c>
      <c r="M1684" t="s">
        <v>30</v>
      </c>
      <c r="N1684" t="s">
        <v>31</v>
      </c>
      <c r="Q1684" t="s">
        <v>4524</v>
      </c>
      <c r="R1684" t="s">
        <v>4525</v>
      </c>
    </row>
    <row r="1685" spans="1:18" x14ac:dyDescent="0.3">
      <c r="A1685" s="2" t="str">
        <f>HYPERLINK(B1685,"Oppna PDF")</f>
        <v>Oppna PDF</v>
      </c>
      <c r="B1685" t="s">
        <v>4555</v>
      </c>
      <c r="C1685" t="s">
        <v>4559</v>
      </c>
      <c r="D1685" t="s">
        <v>4536</v>
      </c>
      <c r="E1685" t="s">
        <v>4557</v>
      </c>
      <c r="F1685" t="s">
        <v>4484</v>
      </c>
      <c r="G1685" t="s">
        <v>4485</v>
      </c>
      <c r="H1685" t="s">
        <v>61</v>
      </c>
      <c r="I1685" t="s">
        <v>4486</v>
      </c>
      <c r="J1685" t="s">
        <v>209</v>
      </c>
      <c r="K1685" t="s">
        <v>210</v>
      </c>
      <c r="L1685" t="s">
        <v>29</v>
      </c>
      <c r="M1685" t="s">
        <v>30</v>
      </c>
      <c r="N1685" t="s">
        <v>31</v>
      </c>
      <c r="Q1685" t="s">
        <v>4527</v>
      </c>
      <c r="R1685" t="s">
        <v>4527</v>
      </c>
    </row>
    <row r="1686" spans="1:18" x14ac:dyDescent="0.3">
      <c r="A1686" s="2" t="str">
        <f>HYPERLINK(B1686,"Oppna PDF")</f>
        <v>Oppna PDF</v>
      </c>
      <c r="B1686" t="s">
        <v>4560</v>
      </c>
      <c r="C1686" t="s">
        <v>4561</v>
      </c>
      <c r="D1686" t="s">
        <v>4536</v>
      </c>
      <c r="E1686" t="s">
        <v>4562</v>
      </c>
      <c r="F1686" t="s">
        <v>4484</v>
      </c>
      <c r="G1686" t="s">
        <v>4485</v>
      </c>
      <c r="H1686" t="s">
        <v>61</v>
      </c>
      <c r="I1686" t="s">
        <v>4486</v>
      </c>
      <c r="J1686" t="s">
        <v>38</v>
      </c>
      <c r="K1686" t="s">
        <v>39</v>
      </c>
      <c r="L1686" t="s">
        <v>29</v>
      </c>
      <c r="M1686" t="s">
        <v>30</v>
      </c>
      <c r="N1686" t="s">
        <v>31</v>
      </c>
      <c r="Q1686" t="s">
        <v>4531</v>
      </c>
      <c r="R1686" t="s">
        <v>4531</v>
      </c>
    </row>
    <row r="1687" spans="1:18" x14ac:dyDescent="0.3">
      <c r="A1687" s="2" t="str">
        <f>HYPERLINK(B1687,"Oppna PDF")</f>
        <v>Oppna PDF</v>
      </c>
      <c r="B1687" t="s">
        <v>4560</v>
      </c>
      <c r="C1687" t="s">
        <v>4563</v>
      </c>
      <c r="D1687" t="s">
        <v>4536</v>
      </c>
      <c r="E1687" t="s">
        <v>4562</v>
      </c>
      <c r="F1687" t="s">
        <v>4484</v>
      </c>
      <c r="G1687" t="s">
        <v>4485</v>
      </c>
      <c r="H1687" t="s">
        <v>61</v>
      </c>
      <c r="I1687" t="s">
        <v>4486</v>
      </c>
      <c r="J1687" t="s">
        <v>87</v>
      </c>
      <c r="K1687" t="s">
        <v>88</v>
      </c>
      <c r="L1687" t="s">
        <v>29</v>
      </c>
      <c r="M1687" t="s">
        <v>30</v>
      </c>
      <c r="N1687" t="s">
        <v>31</v>
      </c>
      <c r="Q1687" t="s">
        <v>4533</v>
      </c>
      <c r="R1687" t="s">
        <v>4533</v>
      </c>
    </row>
    <row r="1688" spans="1:18" x14ac:dyDescent="0.3">
      <c r="A1688" s="2" t="str">
        <f>HYPERLINK(B1688,"Oppna PDF")</f>
        <v>Oppna PDF</v>
      </c>
      <c r="B1688" t="s">
        <v>4564</v>
      </c>
      <c r="C1688" t="s">
        <v>4565</v>
      </c>
      <c r="D1688" t="s">
        <v>4566</v>
      </c>
      <c r="E1688" t="s">
        <v>4567</v>
      </c>
      <c r="F1688" t="s">
        <v>4568</v>
      </c>
      <c r="G1688" t="s">
        <v>4569</v>
      </c>
      <c r="H1688" t="s">
        <v>61</v>
      </c>
      <c r="I1688" t="s">
        <v>4570</v>
      </c>
      <c r="J1688" t="s">
        <v>27</v>
      </c>
      <c r="K1688" t="s">
        <v>28</v>
      </c>
      <c r="L1688" t="s">
        <v>29</v>
      </c>
      <c r="M1688" t="s">
        <v>30</v>
      </c>
      <c r="N1688" t="s">
        <v>31</v>
      </c>
      <c r="Q1688" t="s">
        <v>4571</v>
      </c>
      <c r="R1688" t="s">
        <v>4571</v>
      </c>
    </row>
    <row r="1689" spans="1:18" x14ac:dyDescent="0.3">
      <c r="A1689" s="2" t="str">
        <f>HYPERLINK(B1689,"Oppna PDF")</f>
        <v>Oppna PDF</v>
      </c>
      <c r="B1689" t="s">
        <v>4564</v>
      </c>
      <c r="C1689" t="s">
        <v>4572</v>
      </c>
      <c r="D1689" t="s">
        <v>4566</v>
      </c>
      <c r="E1689" t="s">
        <v>4567</v>
      </c>
      <c r="F1689" t="s">
        <v>4568</v>
      </c>
      <c r="G1689" t="s">
        <v>4569</v>
      </c>
      <c r="H1689" t="s">
        <v>61</v>
      </c>
      <c r="I1689" t="s">
        <v>4570</v>
      </c>
      <c r="J1689" t="s">
        <v>48</v>
      </c>
      <c r="K1689" t="s">
        <v>49</v>
      </c>
      <c r="L1689" t="s">
        <v>29</v>
      </c>
      <c r="M1689" t="s">
        <v>30</v>
      </c>
      <c r="N1689" t="s">
        <v>31</v>
      </c>
      <c r="Q1689" t="s">
        <v>4573</v>
      </c>
      <c r="R1689" t="s">
        <v>4573</v>
      </c>
    </row>
    <row r="1690" spans="1:18" x14ac:dyDescent="0.3">
      <c r="A1690" s="2" t="str">
        <f>HYPERLINK(B1690,"Oppna PDF")</f>
        <v>Oppna PDF</v>
      </c>
      <c r="B1690" t="s">
        <v>4574</v>
      </c>
      <c r="C1690" t="s">
        <v>4575</v>
      </c>
      <c r="D1690" t="s">
        <v>4566</v>
      </c>
      <c r="E1690" t="s">
        <v>4576</v>
      </c>
      <c r="F1690" t="s">
        <v>4568</v>
      </c>
      <c r="G1690" t="s">
        <v>4569</v>
      </c>
      <c r="H1690" t="s">
        <v>61</v>
      </c>
      <c r="I1690" t="s">
        <v>4570</v>
      </c>
      <c r="J1690" t="s">
        <v>91</v>
      </c>
      <c r="K1690" t="s">
        <v>92</v>
      </c>
      <c r="L1690" t="s">
        <v>300</v>
      </c>
      <c r="M1690" t="s">
        <v>30</v>
      </c>
      <c r="N1690" t="s">
        <v>31</v>
      </c>
      <c r="Q1690" t="s">
        <v>4577</v>
      </c>
      <c r="R1690" t="s">
        <v>4577</v>
      </c>
    </row>
    <row r="1691" spans="1:18" x14ac:dyDescent="0.3">
      <c r="A1691" s="2" t="str">
        <f>HYPERLINK(B1691,"Oppna PDF")</f>
        <v>Oppna PDF</v>
      </c>
      <c r="B1691" t="s">
        <v>4578</v>
      </c>
      <c r="C1691" t="s">
        <v>4579</v>
      </c>
      <c r="D1691" t="s">
        <v>4580</v>
      </c>
      <c r="E1691" t="s">
        <v>4581</v>
      </c>
      <c r="F1691" t="s">
        <v>4568</v>
      </c>
      <c r="G1691" t="s">
        <v>4569</v>
      </c>
      <c r="H1691" t="s">
        <v>61</v>
      </c>
      <c r="I1691" t="s">
        <v>4570</v>
      </c>
      <c r="J1691" t="s">
        <v>27</v>
      </c>
      <c r="K1691" t="s">
        <v>28</v>
      </c>
      <c r="L1691" t="s">
        <v>29</v>
      </c>
      <c r="M1691" t="s">
        <v>30</v>
      </c>
      <c r="N1691" t="s">
        <v>31</v>
      </c>
      <c r="Q1691" t="s">
        <v>4571</v>
      </c>
      <c r="R1691" t="s">
        <v>4571</v>
      </c>
    </row>
    <row r="1692" spans="1:18" x14ac:dyDescent="0.3">
      <c r="A1692" s="2" t="str">
        <f>HYPERLINK(B1692,"Oppna PDF")</f>
        <v>Oppna PDF</v>
      </c>
      <c r="B1692" t="s">
        <v>4578</v>
      </c>
      <c r="C1692" t="s">
        <v>4582</v>
      </c>
      <c r="D1692" t="s">
        <v>4580</v>
      </c>
      <c r="E1692" t="s">
        <v>4581</v>
      </c>
      <c r="F1692" t="s">
        <v>4568</v>
      </c>
      <c r="G1692" t="s">
        <v>4569</v>
      </c>
      <c r="H1692" t="s">
        <v>61</v>
      </c>
      <c r="I1692" t="s">
        <v>4570</v>
      </c>
      <c r="J1692" t="s">
        <v>48</v>
      </c>
      <c r="K1692" t="s">
        <v>49</v>
      </c>
      <c r="L1692" t="s">
        <v>29</v>
      </c>
      <c r="M1692" t="s">
        <v>30</v>
      </c>
      <c r="N1692" t="s">
        <v>31</v>
      </c>
      <c r="Q1692" t="s">
        <v>4573</v>
      </c>
      <c r="R1692" t="s">
        <v>4573</v>
      </c>
    </row>
    <row r="1693" spans="1:18" x14ac:dyDescent="0.3">
      <c r="A1693" s="2" t="str">
        <f>HYPERLINK(B1693,"Oppna PDF")</f>
        <v>Oppna PDF</v>
      </c>
      <c r="B1693" t="s">
        <v>4583</v>
      </c>
      <c r="C1693" t="s">
        <v>4584</v>
      </c>
      <c r="D1693" t="s">
        <v>4580</v>
      </c>
      <c r="E1693" t="s">
        <v>4585</v>
      </c>
      <c r="F1693" t="s">
        <v>4568</v>
      </c>
      <c r="G1693" t="s">
        <v>4569</v>
      </c>
      <c r="H1693" t="s">
        <v>61</v>
      </c>
      <c r="I1693" t="s">
        <v>4570</v>
      </c>
      <c r="J1693" t="s">
        <v>91</v>
      </c>
      <c r="K1693" t="s">
        <v>92</v>
      </c>
      <c r="L1693" t="s">
        <v>300</v>
      </c>
      <c r="M1693" t="s">
        <v>30</v>
      </c>
      <c r="N1693" t="s">
        <v>31</v>
      </c>
      <c r="Q1693" t="s">
        <v>4577</v>
      </c>
      <c r="R1693" t="s">
        <v>4577</v>
      </c>
    </row>
    <row r="1694" spans="1:18" x14ac:dyDescent="0.3">
      <c r="A1694" s="2" t="str">
        <f>HYPERLINK(B1694,"Oppna PDF")</f>
        <v>Oppna PDF</v>
      </c>
      <c r="B1694" t="s">
        <v>4586</v>
      </c>
      <c r="C1694" t="s">
        <v>4587</v>
      </c>
      <c r="D1694" t="s">
        <v>4588</v>
      </c>
      <c r="E1694" t="s">
        <v>4589</v>
      </c>
      <c r="F1694" t="s">
        <v>4590</v>
      </c>
      <c r="G1694" t="s">
        <v>4591</v>
      </c>
      <c r="H1694" t="s">
        <v>61</v>
      </c>
      <c r="I1694" t="s">
        <v>4592</v>
      </c>
      <c r="J1694" t="s">
        <v>48</v>
      </c>
      <c r="K1694" t="s">
        <v>49</v>
      </c>
      <c r="L1694" t="s">
        <v>29</v>
      </c>
      <c r="M1694" t="s">
        <v>30</v>
      </c>
      <c r="N1694" t="s">
        <v>31</v>
      </c>
      <c r="Q1694" t="s">
        <v>4593</v>
      </c>
      <c r="R1694" t="s">
        <v>4593</v>
      </c>
    </row>
    <row r="1695" spans="1:18" x14ac:dyDescent="0.3">
      <c r="A1695" s="2" t="str">
        <f>HYPERLINK(B1695,"Oppna PDF")</f>
        <v>Oppna PDF</v>
      </c>
      <c r="B1695" t="s">
        <v>4594</v>
      </c>
      <c r="C1695" t="s">
        <v>4595</v>
      </c>
      <c r="D1695" t="s">
        <v>4588</v>
      </c>
      <c r="E1695" t="s">
        <v>4596</v>
      </c>
      <c r="F1695" t="s">
        <v>4590</v>
      </c>
      <c r="G1695" t="s">
        <v>4591</v>
      </c>
      <c r="H1695" t="s">
        <v>61</v>
      </c>
      <c r="I1695" t="s">
        <v>4592</v>
      </c>
      <c r="J1695" t="s">
        <v>48</v>
      </c>
      <c r="K1695" t="s">
        <v>49</v>
      </c>
      <c r="L1695" t="s">
        <v>29</v>
      </c>
      <c r="M1695" t="s">
        <v>30</v>
      </c>
      <c r="N1695" t="s">
        <v>31</v>
      </c>
      <c r="Q1695" t="s">
        <v>4597</v>
      </c>
      <c r="R1695" t="s">
        <v>4597</v>
      </c>
    </row>
    <row r="1696" spans="1:18" x14ac:dyDescent="0.3">
      <c r="A1696" s="2" t="str">
        <f>HYPERLINK(B1696,"Oppna PDF")</f>
        <v>Oppna PDF</v>
      </c>
      <c r="B1696" t="s">
        <v>4594</v>
      </c>
      <c r="C1696" t="s">
        <v>4598</v>
      </c>
      <c r="D1696" t="s">
        <v>4588</v>
      </c>
      <c r="E1696" t="s">
        <v>4596</v>
      </c>
      <c r="F1696" t="s">
        <v>4590</v>
      </c>
      <c r="G1696" t="s">
        <v>4591</v>
      </c>
      <c r="H1696" t="s">
        <v>61</v>
      </c>
      <c r="I1696" t="s">
        <v>4592</v>
      </c>
      <c r="J1696" t="s">
        <v>48</v>
      </c>
      <c r="K1696" t="s">
        <v>49</v>
      </c>
      <c r="L1696" t="s">
        <v>29</v>
      </c>
      <c r="M1696" t="s">
        <v>30</v>
      </c>
      <c r="N1696" t="s">
        <v>31</v>
      </c>
      <c r="Q1696" t="s">
        <v>4599</v>
      </c>
      <c r="R1696" t="s">
        <v>4600</v>
      </c>
    </row>
    <row r="1697" spans="1:18" x14ac:dyDescent="0.3">
      <c r="A1697" s="2" t="str">
        <f>HYPERLINK(B1697,"Oppna PDF")</f>
        <v>Oppna PDF</v>
      </c>
      <c r="B1697" t="s">
        <v>4594</v>
      </c>
      <c r="C1697" t="s">
        <v>4601</v>
      </c>
      <c r="D1697" t="s">
        <v>4588</v>
      </c>
      <c r="E1697" t="s">
        <v>4596</v>
      </c>
      <c r="F1697" t="s">
        <v>4590</v>
      </c>
      <c r="G1697" t="s">
        <v>4591</v>
      </c>
      <c r="H1697" t="s">
        <v>61</v>
      </c>
      <c r="I1697" t="s">
        <v>4592</v>
      </c>
      <c r="J1697" t="s">
        <v>48</v>
      </c>
      <c r="K1697" t="s">
        <v>49</v>
      </c>
      <c r="L1697" t="s">
        <v>29</v>
      </c>
      <c r="M1697" t="s">
        <v>30</v>
      </c>
      <c r="N1697" t="s">
        <v>31</v>
      </c>
      <c r="Q1697" t="s">
        <v>4602</v>
      </c>
      <c r="R1697" t="s">
        <v>4602</v>
      </c>
    </row>
    <row r="1698" spans="1:18" x14ac:dyDescent="0.3">
      <c r="A1698" s="2" t="str">
        <f>HYPERLINK(B1698,"Oppna PDF")</f>
        <v>Oppna PDF</v>
      </c>
      <c r="B1698" t="s">
        <v>4603</v>
      </c>
      <c r="C1698" t="s">
        <v>4604</v>
      </c>
      <c r="D1698" t="s">
        <v>4588</v>
      </c>
      <c r="E1698" t="s">
        <v>4605</v>
      </c>
      <c r="F1698" t="s">
        <v>4590</v>
      </c>
      <c r="G1698" t="s">
        <v>4591</v>
      </c>
      <c r="H1698" t="s">
        <v>61</v>
      </c>
      <c r="I1698" t="s">
        <v>4592</v>
      </c>
      <c r="J1698" t="s">
        <v>91</v>
      </c>
      <c r="K1698" t="s">
        <v>92</v>
      </c>
      <c r="L1698" t="s">
        <v>29</v>
      </c>
      <c r="M1698" t="s">
        <v>30</v>
      </c>
      <c r="N1698" t="s">
        <v>31</v>
      </c>
      <c r="Q1698" t="s">
        <v>4606</v>
      </c>
      <c r="R1698" t="s">
        <v>4606</v>
      </c>
    </row>
    <row r="1699" spans="1:18" x14ac:dyDescent="0.3">
      <c r="A1699" s="2" t="str">
        <f>HYPERLINK(B1699,"Oppna PDF")</f>
        <v>Oppna PDF</v>
      </c>
      <c r="B1699" t="s">
        <v>4603</v>
      </c>
      <c r="C1699" t="s">
        <v>4607</v>
      </c>
      <c r="D1699" t="s">
        <v>4588</v>
      </c>
      <c r="E1699" t="s">
        <v>4605</v>
      </c>
      <c r="F1699" t="s">
        <v>4590</v>
      </c>
      <c r="G1699" t="s">
        <v>4591</v>
      </c>
      <c r="H1699" t="s">
        <v>61</v>
      </c>
      <c r="I1699" t="s">
        <v>4592</v>
      </c>
      <c r="J1699" t="s">
        <v>87</v>
      </c>
      <c r="K1699" t="s">
        <v>88</v>
      </c>
      <c r="L1699" t="s">
        <v>29</v>
      </c>
      <c r="M1699" t="s">
        <v>30</v>
      </c>
      <c r="N1699" t="s">
        <v>31</v>
      </c>
      <c r="Q1699" t="s">
        <v>4608</v>
      </c>
      <c r="R1699" t="s">
        <v>4608</v>
      </c>
    </row>
    <row r="1700" spans="1:18" x14ac:dyDescent="0.3">
      <c r="A1700" s="2" t="str">
        <f>HYPERLINK(B1700,"Oppna PDF")</f>
        <v>Oppna PDF</v>
      </c>
      <c r="B1700" t="s">
        <v>4603</v>
      </c>
      <c r="C1700" t="s">
        <v>4609</v>
      </c>
      <c r="D1700" t="s">
        <v>4588</v>
      </c>
      <c r="E1700" t="s">
        <v>4605</v>
      </c>
      <c r="F1700" t="s">
        <v>4590</v>
      </c>
      <c r="G1700" t="s">
        <v>4591</v>
      </c>
      <c r="H1700" t="s">
        <v>61</v>
      </c>
      <c r="I1700" t="s">
        <v>4592</v>
      </c>
      <c r="J1700" t="s">
        <v>91</v>
      </c>
      <c r="K1700" t="s">
        <v>92</v>
      </c>
      <c r="L1700" t="s">
        <v>29</v>
      </c>
      <c r="M1700" t="s">
        <v>30</v>
      </c>
      <c r="N1700" t="s">
        <v>31</v>
      </c>
      <c r="Q1700" t="s">
        <v>4610</v>
      </c>
      <c r="R1700" t="s">
        <v>4610</v>
      </c>
    </row>
    <row r="1701" spans="1:18" x14ac:dyDescent="0.3">
      <c r="A1701" s="2" t="str">
        <f>HYPERLINK(B1701,"Oppna PDF")</f>
        <v>Oppna PDF</v>
      </c>
      <c r="B1701" t="s">
        <v>4611</v>
      </c>
      <c r="C1701" t="s">
        <v>4612</v>
      </c>
      <c r="D1701" t="s">
        <v>4588</v>
      </c>
      <c r="E1701" t="s">
        <v>4613</v>
      </c>
      <c r="F1701" t="s">
        <v>4590</v>
      </c>
      <c r="G1701" t="s">
        <v>4591</v>
      </c>
      <c r="H1701" t="s">
        <v>61</v>
      </c>
      <c r="I1701" t="s">
        <v>4592</v>
      </c>
      <c r="J1701" t="s">
        <v>91</v>
      </c>
      <c r="K1701" t="s">
        <v>92</v>
      </c>
      <c r="L1701" t="s">
        <v>29</v>
      </c>
      <c r="M1701" t="s">
        <v>30</v>
      </c>
      <c r="N1701" t="s">
        <v>31</v>
      </c>
      <c r="Q1701" t="s">
        <v>4614</v>
      </c>
      <c r="R1701" t="s">
        <v>4614</v>
      </c>
    </row>
    <row r="1702" spans="1:18" x14ac:dyDescent="0.3">
      <c r="A1702" s="2" t="str">
        <f>HYPERLINK(B1702,"Oppna PDF")</f>
        <v>Oppna PDF</v>
      </c>
      <c r="B1702" t="s">
        <v>4611</v>
      </c>
      <c r="C1702" t="s">
        <v>4615</v>
      </c>
      <c r="D1702" t="s">
        <v>4588</v>
      </c>
      <c r="E1702" t="s">
        <v>4613</v>
      </c>
      <c r="F1702" t="s">
        <v>4590</v>
      </c>
      <c r="G1702" t="s">
        <v>4591</v>
      </c>
      <c r="H1702" t="s">
        <v>61</v>
      </c>
      <c r="I1702" t="s">
        <v>4592</v>
      </c>
      <c r="J1702" t="s">
        <v>87</v>
      </c>
      <c r="K1702" t="s">
        <v>88</v>
      </c>
      <c r="L1702" t="s">
        <v>29</v>
      </c>
      <c r="M1702" t="s">
        <v>30</v>
      </c>
      <c r="N1702" t="s">
        <v>31</v>
      </c>
      <c r="Q1702" t="s">
        <v>4616</v>
      </c>
      <c r="R1702" t="s">
        <v>4616</v>
      </c>
    </row>
    <row r="1703" spans="1:18" x14ac:dyDescent="0.3">
      <c r="A1703" s="2" t="str">
        <f>HYPERLINK(B1703,"Oppna PDF")</f>
        <v>Oppna PDF</v>
      </c>
      <c r="B1703" t="s">
        <v>4611</v>
      </c>
      <c r="C1703" t="s">
        <v>4617</v>
      </c>
      <c r="D1703" t="s">
        <v>4588</v>
      </c>
      <c r="E1703" t="s">
        <v>4613</v>
      </c>
      <c r="F1703" t="s">
        <v>4590</v>
      </c>
      <c r="G1703" t="s">
        <v>4591</v>
      </c>
      <c r="H1703" t="s">
        <v>61</v>
      </c>
      <c r="I1703" t="s">
        <v>4592</v>
      </c>
      <c r="J1703" t="s">
        <v>48</v>
      </c>
      <c r="K1703" t="s">
        <v>49</v>
      </c>
      <c r="L1703" t="s">
        <v>29</v>
      </c>
      <c r="M1703" t="s">
        <v>30</v>
      </c>
      <c r="N1703" t="s">
        <v>31</v>
      </c>
      <c r="Q1703" t="s">
        <v>391</v>
      </c>
      <c r="R1703" t="s">
        <v>391</v>
      </c>
    </row>
    <row r="1704" spans="1:18" x14ac:dyDescent="0.3">
      <c r="A1704" s="2" t="str">
        <f>HYPERLINK(B1704,"Oppna PDF")</f>
        <v>Oppna PDF</v>
      </c>
      <c r="B1704" t="s">
        <v>4618</v>
      </c>
      <c r="C1704" t="s">
        <v>4619</v>
      </c>
      <c r="D1704" t="s">
        <v>4588</v>
      </c>
      <c r="E1704" t="s">
        <v>4620</v>
      </c>
      <c r="F1704" t="s">
        <v>4590</v>
      </c>
      <c r="G1704" t="s">
        <v>4591</v>
      </c>
      <c r="H1704" t="s">
        <v>61</v>
      </c>
      <c r="I1704" t="s">
        <v>4592</v>
      </c>
      <c r="J1704" t="s">
        <v>27</v>
      </c>
      <c r="K1704" t="s">
        <v>28</v>
      </c>
      <c r="L1704" t="s">
        <v>29</v>
      </c>
      <c r="M1704" t="s">
        <v>30</v>
      </c>
      <c r="N1704" t="s">
        <v>31</v>
      </c>
      <c r="Q1704" t="s">
        <v>4621</v>
      </c>
      <c r="R1704" t="s">
        <v>4622</v>
      </c>
    </row>
    <row r="1705" spans="1:18" x14ac:dyDescent="0.3">
      <c r="A1705" s="2" t="str">
        <f>HYPERLINK(B1705,"Oppna PDF")</f>
        <v>Oppna PDF</v>
      </c>
      <c r="B1705" t="s">
        <v>4618</v>
      </c>
      <c r="C1705" t="s">
        <v>4623</v>
      </c>
      <c r="D1705" t="s">
        <v>4588</v>
      </c>
      <c r="E1705" t="s">
        <v>4620</v>
      </c>
      <c r="F1705" t="s">
        <v>4590</v>
      </c>
      <c r="G1705" t="s">
        <v>4591</v>
      </c>
      <c r="H1705" t="s">
        <v>61</v>
      </c>
      <c r="I1705" t="s">
        <v>4592</v>
      </c>
      <c r="J1705" t="s">
        <v>34</v>
      </c>
      <c r="K1705" t="s">
        <v>35</v>
      </c>
      <c r="L1705" t="s">
        <v>300</v>
      </c>
      <c r="M1705" t="s">
        <v>30</v>
      </c>
      <c r="N1705" t="s">
        <v>31</v>
      </c>
      <c r="Q1705" t="s">
        <v>4624</v>
      </c>
      <c r="R1705" t="s">
        <v>4624</v>
      </c>
    </row>
    <row r="1706" spans="1:18" x14ac:dyDescent="0.3">
      <c r="A1706" s="2" t="str">
        <f>HYPERLINK(B1706,"Oppna PDF")</f>
        <v>Oppna PDF</v>
      </c>
      <c r="B1706" t="s">
        <v>4618</v>
      </c>
      <c r="C1706" t="s">
        <v>4625</v>
      </c>
      <c r="D1706" t="s">
        <v>4588</v>
      </c>
      <c r="E1706" t="s">
        <v>4620</v>
      </c>
      <c r="F1706" t="s">
        <v>4590</v>
      </c>
      <c r="G1706" t="s">
        <v>4591</v>
      </c>
      <c r="H1706" t="s">
        <v>61</v>
      </c>
      <c r="I1706" t="s">
        <v>4592</v>
      </c>
      <c r="J1706" t="s">
        <v>209</v>
      </c>
      <c r="K1706" t="s">
        <v>210</v>
      </c>
      <c r="L1706" t="s">
        <v>29</v>
      </c>
      <c r="M1706" t="s">
        <v>30</v>
      </c>
      <c r="N1706" t="s">
        <v>31</v>
      </c>
      <c r="Q1706" t="s">
        <v>4626</v>
      </c>
      <c r="R1706" t="s">
        <v>4626</v>
      </c>
    </row>
    <row r="1707" spans="1:18" x14ac:dyDescent="0.3">
      <c r="A1707" s="2" t="str">
        <f>HYPERLINK(B1707,"Oppna PDF")</f>
        <v>Oppna PDF</v>
      </c>
      <c r="B1707" t="s">
        <v>4627</v>
      </c>
      <c r="C1707" t="s">
        <v>4628</v>
      </c>
      <c r="D1707" t="s">
        <v>4629</v>
      </c>
      <c r="E1707" t="s">
        <v>4630</v>
      </c>
      <c r="F1707" t="s">
        <v>4590</v>
      </c>
      <c r="G1707" t="s">
        <v>4591</v>
      </c>
      <c r="H1707" t="s">
        <v>61</v>
      </c>
      <c r="I1707" t="s">
        <v>4592</v>
      </c>
      <c r="J1707" t="s">
        <v>48</v>
      </c>
      <c r="K1707" t="s">
        <v>49</v>
      </c>
      <c r="L1707" t="s">
        <v>29</v>
      </c>
      <c r="M1707" t="s">
        <v>30</v>
      </c>
      <c r="N1707" t="s">
        <v>31</v>
      </c>
      <c r="Q1707" t="s">
        <v>4593</v>
      </c>
      <c r="R1707" t="s">
        <v>4593</v>
      </c>
    </row>
    <row r="1708" spans="1:18" x14ac:dyDescent="0.3">
      <c r="A1708" s="2" t="str">
        <f>HYPERLINK(B1708,"Oppna PDF")</f>
        <v>Oppna PDF</v>
      </c>
      <c r="B1708" t="s">
        <v>4631</v>
      </c>
      <c r="C1708" t="s">
        <v>4632</v>
      </c>
      <c r="D1708" t="s">
        <v>4629</v>
      </c>
      <c r="E1708" t="s">
        <v>4633</v>
      </c>
      <c r="F1708" t="s">
        <v>4590</v>
      </c>
      <c r="G1708" t="s">
        <v>4591</v>
      </c>
      <c r="H1708" t="s">
        <v>61</v>
      </c>
      <c r="I1708" t="s">
        <v>4592</v>
      </c>
      <c r="J1708" t="s">
        <v>48</v>
      </c>
      <c r="K1708" t="s">
        <v>49</v>
      </c>
      <c r="L1708" t="s">
        <v>29</v>
      </c>
      <c r="M1708" t="s">
        <v>30</v>
      </c>
      <c r="N1708" t="s">
        <v>31</v>
      </c>
      <c r="Q1708" t="s">
        <v>4597</v>
      </c>
      <c r="R1708" t="s">
        <v>4597</v>
      </c>
    </row>
    <row r="1709" spans="1:18" x14ac:dyDescent="0.3">
      <c r="A1709" s="2" t="str">
        <f>HYPERLINK(B1709,"Oppna PDF")</f>
        <v>Oppna PDF</v>
      </c>
      <c r="B1709" t="s">
        <v>4631</v>
      </c>
      <c r="C1709" t="s">
        <v>4634</v>
      </c>
      <c r="D1709" t="s">
        <v>4629</v>
      </c>
      <c r="E1709" t="s">
        <v>4633</v>
      </c>
      <c r="F1709" t="s">
        <v>4590</v>
      </c>
      <c r="G1709" t="s">
        <v>4591</v>
      </c>
      <c r="H1709" t="s">
        <v>61</v>
      </c>
      <c r="I1709" t="s">
        <v>4592</v>
      </c>
      <c r="J1709" t="s">
        <v>48</v>
      </c>
      <c r="K1709" t="s">
        <v>49</v>
      </c>
      <c r="L1709" t="s">
        <v>29</v>
      </c>
      <c r="M1709" t="s">
        <v>30</v>
      </c>
      <c r="N1709" t="s">
        <v>31</v>
      </c>
      <c r="Q1709" t="s">
        <v>4599</v>
      </c>
      <c r="R1709" t="s">
        <v>4600</v>
      </c>
    </row>
    <row r="1710" spans="1:18" x14ac:dyDescent="0.3">
      <c r="A1710" s="2" t="str">
        <f>HYPERLINK(B1710,"Oppna PDF")</f>
        <v>Oppna PDF</v>
      </c>
      <c r="B1710" t="s">
        <v>4631</v>
      </c>
      <c r="C1710" t="s">
        <v>4635</v>
      </c>
      <c r="D1710" t="s">
        <v>4629</v>
      </c>
      <c r="E1710" t="s">
        <v>4633</v>
      </c>
      <c r="F1710" t="s">
        <v>4590</v>
      </c>
      <c r="G1710" t="s">
        <v>4591</v>
      </c>
      <c r="H1710" t="s">
        <v>61</v>
      </c>
      <c r="I1710" t="s">
        <v>4592</v>
      </c>
      <c r="J1710" t="s">
        <v>48</v>
      </c>
      <c r="K1710" t="s">
        <v>49</v>
      </c>
      <c r="L1710" t="s">
        <v>29</v>
      </c>
      <c r="M1710" t="s">
        <v>30</v>
      </c>
      <c r="N1710" t="s">
        <v>31</v>
      </c>
      <c r="Q1710" t="s">
        <v>4602</v>
      </c>
      <c r="R1710" t="s">
        <v>4602</v>
      </c>
    </row>
    <row r="1711" spans="1:18" x14ac:dyDescent="0.3">
      <c r="A1711" s="2" t="str">
        <f>HYPERLINK(B1711,"Oppna PDF")</f>
        <v>Oppna PDF</v>
      </c>
      <c r="B1711" t="s">
        <v>4636</v>
      </c>
      <c r="C1711" t="s">
        <v>4637</v>
      </c>
      <c r="D1711" t="s">
        <v>4629</v>
      </c>
      <c r="E1711" t="s">
        <v>4638</v>
      </c>
      <c r="F1711" t="s">
        <v>4590</v>
      </c>
      <c r="G1711" t="s">
        <v>4591</v>
      </c>
      <c r="H1711" t="s">
        <v>61</v>
      </c>
      <c r="I1711" t="s">
        <v>4592</v>
      </c>
      <c r="J1711" t="s">
        <v>91</v>
      </c>
      <c r="K1711" t="s">
        <v>92</v>
      </c>
      <c r="L1711" t="s">
        <v>29</v>
      </c>
      <c r="M1711" t="s">
        <v>30</v>
      </c>
      <c r="N1711" t="s">
        <v>31</v>
      </c>
      <c r="Q1711" t="s">
        <v>4606</v>
      </c>
      <c r="R1711" t="s">
        <v>4606</v>
      </c>
    </row>
    <row r="1712" spans="1:18" x14ac:dyDescent="0.3">
      <c r="A1712" s="2" t="str">
        <f>HYPERLINK(B1712,"Oppna PDF")</f>
        <v>Oppna PDF</v>
      </c>
      <c r="B1712" t="s">
        <v>4636</v>
      </c>
      <c r="C1712" t="s">
        <v>4639</v>
      </c>
      <c r="D1712" t="s">
        <v>4629</v>
      </c>
      <c r="E1712" t="s">
        <v>4638</v>
      </c>
      <c r="F1712" t="s">
        <v>4590</v>
      </c>
      <c r="G1712" t="s">
        <v>4591</v>
      </c>
      <c r="H1712" t="s">
        <v>61</v>
      </c>
      <c r="I1712" t="s">
        <v>4592</v>
      </c>
      <c r="J1712" t="s">
        <v>87</v>
      </c>
      <c r="K1712" t="s">
        <v>88</v>
      </c>
      <c r="L1712" t="s">
        <v>29</v>
      </c>
      <c r="M1712" t="s">
        <v>30</v>
      </c>
      <c r="N1712" t="s">
        <v>31</v>
      </c>
      <c r="Q1712" t="s">
        <v>4608</v>
      </c>
      <c r="R1712" t="s">
        <v>4608</v>
      </c>
    </row>
    <row r="1713" spans="1:18" x14ac:dyDescent="0.3">
      <c r="A1713" s="2" t="str">
        <f>HYPERLINK(B1713,"Oppna PDF")</f>
        <v>Oppna PDF</v>
      </c>
      <c r="B1713" t="s">
        <v>4636</v>
      </c>
      <c r="C1713" t="s">
        <v>4640</v>
      </c>
      <c r="D1713" t="s">
        <v>4629</v>
      </c>
      <c r="E1713" t="s">
        <v>4638</v>
      </c>
      <c r="F1713" t="s">
        <v>4590</v>
      </c>
      <c r="G1713" t="s">
        <v>4591</v>
      </c>
      <c r="H1713" t="s">
        <v>61</v>
      </c>
      <c r="I1713" t="s">
        <v>4592</v>
      </c>
      <c r="J1713" t="s">
        <v>91</v>
      </c>
      <c r="K1713" t="s">
        <v>92</v>
      </c>
      <c r="L1713" t="s">
        <v>29</v>
      </c>
      <c r="M1713" t="s">
        <v>30</v>
      </c>
      <c r="N1713" t="s">
        <v>31</v>
      </c>
      <c r="Q1713" t="s">
        <v>4610</v>
      </c>
      <c r="R1713" t="s">
        <v>4610</v>
      </c>
    </row>
    <row r="1714" spans="1:18" x14ac:dyDescent="0.3">
      <c r="A1714" s="2" t="str">
        <f>HYPERLINK(B1714,"Oppna PDF")</f>
        <v>Oppna PDF</v>
      </c>
      <c r="B1714" t="s">
        <v>4641</v>
      </c>
      <c r="C1714" t="s">
        <v>4642</v>
      </c>
      <c r="D1714" t="s">
        <v>4629</v>
      </c>
      <c r="E1714" t="s">
        <v>4643</v>
      </c>
      <c r="F1714" t="s">
        <v>4590</v>
      </c>
      <c r="G1714" t="s">
        <v>4591</v>
      </c>
      <c r="H1714" t="s">
        <v>61</v>
      </c>
      <c r="I1714" t="s">
        <v>4592</v>
      </c>
      <c r="J1714" t="s">
        <v>91</v>
      </c>
      <c r="K1714" t="s">
        <v>92</v>
      </c>
      <c r="L1714" t="s">
        <v>29</v>
      </c>
      <c r="M1714" t="s">
        <v>30</v>
      </c>
      <c r="N1714" t="s">
        <v>31</v>
      </c>
      <c r="Q1714" t="s">
        <v>4614</v>
      </c>
      <c r="R1714" t="s">
        <v>4614</v>
      </c>
    </row>
    <row r="1715" spans="1:18" x14ac:dyDescent="0.3">
      <c r="A1715" s="2" t="str">
        <f>HYPERLINK(B1715,"Oppna PDF")</f>
        <v>Oppna PDF</v>
      </c>
      <c r="B1715" t="s">
        <v>4641</v>
      </c>
      <c r="C1715" t="s">
        <v>4644</v>
      </c>
      <c r="D1715" t="s">
        <v>4629</v>
      </c>
      <c r="E1715" t="s">
        <v>4643</v>
      </c>
      <c r="F1715" t="s">
        <v>4590</v>
      </c>
      <c r="G1715" t="s">
        <v>4591</v>
      </c>
      <c r="H1715" t="s">
        <v>61</v>
      </c>
      <c r="I1715" t="s">
        <v>4592</v>
      </c>
      <c r="J1715" t="s">
        <v>87</v>
      </c>
      <c r="K1715" t="s">
        <v>88</v>
      </c>
      <c r="L1715" t="s">
        <v>29</v>
      </c>
      <c r="M1715" t="s">
        <v>30</v>
      </c>
      <c r="N1715" t="s">
        <v>31</v>
      </c>
      <c r="Q1715" t="s">
        <v>4616</v>
      </c>
      <c r="R1715" t="s">
        <v>4616</v>
      </c>
    </row>
    <row r="1716" spans="1:18" x14ac:dyDescent="0.3">
      <c r="A1716" s="2" t="str">
        <f>HYPERLINK(B1716,"Oppna PDF")</f>
        <v>Oppna PDF</v>
      </c>
      <c r="B1716" t="s">
        <v>4641</v>
      </c>
      <c r="C1716" t="s">
        <v>4645</v>
      </c>
      <c r="D1716" t="s">
        <v>4629</v>
      </c>
      <c r="E1716" t="s">
        <v>4643</v>
      </c>
      <c r="F1716" t="s">
        <v>4590</v>
      </c>
      <c r="G1716" t="s">
        <v>4591</v>
      </c>
      <c r="H1716" t="s">
        <v>61</v>
      </c>
      <c r="I1716" t="s">
        <v>4592</v>
      </c>
      <c r="J1716" t="s">
        <v>48</v>
      </c>
      <c r="K1716" t="s">
        <v>49</v>
      </c>
      <c r="L1716" t="s">
        <v>29</v>
      </c>
      <c r="M1716" t="s">
        <v>30</v>
      </c>
      <c r="N1716" t="s">
        <v>31</v>
      </c>
      <c r="Q1716" t="s">
        <v>391</v>
      </c>
      <c r="R1716" t="s">
        <v>391</v>
      </c>
    </row>
    <row r="1717" spans="1:18" x14ac:dyDescent="0.3">
      <c r="A1717" s="2" t="str">
        <f>HYPERLINK(B1717,"Oppna PDF")</f>
        <v>Oppna PDF</v>
      </c>
      <c r="B1717" t="s">
        <v>4646</v>
      </c>
      <c r="C1717" t="s">
        <v>4647</v>
      </c>
      <c r="D1717" t="s">
        <v>4629</v>
      </c>
      <c r="E1717" t="s">
        <v>4648</v>
      </c>
      <c r="F1717" t="s">
        <v>4590</v>
      </c>
      <c r="G1717" t="s">
        <v>4591</v>
      </c>
      <c r="H1717" t="s">
        <v>61</v>
      </c>
      <c r="I1717" t="s">
        <v>4592</v>
      </c>
      <c r="J1717" t="s">
        <v>27</v>
      </c>
      <c r="K1717" t="s">
        <v>28</v>
      </c>
      <c r="L1717" t="s">
        <v>29</v>
      </c>
      <c r="M1717" t="s">
        <v>30</v>
      </c>
      <c r="N1717" t="s">
        <v>31</v>
      </c>
      <c r="Q1717" t="s">
        <v>4621</v>
      </c>
      <c r="R1717" t="s">
        <v>4622</v>
      </c>
    </row>
    <row r="1718" spans="1:18" x14ac:dyDescent="0.3">
      <c r="A1718" s="2" t="str">
        <f>HYPERLINK(B1718,"Oppna PDF")</f>
        <v>Oppna PDF</v>
      </c>
      <c r="B1718" t="s">
        <v>4646</v>
      </c>
      <c r="C1718" t="s">
        <v>4649</v>
      </c>
      <c r="D1718" t="s">
        <v>4629</v>
      </c>
      <c r="E1718" t="s">
        <v>4648</v>
      </c>
      <c r="F1718" t="s">
        <v>4590</v>
      </c>
      <c r="G1718" t="s">
        <v>4591</v>
      </c>
      <c r="H1718" t="s">
        <v>61</v>
      </c>
      <c r="I1718" t="s">
        <v>4592</v>
      </c>
      <c r="J1718" t="s">
        <v>34</v>
      </c>
      <c r="K1718" t="s">
        <v>35</v>
      </c>
      <c r="L1718" t="s">
        <v>300</v>
      </c>
      <c r="M1718" t="s">
        <v>30</v>
      </c>
      <c r="N1718" t="s">
        <v>31</v>
      </c>
      <c r="Q1718" t="s">
        <v>4624</v>
      </c>
      <c r="R1718" t="s">
        <v>4624</v>
      </c>
    </row>
    <row r="1719" spans="1:18" x14ac:dyDescent="0.3">
      <c r="A1719" s="2" t="str">
        <f>HYPERLINK(B1719,"Oppna PDF")</f>
        <v>Oppna PDF</v>
      </c>
      <c r="B1719" t="s">
        <v>4646</v>
      </c>
      <c r="C1719" t="s">
        <v>4650</v>
      </c>
      <c r="D1719" t="s">
        <v>4629</v>
      </c>
      <c r="E1719" t="s">
        <v>4648</v>
      </c>
      <c r="F1719" t="s">
        <v>4590</v>
      </c>
      <c r="G1719" t="s">
        <v>4591</v>
      </c>
      <c r="H1719" t="s">
        <v>61</v>
      </c>
      <c r="I1719" t="s">
        <v>4592</v>
      </c>
      <c r="J1719" t="s">
        <v>209</v>
      </c>
      <c r="K1719" t="s">
        <v>210</v>
      </c>
      <c r="L1719" t="s">
        <v>29</v>
      </c>
      <c r="M1719" t="s">
        <v>30</v>
      </c>
      <c r="N1719" t="s">
        <v>31</v>
      </c>
      <c r="Q1719" t="s">
        <v>4626</v>
      </c>
      <c r="R1719" t="s">
        <v>4626</v>
      </c>
    </row>
    <row r="1720" spans="1:18" x14ac:dyDescent="0.3">
      <c r="A1720" s="2" t="str">
        <f>HYPERLINK(B1720,"Oppna PDF")</f>
        <v>Oppna PDF</v>
      </c>
      <c r="B1720" t="s">
        <v>4651</v>
      </c>
      <c r="C1720" t="s">
        <v>4652</v>
      </c>
      <c r="D1720" t="s">
        <v>4653</v>
      </c>
      <c r="E1720" t="s">
        <v>4654</v>
      </c>
      <c r="F1720" t="s">
        <v>4590</v>
      </c>
      <c r="G1720" t="s">
        <v>4591</v>
      </c>
      <c r="H1720" t="s">
        <v>61</v>
      </c>
      <c r="I1720" t="s">
        <v>4655</v>
      </c>
      <c r="J1720" t="s">
        <v>38</v>
      </c>
      <c r="K1720" t="s">
        <v>39</v>
      </c>
      <c r="L1720" t="s">
        <v>142</v>
      </c>
      <c r="M1720" t="s">
        <v>30</v>
      </c>
      <c r="N1720" t="s">
        <v>31</v>
      </c>
      <c r="Q1720" t="s">
        <v>4656</v>
      </c>
      <c r="R1720" t="s">
        <v>4657</v>
      </c>
    </row>
    <row r="1721" spans="1:18" x14ac:dyDescent="0.3">
      <c r="A1721" s="2" t="str">
        <f>HYPERLINK(B1721,"Oppna PDF")</f>
        <v>Oppna PDF</v>
      </c>
      <c r="B1721" t="s">
        <v>4651</v>
      </c>
      <c r="C1721" t="s">
        <v>4658</v>
      </c>
      <c r="D1721" t="s">
        <v>4653</v>
      </c>
      <c r="E1721" t="s">
        <v>4654</v>
      </c>
      <c r="F1721" t="s">
        <v>4590</v>
      </c>
      <c r="G1721" t="s">
        <v>4591</v>
      </c>
      <c r="H1721" t="s">
        <v>61</v>
      </c>
      <c r="I1721" t="s">
        <v>4655</v>
      </c>
      <c r="J1721" t="s">
        <v>34</v>
      </c>
      <c r="K1721" t="s">
        <v>35</v>
      </c>
      <c r="L1721" t="s">
        <v>29</v>
      </c>
      <c r="M1721" t="s">
        <v>30</v>
      </c>
      <c r="N1721" t="s">
        <v>31</v>
      </c>
      <c r="Q1721" t="s">
        <v>4659</v>
      </c>
      <c r="R1721" t="s">
        <v>4659</v>
      </c>
    </row>
    <row r="1722" spans="1:18" x14ac:dyDescent="0.3">
      <c r="A1722" s="2" t="str">
        <f>HYPERLINK(B1722,"Oppna PDF")</f>
        <v>Oppna PDF</v>
      </c>
      <c r="B1722" t="s">
        <v>4651</v>
      </c>
      <c r="C1722" t="s">
        <v>4660</v>
      </c>
      <c r="D1722" t="s">
        <v>4653</v>
      </c>
      <c r="E1722" t="s">
        <v>4654</v>
      </c>
      <c r="F1722" t="s">
        <v>4590</v>
      </c>
      <c r="G1722" t="s">
        <v>4591</v>
      </c>
      <c r="H1722" t="s">
        <v>61</v>
      </c>
      <c r="I1722" t="s">
        <v>4655</v>
      </c>
      <c r="J1722" t="s">
        <v>38</v>
      </c>
      <c r="K1722" t="s">
        <v>39</v>
      </c>
      <c r="L1722" t="s">
        <v>29</v>
      </c>
      <c r="M1722" t="s">
        <v>30</v>
      </c>
      <c r="N1722" t="s">
        <v>31</v>
      </c>
      <c r="Q1722" t="s">
        <v>4661</v>
      </c>
      <c r="R1722" t="s">
        <v>4661</v>
      </c>
    </row>
    <row r="1723" spans="1:18" x14ac:dyDescent="0.3">
      <c r="A1723" s="2" t="str">
        <f>HYPERLINK(B1723,"Oppna PDF")</f>
        <v>Oppna PDF</v>
      </c>
      <c r="B1723" t="s">
        <v>4662</v>
      </c>
      <c r="C1723" t="s">
        <v>4663</v>
      </c>
      <c r="D1723" t="s">
        <v>4653</v>
      </c>
      <c r="E1723" t="s">
        <v>4664</v>
      </c>
      <c r="F1723" t="s">
        <v>4590</v>
      </c>
      <c r="G1723" t="s">
        <v>4591</v>
      </c>
      <c r="H1723" t="s">
        <v>61</v>
      </c>
      <c r="I1723" t="s">
        <v>4655</v>
      </c>
      <c r="J1723" t="s">
        <v>48</v>
      </c>
      <c r="K1723" t="s">
        <v>49</v>
      </c>
      <c r="L1723" t="s">
        <v>29</v>
      </c>
      <c r="M1723" t="s">
        <v>30</v>
      </c>
      <c r="N1723" t="s">
        <v>31</v>
      </c>
      <c r="Q1723" t="s">
        <v>3741</v>
      </c>
      <c r="R1723" t="s">
        <v>3741</v>
      </c>
    </row>
    <row r="1724" spans="1:18" x14ac:dyDescent="0.3">
      <c r="A1724" s="2" t="str">
        <f>HYPERLINK(B1724,"Oppna PDF")</f>
        <v>Oppna PDF</v>
      </c>
      <c r="B1724" t="s">
        <v>4662</v>
      </c>
      <c r="C1724" t="s">
        <v>4665</v>
      </c>
      <c r="D1724" t="s">
        <v>4653</v>
      </c>
      <c r="E1724" t="s">
        <v>4664</v>
      </c>
      <c r="F1724" t="s">
        <v>4590</v>
      </c>
      <c r="G1724" t="s">
        <v>4591</v>
      </c>
      <c r="H1724" t="s">
        <v>61</v>
      </c>
      <c r="I1724" t="s">
        <v>4655</v>
      </c>
      <c r="J1724" t="s">
        <v>38</v>
      </c>
      <c r="K1724" t="s">
        <v>39</v>
      </c>
      <c r="L1724" t="s">
        <v>142</v>
      </c>
      <c r="M1724" t="s">
        <v>30</v>
      </c>
      <c r="N1724" t="s">
        <v>31</v>
      </c>
      <c r="Q1724" t="s">
        <v>4656</v>
      </c>
      <c r="R1724" t="s">
        <v>4657</v>
      </c>
    </row>
    <row r="1725" spans="1:18" x14ac:dyDescent="0.3">
      <c r="A1725" s="2" t="str">
        <f>HYPERLINK(B1725,"Oppna PDF")</f>
        <v>Oppna PDF</v>
      </c>
      <c r="B1725" t="s">
        <v>4662</v>
      </c>
      <c r="C1725" t="s">
        <v>4666</v>
      </c>
      <c r="D1725" t="s">
        <v>4653</v>
      </c>
      <c r="E1725" t="s">
        <v>4664</v>
      </c>
      <c r="F1725" t="s">
        <v>4590</v>
      </c>
      <c r="G1725" t="s">
        <v>4591</v>
      </c>
      <c r="H1725" t="s">
        <v>61</v>
      </c>
      <c r="I1725" t="s">
        <v>4655</v>
      </c>
      <c r="J1725" t="s">
        <v>48</v>
      </c>
      <c r="K1725" t="s">
        <v>49</v>
      </c>
      <c r="L1725" t="s">
        <v>29</v>
      </c>
      <c r="M1725" t="s">
        <v>30</v>
      </c>
      <c r="N1725" t="s">
        <v>31</v>
      </c>
      <c r="Q1725" t="s">
        <v>3750</v>
      </c>
      <c r="R1725" t="s">
        <v>3750</v>
      </c>
    </row>
    <row r="1726" spans="1:18" x14ac:dyDescent="0.3">
      <c r="A1726" s="2" t="str">
        <f>HYPERLINK(B1726,"Oppna PDF")</f>
        <v>Oppna PDF</v>
      </c>
      <c r="B1726" t="s">
        <v>4667</v>
      </c>
      <c r="C1726" t="s">
        <v>4668</v>
      </c>
      <c r="D1726" t="s">
        <v>4653</v>
      </c>
      <c r="E1726" t="s">
        <v>4669</v>
      </c>
      <c r="F1726" t="s">
        <v>4590</v>
      </c>
      <c r="G1726" t="s">
        <v>4591</v>
      </c>
      <c r="H1726" t="s">
        <v>61</v>
      </c>
      <c r="I1726" t="s">
        <v>4655</v>
      </c>
      <c r="J1726" t="s">
        <v>38</v>
      </c>
      <c r="K1726" t="s">
        <v>39</v>
      </c>
      <c r="L1726" t="s">
        <v>142</v>
      </c>
      <c r="M1726" t="s">
        <v>30</v>
      </c>
      <c r="N1726" t="s">
        <v>31</v>
      </c>
      <c r="Q1726" t="s">
        <v>4656</v>
      </c>
      <c r="R1726" t="s">
        <v>4657</v>
      </c>
    </row>
    <row r="1727" spans="1:18" x14ac:dyDescent="0.3">
      <c r="A1727" s="2" t="str">
        <f>HYPERLINK(B1727,"Oppna PDF")</f>
        <v>Oppna PDF</v>
      </c>
      <c r="B1727" t="s">
        <v>4667</v>
      </c>
      <c r="C1727" t="s">
        <v>4670</v>
      </c>
      <c r="D1727" t="s">
        <v>4653</v>
      </c>
      <c r="E1727" t="s">
        <v>4669</v>
      </c>
      <c r="F1727" t="s">
        <v>4590</v>
      </c>
      <c r="G1727" t="s">
        <v>4591</v>
      </c>
      <c r="H1727" t="s">
        <v>61</v>
      </c>
      <c r="I1727" t="s">
        <v>4655</v>
      </c>
      <c r="J1727" t="s">
        <v>48</v>
      </c>
      <c r="K1727" t="s">
        <v>49</v>
      </c>
      <c r="L1727" t="s">
        <v>29</v>
      </c>
      <c r="M1727" t="s">
        <v>30</v>
      </c>
      <c r="N1727" t="s">
        <v>31</v>
      </c>
      <c r="Q1727" t="s">
        <v>4671</v>
      </c>
      <c r="R1727" t="s">
        <v>4672</v>
      </c>
    </row>
    <row r="1728" spans="1:18" x14ac:dyDescent="0.3">
      <c r="A1728" s="2" t="str">
        <f>HYPERLINK(B1728,"Oppna PDF")</f>
        <v>Oppna PDF</v>
      </c>
      <c r="B1728" t="s">
        <v>4667</v>
      </c>
      <c r="C1728" t="s">
        <v>4673</v>
      </c>
      <c r="D1728" t="s">
        <v>4653</v>
      </c>
      <c r="E1728" t="s">
        <v>4669</v>
      </c>
      <c r="F1728" t="s">
        <v>4590</v>
      </c>
      <c r="G1728" t="s">
        <v>4591</v>
      </c>
      <c r="H1728" t="s">
        <v>61</v>
      </c>
      <c r="I1728" t="s">
        <v>4655</v>
      </c>
      <c r="J1728" t="s">
        <v>48</v>
      </c>
      <c r="K1728" t="s">
        <v>49</v>
      </c>
      <c r="L1728" t="s">
        <v>29</v>
      </c>
      <c r="M1728" t="s">
        <v>30</v>
      </c>
      <c r="N1728" t="s">
        <v>31</v>
      </c>
      <c r="Q1728" t="s">
        <v>3750</v>
      </c>
      <c r="R1728" t="s">
        <v>3750</v>
      </c>
    </row>
    <row r="1729" spans="1:18" x14ac:dyDescent="0.3">
      <c r="A1729" s="2" t="str">
        <f>HYPERLINK(B1729,"Oppna PDF")</f>
        <v>Oppna PDF</v>
      </c>
      <c r="B1729" t="s">
        <v>4674</v>
      </c>
      <c r="C1729" t="s">
        <v>4675</v>
      </c>
      <c r="D1729" t="s">
        <v>4653</v>
      </c>
      <c r="E1729" t="s">
        <v>4676</v>
      </c>
      <c r="F1729" t="s">
        <v>4590</v>
      </c>
      <c r="G1729" t="s">
        <v>4591</v>
      </c>
      <c r="H1729" t="s">
        <v>61</v>
      </c>
      <c r="I1729" t="s">
        <v>4655</v>
      </c>
      <c r="J1729" t="s">
        <v>48</v>
      </c>
      <c r="K1729" t="s">
        <v>49</v>
      </c>
      <c r="L1729" t="s">
        <v>29</v>
      </c>
      <c r="M1729" t="s">
        <v>30</v>
      </c>
      <c r="N1729" t="s">
        <v>31</v>
      </c>
      <c r="Q1729" t="s">
        <v>3741</v>
      </c>
      <c r="R1729" t="s">
        <v>3741</v>
      </c>
    </row>
    <row r="1730" spans="1:18" x14ac:dyDescent="0.3">
      <c r="A1730" s="2" t="str">
        <f>HYPERLINK(B1730,"Oppna PDF")</f>
        <v>Oppna PDF</v>
      </c>
      <c r="B1730" t="s">
        <v>4674</v>
      </c>
      <c r="C1730" t="s">
        <v>4677</v>
      </c>
      <c r="D1730" t="s">
        <v>4653</v>
      </c>
      <c r="E1730" t="s">
        <v>4676</v>
      </c>
      <c r="F1730" t="s">
        <v>4590</v>
      </c>
      <c r="G1730" t="s">
        <v>4591</v>
      </c>
      <c r="H1730" t="s">
        <v>61</v>
      </c>
      <c r="I1730" t="s">
        <v>4655</v>
      </c>
      <c r="J1730" t="s">
        <v>38</v>
      </c>
      <c r="K1730" t="s">
        <v>39</v>
      </c>
      <c r="L1730" t="s">
        <v>142</v>
      </c>
      <c r="M1730" t="s">
        <v>30</v>
      </c>
      <c r="N1730" t="s">
        <v>31</v>
      </c>
      <c r="Q1730" t="s">
        <v>4656</v>
      </c>
      <c r="R1730" t="s">
        <v>4657</v>
      </c>
    </row>
    <row r="1731" spans="1:18" x14ac:dyDescent="0.3">
      <c r="A1731" s="2" t="str">
        <f>HYPERLINK(B1731,"Oppna PDF")</f>
        <v>Oppna PDF</v>
      </c>
      <c r="B1731" t="s">
        <v>4674</v>
      </c>
      <c r="C1731" t="s">
        <v>4678</v>
      </c>
      <c r="D1731" t="s">
        <v>4653</v>
      </c>
      <c r="E1731" t="s">
        <v>4676</v>
      </c>
      <c r="F1731" t="s">
        <v>4590</v>
      </c>
      <c r="G1731" t="s">
        <v>4591</v>
      </c>
      <c r="H1731" t="s">
        <v>61</v>
      </c>
      <c r="I1731" t="s">
        <v>4655</v>
      </c>
      <c r="J1731" t="s">
        <v>48</v>
      </c>
      <c r="K1731" t="s">
        <v>49</v>
      </c>
      <c r="L1731" t="s">
        <v>29</v>
      </c>
      <c r="M1731" t="s">
        <v>30</v>
      </c>
      <c r="N1731" t="s">
        <v>31</v>
      </c>
      <c r="Q1731" t="s">
        <v>3750</v>
      </c>
      <c r="R1731" t="s">
        <v>3750</v>
      </c>
    </row>
    <row r="1732" spans="1:18" x14ac:dyDescent="0.3">
      <c r="A1732" s="2" t="str">
        <f>HYPERLINK(B1732,"Oppna PDF")</f>
        <v>Oppna PDF</v>
      </c>
      <c r="B1732" t="s">
        <v>4679</v>
      </c>
      <c r="C1732" t="s">
        <v>4680</v>
      </c>
      <c r="D1732" t="s">
        <v>4681</v>
      </c>
      <c r="E1732" t="s">
        <v>4682</v>
      </c>
      <c r="F1732" t="s">
        <v>4590</v>
      </c>
      <c r="G1732" t="s">
        <v>4591</v>
      </c>
      <c r="H1732" t="s">
        <v>61</v>
      </c>
      <c r="I1732" t="s">
        <v>4655</v>
      </c>
      <c r="J1732" t="s">
        <v>38</v>
      </c>
      <c r="K1732" t="s">
        <v>39</v>
      </c>
      <c r="L1732" t="s">
        <v>142</v>
      </c>
      <c r="M1732" t="s">
        <v>30</v>
      </c>
      <c r="N1732" t="s">
        <v>31</v>
      </c>
      <c r="Q1732" t="s">
        <v>4656</v>
      </c>
      <c r="R1732" t="s">
        <v>4657</v>
      </c>
    </row>
    <row r="1733" spans="1:18" x14ac:dyDescent="0.3">
      <c r="A1733" s="2" t="str">
        <f>HYPERLINK(B1733,"Oppna PDF")</f>
        <v>Oppna PDF</v>
      </c>
      <c r="B1733" t="s">
        <v>4679</v>
      </c>
      <c r="C1733" t="s">
        <v>4683</v>
      </c>
      <c r="D1733" t="s">
        <v>4681</v>
      </c>
      <c r="E1733" t="s">
        <v>4682</v>
      </c>
      <c r="F1733" t="s">
        <v>4590</v>
      </c>
      <c r="G1733" t="s">
        <v>4591</v>
      </c>
      <c r="H1733" t="s">
        <v>61</v>
      </c>
      <c r="I1733" t="s">
        <v>4655</v>
      </c>
      <c r="J1733" t="s">
        <v>34</v>
      </c>
      <c r="K1733" t="s">
        <v>35</v>
      </c>
      <c r="L1733" t="s">
        <v>29</v>
      </c>
      <c r="M1733" t="s">
        <v>30</v>
      </c>
      <c r="N1733" t="s">
        <v>31</v>
      </c>
      <c r="Q1733" t="s">
        <v>4659</v>
      </c>
      <c r="R1733" t="s">
        <v>4659</v>
      </c>
    </row>
    <row r="1734" spans="1:18" x14ac:dyDescent="0.3">
      <c r="A1734" s="2" t="str">
        <f>HYPERLINK(B1734,"Oppna PDF")</f>
        <v>Oppna PDF</v>
      </c>
      <c r="B1734" t="s">
        <v>4679</v>
      </c>
      <c r="C1734" t="s">
        <v>4684</v>
      </c>
      <c r="D1734" t="s">
        <v>4681</v>
      </c>
      <c r="E1734" t="s">
        <v>4682</v>
      </c>
      <c r="F1734" t="s">
        <v>4590</v>
      </c>
      <c r="G1734" t="s">
        <v>4591</v>
      </c>
      <c r="H1734" t="s">
        <v>61</v>
      </c>
      <c r="I1734" t="s">
        <v>4655</v>
      </c>
      <c r="J1734" t="s">
        <v>38</v>
      </c>
      <c r="K1734" t="s">
        <v>39</v>
      </c>
      <c r="L1734" t="s">
        <v>29</v>
      </c>
      <c r="M1734" t="s">
        <v>30</v>
      </c>
      <c r="N1734" t="s">
        <v>31</v>
      </c>
      <c r="Q1734" t="s">
        <v>4661</v>
      </c>
      <c r="R1734" t="s">
        <v>4661</v>
      </c>
    </row>
    <row r="1735" spans="1:18" x14ac:dyDescent="0.3">
      <c r="A1735" s="2" t="str">
        <f>HYPERLINK(B1735,"Oppna PDF")</f>
        <v>Oppna PDF</v>
      </c>
      <c r="B1735" t="s">
        <v>4685</v>
      </c>
      <c r="C1735" t="s">
        <v>4686</v>
      </c>
      <c r="D1735" t="s">
        <v>4681</v>
      </c>
      <c r="E1735" t="s">
        <v>4687</v>
      </c>
      <c r="F1735" t="s">
        <v>4590</v>
      </c>
      <c r="G1735" t="s">
        <v>4591</v>
      </c>
      <c r="H1735" t="s">
        <v>61</v>
      </c>
      <c r="I1735" t="s">
        <v>4655</v>
      </c>
      <c r="J1735" t="s">
        <v>48</v>
      </c>
      <c r="K1735" t="s">
        <v>49</v>
      </c>
      <c r="L1735" t="s">
        <v>29</v>
      </c>
      <c r="M1735" t="s">
        <v>30</v>
      </c>
      <c r="N1735" t="s">
        <v>31</v>
      </c>
      <c r="Q1735" t="s">
        <v>3741</v>
      </c>
      <c r="R1735" t="s">
        <v>3741</v>
      </c>
    </row>
    <row r="1736" spans="1:18" x14ac:dyDescent="0.3">
      <c r="A1736" s="2" t="str">
        <f>HYPERLINK(B1736,"Oppna PDF")</f>
        <v>Oppna PDF</v>
      </c>
      <c r="B1736" t="s">
        <v>4685</v>
      </c>
      <c r="C1736" t="s">
        <v>4688</v>
      </c>
      <c r="D1736" t="s">
        <v>4681</v>
      </c>
      <c r="E1736" t="s">
        <v>4687</v>
      </c>
      <c r="F1736" t="s">
        <v>4590</v>
      </c>
      <c r="G1736" t="s">
        <v>4591</v>
      </c>
      <c r="H1736" t="s">
        <v>61</v>
      </c>
      <c r="I1736" t="s">
        <v>4655</v>
      </c>
      <c r="J1736" t="s">
        <v>38</v>
      </c>
      <c r="K1736" t="s">
        <v>39</v>
      </c>
      <c r="L1736" t="s">
        <v>142</v>
      </c>
      <c r="M1736" t="s">
        <v>30</v>
      </c>
      <c r="N1736" t="s">
        <v>31</v>
      </c>
      <c r="Q1736" t="s">
        <v>4656</v>
      </c>
      <c r="R1736" t="s">
        <v>4657</v>
      </c>
    </row>
    <row r="1737" spans="1:18" x14ac:dyDescent="0.3">
      <c r="A1737" s="2" t="str">
        <f>HYPERLINK(B1737,"Oppna PDF")</f>
        <v>Oppna PDF</v>
      </c>
      <c r="B1737" t="s">
        <v>4685</v>
      </c>
      <c r="C1737" t="s">
        <v>4689</v>
      </c>
      <c r="D1737" t="s">
        <v>4681</v>
      </c>
      <c r="E1737" t="s">
        <v>4687</v>
      </c>
      <c r="F1737" t="s">
        <v>4590</v>
      </c>
      <c r="G1737" t="s">
        <v>4591</v>
      </c>
      <c r="H1737" t="s">
        <v>61</v>
      </c>
      <c r="I1737" t="s">
        <v>4655</v>
      </c>
      <c r="J1737" t="s">
        <v>48</v>
      </c>
      <c r="K1737" t="s">
        <v>49</v>
      </c>
      <c r="L1737" t="s">
        <v>29</v>
      </c>
      <c r="M1737" t="s">
        <v>30</v>
      </c>
      <c r="N1737" t="s">
        <v>31</v>
      </c>
      <c r="Q1737" t="s">
        <v>3750</v>
      </c>
      <c r="R1737" t="s">
        <v>3750</v>
      </c>
    </row>
    <row r="1738" spans="1:18" x14ac:dyDescent="0.3">
      <c r="A1738" s="2" t="str">
        <f>HYPERLINK(B1738,"Oppna PDF")</f>
        <v>Oppna PDF</v>
      </c>
      <c r="B1738" t="s">
        <v>4690</v>
      </c>
      <c r="C1738" t="s">
        <v>4691</v>
      </c>
      <c r="D1738" t="s">
        <v>4681</v>
      </c>
      <c r="E1738" t="s">
        <v>4692</v>
      </c>
      <c r="F1738" t="s">
        <v>4590</v>
      </c>
      <c r="G1738" t="s">
        <v>4591</v>
      </c>
      <c r="H1738" t="s">
        <v>61</v>
      </c>
      <c r="I1738" t="s">
        <v>4655</v>
      </c>
      <c r="J1738" t="s">
        <v>38</v>
      </c>
      <c r="K1738" t="s">
        <v>39</v>
      </c>
      <c r="L1738" t="s">
        <v>142</v>
      </c>
      <c r="M1738" t="s">
        <v>30</v>
      </c>
      <c r="N1738" t="s">
        <v>31</v>
      </c>
      <c r="Q1738" t="s">
        <v>4656</v>
      </c>
      <c r="R1738" t="s">
        <v>4657</v>
      </c>
    </row>
    <row r="1739" spans="1:18" x14ac:dyDescent="0.3">
      <c r="A1739" s="2" t="str">
        <f>HYPERLINK(B1739,"Oppna PDF")</f>
        <v>Oppna PDF</v>
      </c>
      <c r="B1739" t="s">
        <v>4690</v>
      </c>
      <c r="C1739" t="s">
        <v>4693</v>
      </c>
      <c r="D1739" t="s">
        <v>4681</v>
      </c>
      <c r="E1739" t="s">
        <v>4692</v>
      </c>
      <c r="F1739" t="s">
        <v>4590</v>
      </c>
      <c r="G1739" t="s">
        <v>4591</v>
      </c>
      <c r="H1739" t="s">
        <v>61</v>
      </c>
      <c r="I1739" t="s">
        <v>4655</v>
      </c>
      <c r="J1739" t="s">
        <v>48</v>
      </c>
      <c r="K1739" t="s">
        <v>49</v>
      </c>
      <c r="L1739" t="s">
        <v>29</v>
      </c>
      <c r="M1739" t="s">
        <v>30</v>
      </c>
      <c r="N1739" t="s">
        <v>31</v>
      </c>
      <c r="Q1739" t="s">
        <v>4671</v>
      </c>
      <c r="R1739" t="s">
        <v>4672</v>
      </c>
    </row>
    <row r="1740" spans="1:18" x14ac:dyDescent="0.3">
      <c r="A1740" s="2" t="str">
        <f>HYPERLINK(B1740,"Oppna PDF")</f>
        <v>Oppna PDF</v>
      </c>
      <c r="B1740" t="s">
        <v>4690</v>
      </c>
      <c r="C1740" t="s">
        <v>4694</v>
      </c>
      <c r="D1740" t="s">
        <v>4681</v>
      </c>
      <c r="E1740" t="s">
        <v>4692</v>
      </c>
      <c r="F1740" t="s">
        <v>4590</v>
      </c>
      <c r="G1740" t="s">
        <v>4591</v>
      </c>
      <c r="H1740" t="s">
        <v>61</v>
      </c>
      <c r="I1740" t="s">
        <v>4655</v>
      </c>
      <c r="J1740" t="s">
        <v>48</v>
      </c>
      <c r="K1740" t="s">
        <v>49</v>
      </c>
      <c r="L1740" t="s">
        <v>29</v>
      </c>
      <c r="M1740" t="s">
        <v>30</v>
      </c>
      <c r="N1740" t="s">
        <v>31</v>
      </c>
      <c r="Q1740" t="s">
        <v>3750</v>
      </c>
      <c r="R1740" t="s">
        <v>3750</v>
      </c>
    </row>
    <row r="1741" spans="1:18" x14ac:dyDescent="0.3">
      <c r="A1741" s="2" t="str">
        <f>HYPERLINK(B1741,"Oppna PDF")</f>
        <v>Oppna PDF</v>
      </c>
      <c r="B1741" t="s">
        <v>4695</v>
      </c>
      <c r="C1741" t="s">
        <v>4696</v>
      </c>
      <c r="D1741" t="s">
        <v>4681</v>
      </c>
      <c r="E1741" t="s">
        <v>4697</v>
      </c>
      <c r="F1741" t="s">
        <v>4590</v>
      </c>
      <c r="G1741" t="s">
        <v>4591</v>
      </c>
      <c r="H1741" t="s">
        <v>61</v>
      </c>
      <c r="I1741" t="s">
        <v>4655</v>
      </c>
      <c r="J1741" t="s">
        <v>48</v>
      </c>
      <c r="K1741" t="s">
        <v>49</v>
      </c>
      <c r="L1741" t="s">
        <v>29</v>
      </c>
      <c r="M1741" t="s">
        <v>30</v>
      </c>
      <c r="N1741" t="s">
        <v>31</v>
      </c>
      <c r="Q1741" t="s">
        <v>3741</v>
      </c>
      <c r="R1741" t="s">
        <v>3741</v>
      </c>
    </row>
    <row r="1742" spans="1:18" x14ac:dyDescent="0.3">
      <c r="A1742" s="2" t="str">
        <f>HYPERLINK(B1742,"Oppna PDF")</f>
        <v>Oppna PDF</v>
      </c>
      <c r="B1742" t="s">
        <v>4695</v>
      </c>
      <c r="C1742" t="s">
        <v>4698</v>
      </c>
      <c r="D1742" t="s">
        <v>4681</v>
      </c>
      <c r="E1742" t="s">
        <v>4697</v>
      </c>
      <c r="F1742" t="s">
        <v>4590</v>
      </c>
      <c r="G1742" t="s">
        <v>4591</v>
      </c>
      <c r="H1742" t="s">
        <v>61</v>
      </c>
      <c r="I1742" t="s">
        <v>4655</v>
      </c>
      <c r="J1742" t="s">
        <v>38</v>
      </c>
      <c r="K1742" t="s">
        <v>39</v>
      </c>
      <c r="L1742" t="s">
        <v>142</v>
      </c>
      <c r="M1742" t="s">
        <v>30</v>
      </c>
      <c r="N1742" t="s">
        <v>31</v>
      </c>
      <c r="Q1742" t="s">
        <v>4656</v>
      </c>
      <c r="R1742" t="s">
        <v>4657</v>
      </c>
    </row>
    <row r="1743" spans="1:18" x14ac:dyDescent="0.3">
      <c r="A1743" s="2" t="str">
        <f>HYPERLINK(B1743,"Oppna PDF")</f>
        <v>Oppna PDF</v>
      </c>
      <c r="B1743" t="s">
        <v>4695</v>
      </c>
      <c r="C1743" t="s">
        <v>4699</v>
      </c>
      <c r="D1743" t="s">
        <v>4681</v>
      </c>
      <c r="E1743" t="s">
        <v>4697</v>
      </c>
      <c r="F1743" t="s">
        <v>4590</v>
      </c>
      <c r="G1743" t="s">
        <v>4591</v>
      </c>
      <c r="H1743" t="s">
        <v>61</v>
      </c>
      <c r="I1743" t="s">
        <v>4655</v>
      </c>
      <c r="J1743" t="s">
        <v>48</v>
      </c>
      <c r="K1743" t="s">
        <v>49</v>
      </c>
      <c r="L1743" t="s">
        <v>29</v>
      </c>
      <c r="M1743" t="s">
        <v>30</v>
      </c>
      <c r="N1743" t="s">
        <v>31</v>
      </c>
      <c r="Q1743" t="s">
        <v>3750</v>
      </c>
      <c r="R1743" t="s">
        <v>3750</v>
      </c>
    </row>
    <row r="1744" spans="1:18" x14ac:dyDescent="0.3">
      <c r="A1744" s="2" t="str">
        <f>HYPERLINK(B1744,"Oppna PDF")</f>
        <v>Oppna PDF</v>
      </c>
      <c r="B1744" t="s">
        <v>4700</v>
      </c>
      <c r="C1744" t="s">
        <v>4701</v>
      </c>
      <c r="D1744" t="s">
        <v>4702</v>
      </c>
      <c r="E1744" t="s">
        <v>4703</v>
      </c>
      <c r="H1744" t="s">
        <v>25</v>
      </c>
      <c r="I1744" t="s">
        <v>4704</v>
      </c>
      <c r="J1744" t="s">
        <v>91</v>
      </c>
      <c r="K1744" t="s">
        <v>92</v>
      </c>
      <c r="L1744" t="s">
        <v>29</v>
      </c>
      <c r="M1744" t="s">
        <v>30</v>
      </c>
      <c r="N1744" t="s">
        <v>31</v>
      </c>
      <c r="Q1744" t="s">
        <v>4705</v>
      </c>
      <c r="R1744" t="s">
        <v>4706</v>
      </c>
    </row>
    <row r="1745" spans="1:18" x14ac:dyDescent="0.3">
      <c r="A1745" s="2" t="str">
        <f>HYPERLINK(B1745,"Oppna PDF")</f>
        <v>Oppna PDF</v>
      </c>
      <c r="B1745" t="s">
        <v>4700</v>
      </c>
      <c r="C1745" t="s">
        <v>4707</v>
      </c>
      <c r="D1745" t="s">
        <v>4702</v>
      </c>
      <c r="E1745" t="s">
        <v>4703</v>
      </c>
      <c r="H1745" t="s">
        <v>25</v>
      </c>
      <c r="I1745" t="s">
        <v>4704</v>
      </c>
      <c r="J1745" t="s">
        <v>91</v>
      </c>
      <c r="K1745" t="s">
        <v>92</v>
      </c>
      <c r="L1745" t="s">
        <v>300</v>
      </c>
      <c r="M1745" t="s">
        <v>30</v>
      </c>
      <c r="N1745" t="s">
        <v>31</v>
      </c>
      <c r="Q1745" t="s">
        <v>4708</v>
      </c>
      <c r="R1745" t="s">
        <v>4708</v>
      </c>
    </row>
    <row r="1746" spans="1:18" x14ac:dyDescent="0.3">
      <c r="A1746" s="2" t="str">
        <f>HYPERLINK(B1746,"Oppna PDF")</f>
        <v>Oppna PDF</v>
      </c>
      <c r="B1746" t="s">
        <v>4700</v>
      </c>
      <c r="C1746" t="s">
        <v>4709</v>
      </c>
      <c r="D1746" t="s">
        <v>4702</v>
      </c>
      <c r="E1746" t="s">
        <v>4703</v>
      </c>
      <c r="H1746" t="s">
        <v>25</v>
      </c>
      <c r="I1746" t="s">
        <v>4704</v>
      </c>
      <c r="J1746" t="s">
        <v>48</v>
      </c>
      <c r="K1746" t="s">
        <v>49</v>
      </c>
      <c r="L1746" t="s">
        <v>29</v>
      </c>
      <c r="M1746" t="s">
        <v>30</v>
      </c>
      <c r="N1746" t="s">
        <v>31</v>
      </c>
      <c r="Q1746" t="s">
        <v>4710</v>
      </c>
      <c r="R1746" t="s">
        <v>4711</v>
      </c>
    </row>
    <row r="1747" spans="1:18" x14ac:dyDescent="0.3">
      <c r="A1747" s="2" t="str">
        <f>HYPERLINK(B1747,"Oppna PDF")</f>
        <v>Oppna PDF</v>
      </c>
      <c r="B1747" t="s">
        <v>4712</v>
      </c>
      <c r="C1747" t="s">
        <v>4713</v>
      </c>
      <c r="D1747" t="s">
        <v>4702</v>
      </c>
      <c r="E1747" t="s">
        <v>4714</v>
      </c>
      <c r="H1747" t="s">
        <v>25</v>
      </c>
      <c r="I1747" t="s">
        <v>4704</v>
      </c>
      <c r="J1747" t="s">
        <v>87</v>
      </c>
      <c r="K1747" t="s">
        <v>88</v>
      </c>
      <c r="L1747" t="s">
        <v>29</v>
      </c>
      <c r="M1747" t="s">
        <v>30</v>
      </c>
      <c r="N1747" t="s">
        <v>31</v>
      </c>
      <c r="Q1747" t="s">
        <v>4715</v>
      </c>
      <c r="R1747" t="s">
        <v>4715</v>
      </c>
    </row>
    <row r="1748" spans="1:18" x14ac:dyDescent="0.3">
      <c r="A1748" s="2" t="str">
        <f>HYPERLINK(B1748,"Oppna PDF")</f>
        <v>Oppna PDF</v>
      </c>
      <c r="B1748" t="s">
        <v>4712</v>
      </c>
      <c r="C1748" t="s">
        <v>4716</v>
      </c>
      <c r="D1748" t="s">
        <v>4702</v>
      </c>
      <c r="E1748" t="s">
        <v>4714</v>
      </c>
      <c r="H1748" t="s">
        <v>25</v>
      </c>
      <c r="I1748" t="s">
        <v>4704</v>
      </c>
      <c r="J1748" t="s">
        <v>87</v>
      </c>
      <c r="K1748" t="s">
        <v>88</v>
      </c>
      <c r="L1748" t="s">
        <v>29</v>
      </c>
      <c r="M1748" t="s">
        <v>30</v>
      </c>
      <c r="N1748" t="s">
        <v>31</v>
      </c>
      <c r="Q1748" t="s">
        <v>4717</v>
      </c>
      <c r="R1748" t="s">
        <v>4717</v>
      </c>
    </row>
    <row r="1749" spans="1:18" x14ac:dyDescent="0.3">
      <c r="A1749" s="2" t="str">
        <f>HYPERLINK(B1749,"Oppna PDF")</f>
        <v>Oppna PDF</v>
      </c>
      <c r="B1749" t="s">
        <v>4712</v>
      </c>
      <c r="C1749" t="s">
        <v>4718</v>
      </c>
      <c r="D1749" t="s">
        <v>4702</v>
      </c>
      <c r="E1749" t="s">
        <v>4714</v>
      </c>
      <c r="H1749" t="s">
        <v>25</v>
      </c>
      <c r="I1749" t="s">
        <v>4704</v>
      </c>
      <c r="J1749" t="s">
        <v>87</v>
      </c>
      <c r="K1749" t="s">
        <v>88</v>
      </c>
      <c r="L1749" t="s">
        <v>29</v>
      </c>
      <c r="M1749" t="s">
        <v>30</v>
      </c>
      <c r="N1749" t="s">
        <v>31</v>
      </c>
      <c r="Q1749" t="s">
        <v>4719</v>
      </c>
      <c r="R1749" t="s">
        <v>4719</v>
      </c>
    </row>
    <row r="1750" spans="1:18" x14ac:dyDescent="0.3">
      <c r="A1750" s="2" t="str">
        <f>HYPERLINK(B1750,"Oppna PDF")</f>
        <v>Oppna PDF</v>
      </c>
      <c r="B1750" t="s">
        <v>4720</v>
      </c>
      <c r="C1750" t="s">
        <v>4721</v>
      </c>
      <c r="D1750" t="s">
        <v>4702</v>
      </c>
      <c r="E1750" t="s">
        <v>4722</v>
      </c>
      <c r="H1750" t="s">
        <v>25</v>
      </c>
      <c r="I1750" t="s">
        <v>4704</v>
      </c>
      <c r="J1750" t="s">
        <v>87</v>
      </c>
      <c r="K1750" t="s">
        <v>88</v>
      </c>
      <c r="L1750" t="s">
        <v>29</v>
      </c>
      <c r="M1750" t="s">
        <v>30</v>
      </c>
      <c r="N1750" t="s">
        <v>31</v>
      </c>
      <c r="Q1750" t="s">
        <v>4723</v>
      </c>
      <c r="R1750" t="s">
        <v>4723</v>
      </c>
    </row>
    <row r="1751" spans="1:18" x14ac:dyDescent="0.3">
      <c r="A1751" s="2" t="str">
        <f>HYPERLINK(B1751,"Oppna PDF")</f>
        <v>Oppna PDF</v>
      </c>
      <c r="B1751" t="s">
        <v>4724</v>
      </c>
      <c r="C1751" t="s">
        <v>4725</v>
      </c>
      <c r="D1751" t="s">
        <v>4702</v>
      </c>
      <c r="E1751" t="s">
        <v>4726</v>
      </c>
      <c r="H1751" t="s">
        <v>25</v>
      </c>
      <c r="I1751" t="s">
        <v>4704</v>
      </c>
      <c r="J1751" t="s">
        <v>87</v>
      </c>
      <c r="K1751" t="s">
        <v>88</v>
      </c>
      <c r="L1751" t="s">
        <v>142</v>
      </c>
      <c r="M1751" t="s">
        <v>30</v>
      </c>
      <c r="N1751" t="s">
        <v>31</v>
      </c>
      <c r="Q1751" t="s">
        <v>4727</v>
      </c>
      <c r="R1751" t="s">
        <v>4727</v>
      </c>
    </row>
    <row r="1752" spans="1:18" x14ac:dyDescent="0.3">
      <c r="A1752" s="2" t="str">
        <f>HYPERLINK(B1752,"Oppna PDF")</f>
        <v>Oppna PDF</v>
      </c>
      <c r="B1752" t="s">
        <v>4724</v>
      </c>
      <c r="C1752" t="s">
        <v>4728</v>
      </c>
      <c r="D1752" t="s">
        <v>4702</v>
      </c>
      <c r="E1752" t="s">
        <v>4726</v>
      </c>
      <c r="H1752" t="s">
        <v>25</v>
      </c>
      <c r="I1752" t="s">
        <v>4704</v>
      </c>
      <c r="J1752" t="s">
        <v>91</v>
      </c>
      <c r="K1752" t="s">
        <v>92</v>
      </c>
      <c r="L1752" t="s">
        <v>29</v>
      </c>
      <c r="M1752" t="s">
        <v>30</v>
      </c>
      <c r="N1752" t="s">
        <v>31</v>
      </c>
      <c r="Q1752" t="s">
        <v>4729</v>
      </c>
      <c r="R1752" t="s">
        <v>4729</v>
      </c>
    </row>
    <row r="1753" spans="1:18" x14ac:dyDescent="0.3">
      <c r="A1753" s="2" t="str">
        <f>HYPERLINK(B1753,"Oppna PDF")</f>
        <v>Oppna PDF</v>
      </c>
      <c r="B1753" t="s">
        <v>4724</v>
      </c>
      <c r="C1753" t="s">
        <v>4730</v>
      </c>
      <c r="D1753" t="s">
        <v>4702</v>
      </c>
      <c r="E1753" t="s">
        <v>4726</v>
      </c>
      <c r="H1753" t="s">
        <v>25</v>
      </c>
      <c r="I1753" t="s">
        <v>4704</v>
      </c>
      <c r="J1753" t="s">
        <v>27</v>
      </c>
      <c r="K1753" t="s">
        <v>28</v>
      </c>
      <c r="L1753" t="s">
        <v>29</v>
      </c>
      <c r="M1753" t="s">
        <v>30</v>
      </c>
      <c r="N1753" t="s">
        <v>31</v>
      </c>
      <c r="Q1753" t="s">
        <v>4731</v>
      </c>
      <c r="R1753" t="s">
        <v>4731</v>
      </c>
    </row>
    <row r="1754" spans="1:18" x14ac:dyDescent="0.3">
      <c r="A1754" s="2" t="str">
        <f>HYPERLINK(B1754,"Oppna PDF")</f>
        <v>Oppna PDF</v>
      </c>
      <c r="B1754" t="s">
        <v>4732</v>
      </c>
      <c r="C1754" t="s">
        <v>4733</v>
      </c>
      <c r="D1754" t="s">
        <v>4734</v>
      </c>
      <c r="E1754" t="s">
        <v>4735</v>
      </c>
      <c r="H1754" t="s">
        <v>25</v>
      </c>
      <c r="I1754" t="s">
        <v>4704</v>
      </c>
      <c r="J1754" t="s">
        <v>91</v>
      </c>
      <c r="K1754" t="s">
        <v>92</v>
      </c>
      <c r="L1754" t="s">
        <v>29</v>
      </c>
      <c r="M1754" t="s">
        <v>30</v>
      </c>
      <c r="N1754" t="s">
        <v>31</v>
      </c>
      <c r="Q1754" t="s">
        <v>4705</v>
      </c>
      <c r="R1754" t="s">
        <v>4706</v>
      </c>
    </row>
    <row r="1755" spans="1:18" x14ac:dyDescent="0.3">
      <c r="A1755" s="2" t="str">
        <f>HYPERLINK(B1755,"Oppna PDF")</f>
        <v>Oppna PDF</v>
      </c>
      <c r="B1755" t="s">
        <v>4732</v>
      </c>
      <c r="C1755" t="s">
        <v>4736</v>
      </c>
      <c r="D1755" t="s">
        <v>4734</v>
      </c>
      <c r="E1755" t="s">
        <v>4735</v>
      </c>
      <c r="H1755" t="s">
        <v>25</v>
      </c>
      <c r="I1755" t="s">
        <v>4704</v>
      </c>
      <c r="J1755" t="s">
        <v>91</v>
      </c>
      <c r="K1755" t="s">
        <v>92</v>
      </c>
      <c r="L1755" t="s">
        <v>300</v>
      </c>
      <c r="M1755" t="s">
        <v>30</v>
      </c>
      <c r="N1755" t="s">
        <v>31</v>
      </c>
      <c r="Q1755" t="s">
        <v>4708</v>
      </c>
      <c r="R1755" t="s">
        <v>4708</v>
      </c>
    </row>
    <row r="1756" spans="1:18" x14ac:dyDescent="0.3">
      <c r="A1756" s="2" t="str">
        <f>HYPERLINK(B1756,"Oppna PDF")</f>
        <v>Oppna PDF</v>
      </c>
      <c r="B1756" t="s">
        <v>4732</v>
      </c>
      <c r="C1756" t="s">
        <v>4737</v>
      </c>
      <c r="D1756" t="s">
        <v>4734</v>
      </c>
      <c r="E1756" t="s">
        <v>4735</v>
      </c>
      <c r="H1756" t="s">
        <v>25</v>
      </c>
      <c r="I1756" t="s">
        <v>4704</v>
      </c>
      <c r="J1756" t="s">
        <v>48</v>
      </c>
      <c r="K1756" t="s">
        <v>49</v>
      </c>
      <c r="L1756" t="s">
        <v>29</v>
      </c>
      <c r="M1756" t="s">
        <v>30</v>
      </c>
      <c r="N1756" t="s">
        <v>31</v>
      </c>
      <c r="Q1756" t="s">
        <v>4710</v>
      </c>
      <c r="R1756" t="s">
        <v>4711</v>
      </c>
    </row>
    <row r="1757" spans="1:18" x14ac:dyDescent="0.3">
      <c r="A1757" s="2" t="str">
        <f>HYPERLINK(B1757,"Oppna PDF")</f>
        <v>Oppna PDF</v>
      </c>
      <c r="B1757" t="s">
        <v>4738</v>
      </c>
      <c r="C1757" t="s">
        <v>4739</v>
      </c>
      <c r="D1757" t="s">
        <v>4734</v>
      </c>
      <c r="E1757" t="s">
        <v>4740</v>
      </c>
      <c r="H1757" t="s">
        <v>25</v>
      </c>
      <c r="I1757" t="s">
        <v>4704</v>
      </c>
      <c r="J1757" t="s">
        <v>87</v>
      </c>
      <c r="K1757" t="s">
        <v>88</v>
      </c>
      <c r="L1757" t="s">
        <v>29</v>
      </c>
      <c r="M1757" t="s">
        <v>30</v>
      </c>
      <c r="N1757" t="s">
        <v>31</v>
      </c>
      <c r="Q1757" t="s">
        <v>4715</v>
      </c>
      <c r="R1757" t="s">
        <v>4715</v>
      </c>
    </row>
    <row r="1758" spans="1:18" x14ac:dyDescent="0.3">
      <c r="A1758" s="2" t="str">
        <f>HYPERLINK(B1758,"Oppna PDF")</f>
        <v>Oppna PDF</v>
      </c>
      <c r="B1758" t="s">
        <v>4738</v>
      </c>
      <c r="C1758" t="s">
        <v>4741</v>
      </c>
      <c r="D1758" t="s">
        <v>4734</v>
      </c>
      <c r="E1758" t="s">
        <v>4740</v>
      </c>
      <c r="H1758" t="s">
        <v>25</v>
      </c>
      <c r="I1758" t="s">
        <v>4704</v>
      </c>
      <c r="J1758" t="s">
        <v>87</v>
      </c>
      <c r="K1758" t="s">
        <v>88</v>
      </c>
      <c r="L1758" t="s">
        <v>29</v>
      </c>
      <c r="M1758" t="s">
        <v>30</v>
      </c>
      <c r="N1758" t="s">
        <v>31</v>
      </c>
      <c r="Q1758" t="s">
        <v>4717</v>
      </c>
      <c r="R1758" t="s">
        <v>4717</v>
      </c>
    </row>
    <row r="1759" spans="1:18" x14ac:dyDescent="0.3">
      <c r="A1759" s="2" t="str">
        <f>HYPERLINK(B1759,"Oppna PDF")</f>
        <v>Oppna PDF</v>
      </c>
      <c r="B1759" t="s">
        <v>4738</v>
      </c>
      <c r="C1759" t="s">
        <v>4742</v>
      </c>
      <c r="D1759" t="s">
        <v>4734</v>
      </c>
      <c r="E1759" t="s">
        <v>4740</v>
      </c>
      <c r="H1759" t="s">
        <v>25</v>
      </c>
      <c r="I1759" t="s">
        <v>4704</v>
      </c>
      <c r="J1759" t="s">
        <v>87</v>
      </c>
      <c r="K1759" t="s">
        <v>88</v>
      </c>
      <c r="L1759" t="s">
        <v>29</v>
      </c>
      <c r="M1759" t="s">
        <v>30</v>
      </c>
      <c r="N1759" t="s">
        <v>31</v>
      </c>
      <c r="Q1759" t="s">
        <v>4719</v>
      </c>
      <c r="R1759" t="s">
        <v>4719</v>
      </c>
    </row>
    <row r="1760" spans="1:18" x14ac:dyDescent="0.3">
      <c r="A1760" s="2" t="str">
        <f>HYPERLINK(B1760,"Oppna PDF")</f>
        <v>Oppna PDF</v>
      </c>
      <c r="B1760" t="s">
        <v>4743</v>
      </c>
      <c r="C1760" t="s">
        <v>4744</v>
      </c>
      <c r="D1760" t="s">
        <v>4734</v>
      </c>
      <c r="E1760" t="s">
        <v>4745</v>
      </c>
      <c r="H1760" t="s">
        <v>25</v>
      </c>
      <c r="I1760" t="s">
        <v>4704</v>
      </c>
      <c r="J1760" t="s">
        <v>87</v>
      </c>
      <c r="K1760" t="s">
        <v>88</v>
      </c>
      <c r="L1760" t="s">
        <v>29</v>
      </c>
      <c r="M1760" t="s">
        <v>30</v>
      </c>
      <c r="N1760" t="s">
        <v>31</v>
      </c>
      <c r="Q1760" t="s">
        <v>4723</v>
      </c>
      <c r="R1760" t="s">
        <v>4723</v>
      </c>
    </row>
    <row r="1761" spans="1:18" x14ac:dyDescent="0.3">
      <c r="A1761" s="2" t="str">
        <f>HYPERLINK(B1761,"Oppna PDF")</f>
        <v>Oppna PDF</v>
      </c>
      <c r="B1761" t="s">
        <v>4746</v>
      </c>
      <c r="C1761" t="s">
        <v>4747</v>
      </c>
      <c r="D1761" t="s">
        <v>4734</v>
      </c>
      <c r="E1761" t="s">
        <v>4748</v>
      </c>
      <c r="H1761" t="s">
        <v>25</v>
      </c>
      <c r="I1761" t="s">
        <v>4704</v>
      </c>
      <c r="J1761" t="s">
        <v>87</v>
      </c>
      <c r="K1761" t="s">
        <v>88</v>
      </c>
      <c r="L1761" t="s">
        <v>142</v>
      </c>
      <c r="M1761" t="s">
        <v>30</v>
      </c>
      <c r="N1761" t="s">
        <v>31</v>
      </c>
      <c r="Q1761" t="s">
        <v>4727</v>
      </c>
      <c r="R1761" t="s">
        <v>4727</v>
      </c>
    </row>
    <row r="1762" spans="1:18" x14ac:dyDescent="0.3">
      <c r="A1762" s="2" t="str">
        <f>HYPERLINK(B1762,"Oppna PDF")</f>
        <v>Oppna PDF</v>
      </c>
      <c r="B1762" t="s">
        <v>4746</v>
      </c>
      <c r="C1762" t="s">
        <v>4749</v>
      </c>
      <c r="D1762" t="s">
        <v>4734</v>
      </c>
      <c r="E1762" t="s">
        <v>4748</v>
      </c>
      <c r="H1762" t="s">
        <v>25</v>
      </c>
      <c r="I1762" t="s">
        <v>4704</v>
      </c>
      <c r="J1762" t="s">
        <v>91</v>
      </c>
      <c r="K1762" t="s">
        <v>92</v>
      </c>
      <c r="L1762" t="s">
        <v>29</v>
      </c>
      <c r="M1762" t="s">
        <v>30</v>
      </c>
      <c r="N1762" t="s">
        <v>31</v>
      </c>
      <c r="Q1762" t="s">
        <v>4729</v>
      </c>
      <c r="R1762" t="s">
        <v>4729</v>
      </c>
    </row>
    <row r="1763" spans="1:18" x14ac:dyDescent="0.3">
      <c r="A1763" s="2" t="str">
        <f>HYPERLINK(B1763,"Oppna PDF")</f>
        <v>Oppna PDF</v>
      </c>
      <c r="B1763" t="s">
        <v>4746</v>
      </c>
      <c r="C1763" t="s">
        <v>4750</v>
      </c>
      <c r="D1763" t="s">
        <v>4734</v>
      </c>
      <c r="E1763" t="s">
        <v>4748</v>
      </c>
      <c r="H1763" t="s">
        <v>25</v>
      </c>
      <c r="I1763" t="s">
        <v>4704</v>
      </c>
      <c r="J1763" t="s">
        <v>27</v>
      </c>
      <c r="K1763" t="s">
        <v>28</v>
      </c>
      <c r="L1763" t="s">
        <v>29</v>
      </c>
      <c r="M1763" t="s">
        <v>30</v>
      </c>
      <c r="N1763" t="s">
        <v>31</v>
      </c>
      <c r="Q1763" t="s">
        <v>4731</v>
      </c>
      <c r="R1763" t="s">
        <v>4731</v>
      </c>
    </row>
    <row r="1764" spans="1:18" x14ac:dyDescent="0.3">
      <c r="A1764" s="2" t="str">
        <f>HYPERLINK(B1764,"Oppna PDF")</f>
        <v>Oppna PDF</v>
      </c>
      <c r="B1764" t="s">
        <v>4751</v>
      </c>
      <c r="C1764" t="s">
        <v>4752</v>
      </c>
      <c r="D1764" t="s">
        <v>4753</v>
      </c>
      <c r="E1764" t="s">
        <v>4754</v>
      </c>
      <c r="H1764" t="s">
        <v>61</v>
      </c>
      <c r="I1764" t="s">
        <v>972</v>
      </c>
      <c r="J1764" t="s">
        <v>27</v>
      </c>
      <c r="K1764" t="s">
        <v>28</v>
      </c>
      <c r="L1764" t="s">
        <v>29</v>
      </c>
      <c r="M1764" t="s">
        <v>30</v>
      </c>
      <c r="N1764" t="s">
        <v>31</v>
      </c>
      <c r="Q1764" t="s">
        <v>973</v>
      </c>
      <c r="R1764" t="s">
        <v>973</v>
      </c>
    </row>
    <row r="1765" spans="1:18" x14ac:dyDescent="0.3">
      <c r="A1765" s="2" t="str">
        <f>HYPERLINK(B1765,"Oppna PDF")</f>
        <v>Oppna PDF</v>
      </c>
      <c r="B1765" t="s">
        <v>4755</v>
      </c>
      <c r="C1765" t="s">
        <v>4756</v>
      </c>
      <c r="D1765" t="s">
        <v>4757</v>
      </c>
      <c r="E1765" t="s">
        <v>4758</v>
      </c>
      <c r="H1765" t="s">
        <v>61</v>
      </c>
      <c r="I1765" t="s">
        <v>972</v>
      </c>
      <c r="J1765" t="s">
        <v>27</v>
      </c>
      <c r="K1765" t="s">
        <v>28</v>
      </c>
      <c r="L1765" t="s">
        <v>29</v>
      </c>
      <c r="M1765" t="s">
        <v>30</v>
      </c>
      <c r="N1765" t="s">
        <v>31</v>
      </c>
      <c r="Q1765" t="s">
        <v>973</v>
      </c>
      <c r="R1765" t="s">
        <v>973</v>
      </c>
    </row>
    <row r="1766" spans="1:18" x14ac:dyDescent="0.3">
      <c r="A1766" s="2" t="str">
        <f>HYPERLINK(B1766,"Oppna PDF")</f>
        <v>Oppna PDF</v>
      </c>
      <c r="B1766" t="s">
        <v>4759</v>
      </c>
      <c r="C1766" t="s">
        <v>4760</v>
      </c>
      <c r="D1766" t="s">
        <v>4761</v>
      </c>
      <c r="E1766" t="s">
        <v>4762</v>
      </c>
      <c r="F1766" t="s">
        <v>4763</v>
      </c>
      <c r="G1766" t="s">
        <v>4764</v>
      </c>
      <c r="H1766" t="s">
        <v>61</v>
      </c>
      <c r="I1766" t="s">
        <v>4765</v>
      </c>
      <c r="J1766" t="s">
        <v>34</v>
      </c>
      <c r="K1766" t="s">
        <v>35</v>
      </c>
      <c r="L1766" t="s">
        <v>142</v>
      </c>
      <c r="M1766" t="s">
        <v>30</v>
      </c>
      <c r="N1766" t="s">
        <v>31</v>
      </c>
      <c r="Q1766" t="s">
        <v>4766</v>
      </c>
      <c r="R1766" t="s">
        <v>4767</v>
      </c>
    </row>
    <row r="1767" spans="1:18" x14ac:dyDescent="0.3">
      <c r="A1767" s="2" t="str">
        <f>HYPERLINK(B1767,"Oppna PDF")</f>
        <v>Oppna PDF</v>
      </c>
      <c r="B1767" t="s">
        <v>4759</v>
      </c>
      <c r="C1767" t="s">
        <v>4768</v>
      </c>
      <c r="D1767" t="s">
        <v>4761</v>
      </c>
      <c r="E1767" t="s">
        <v>4762</v>
      </c>
      <c r="F1767" t="s">
        <v>4763</v>
      </c>
      <c r="G1767" t="s">
        <v>4764</v>
      </c>
      <c r="H1767" t="s">
        <v>61</v>
      </c>
      <c r="I1767" t="s">
        <v>4765</v>
      </c>
      <c r="J1767" t="s">
        <v>91</v>
      </c>
      <c r="K1767" t="s">
        <v>92</v>
      </c>
      <c r="L1767" t="s">
        <v>29</v>
      </c>
      <c r="M1767" t="s">
        <v>30</v>
      </c>
      <c r="N1767" t="s">
        <v>31</v>
      </c>
      <c r="Q1767" t="s">
        <v>4769</v>
      </c>
      <c r="R1767" t="s">
        <v>4769</v>
      </c>
    </row>
    <row r="1768" spans="1:18" x14ac:dyDescent="0.3">
      <c r="A1768" s="2" t="str">
        <f>HYPERLINK(B1768,"Oppna PDF")</f>
        <v>Oppna PDF</v>
      </c>
      <c r="B1768" t="s">
        <v>4759</v>
      </c>
      <c r="C1768" t="s">
        <v>4770</v>
      </c>
      <c r="D1768" t="s">
        <v>4761</v>
      </c>
      <c r="E1768" t="s">
        <v>4762</v>
      </c>
      <c r="F1768" t="s">
        <v>4763</v>
      </c>
      <c r="G1768" t="s">
        <v>4764</v>
      </c>
      <c r="H1768" t="s">
        <v>61</v>
      </c>
      <c r="I1768" t="s">
        <v>4765</v>
      </c>
      <c r="J1768" t="s">
        <v>48</v>
      </c>
      <c r="K1768" t="s">
        <v>49</v>
      </c>
      <c r="L1768" t="s">
        <v>29</v>
      </c>
      <c r="M1768" t="s">
        <v>30</v>
      </c>
      <c r="N1768" t="s">
        <v>31</v>
      </c>
      <c r="Q1768" t="s">
        <v>4771</v>
      </c>
      <c r="R1768" t="s">
        <v>4771</v>
      </c>
    </row>
    <row r="1769" spans="1:18" x14ac:dyDescent="0.3">
      <c r="A1769" s="2" t="str">
        <f>HYPERLINK(B1769,"Oppna PDF")</f>
        <v>Oppna PDF</v>
      </c>
      <c r="B1769" t="s">
        <v>4772</v>
      </c>
      <c r="C1769" t="s">
        <v>4773</v>
      </c>
      <c r="D1769" t="s">
        <v>4761</v>
      </c>
      <c r="E1769" t="s">
        <v>4774</v>
      </c>
      <c r="F1769" t="s">
        <v>4763</v>
      </c>
      <c r="G1769" t="s">
        <v>4764</v>
      </c>
      <c r="H1769" t="s">
        <v>61</v>
      </c>
      <c r="I1769" t="s">
        <v>4765</v>
      </c>
      <c r="J1769" t="s">
        <v>91</v>
      </c>
      <c r="K1769" t="s">
        <v>92</v>
      </c>
      <c r="L1769" t="s">
        <v>29</v>
      </c>
      <c r="M1769" t="s">
        <v>30</v>
      </c>
      <c r="N1769" t="s">
        <v>31</v>
      </c>
      <c r="Q1769" t="s">
        <v>4775</v>
      </c>
      <c r="R1769" t="s">
        <v>4776</v>
      </c>
    </row>
    <row r="1770" spans="1:18" x14ac:dyDescent="0.3">
      <c r="A1770" s="2" t="str">
        <f>HYPERLINK(B1770,"Oppna PDF")</f>
        <v>Oppna PDF</v>
      </c>
      <c r="B1770" t="s">
        <v>4772</v>
      </c>
      <c r="C1770" t="s">
        <v>4777</v>
      </c>
      <c r="D1770" t="s">
        <v>4761</v>
      </c>
      <c r="E1770" t="s">
        <v>4774</v>
      </c>
      <c r="F1770" t="s">
        <v>4763</v>
      </c>
      <c r="G1770" t="s">
        <v>4764</v>
      </c>
      <c r="H1770" t="s">
        <v>61</v>
      </c>
      <c r="I1770" t="s">
        <v>4765</v>
      </c>
      <c r="J1770" t="s">
        <v>34</v>
      </c>
      <c r="K1770" t="s">
        <v>35</v>
      </c>
      <c r="L1770" t="s">
        <v>29</v>
      </c>
      <c r="M1770" t="s">
        <v>30</v>
      </c>
      <c r="N1770" t="s">
        <v>31</v>
      </c>
      <c r="Q1770" t="s">
        <v>4778</v>
      </c>
      <c r="R1770" t="s">
        <v>4778</v>
      </c>
    </row>
    <row r="1771" spans="1:18" x14ac:dyDescent="0.3">
      <c r="A1771" s="2" t="str">
        <f>HYPERLINK(B1771,"Oppna PDF")</f>
        <v>Oppna PDF</v>
      </c>
      <c r="B1771" t="s">
        <v>4772</v>
      </c>
      <c r="C1771" t="s">
        <v>4779</v>
      </c>
      <c r="D1771" t="s">
        <v>4761</v>
      </c>
      <c r="E1771" t="s">
        <v>4774</v>
      </c>
      <c r="F1771" t="s">
        <v>4763</v>
      </c>
      <c r="G1771" t="s">
        <v>4764</v>
      </c>
      <c r="H1771" t="s">
        <v>61</v>
      </c>
      <c r="I1771" t="s">
        <v>4765</v>
      </c>
      <c r="J1771" t="s">
        <v>27</v>
      </c>
      <c r="K1771" t="s">
        <v>28</v>
      </c>
      <c r="L1771" t="s">
        <v>29</v>
      </c>
      <c r="M1771" t="s">
        <v>30</v>
      </c>
      <c r="N1771" t="s">
        <v>31</v>
      </c>
      <c r="Q1771" t="s">
        <v>4780</v>
      </c>
      <c r="R1771" t="s">
        <v>4780</v>
      </c>
    </row>
    <row r="1772" spans="1:18" x14ac:dyDescent="0.3">
      <c r="A1772" s="2" t="str">
        <f>HYPERLINK(B1772,"Oppna PDF")</f>
        <v>Oppna PDF</v>
      </c>
      <c r="B1772" t="s">
        <v>4781</v>
      </c>
      <c r="C1772" t="s">
        <v>4782</v>
      </c>
      <c r="D1772" t="s">
        <v>4783</v>
      </c>
      <c r="E1772" t="s">
        <v>4784</v>
      </c>
      <c r="F1772" t="s">
        <v>4763</v>
      </c>
      <c r="G1772" t="s">
        <v>4764</v>
      </c>
      <c r="H1772" t="s">
        <v>61</v>
      </c>
      <c r="I1772" t="s">
        <v>4765</v>
      </c>
      <c r="J1772" t="s">
        <v>34</v>
      </c>
      <c r="K1772" t="s">
        <v>35</v>
      </c>
      <c r="L1772" t="s">
        <v>142</v>
      </c>
      <c r="M1772" t="s">
        <v>30</v>
      </c>
      <c r="N1772" t="s">
        <v>31</v>
      </c>
      <c r="Q1772" t="s">
        <v>4766</v>
      </c>
      <c r="R1772" t="s">
        <v>4767</v>
      </c>
    </row>
    <row r="1773" spans="1:18" x14ac:dyDescent="0.3">
      <c r="A1773" s="2" t="str">
        <f>HYPERLINK(B1773,"Oppna PDF")</f>
        <v>Oppna PDF</v>
      </c>
      <c r="B1773" t="s">
        <v>4781</v>
      </c>
      <c r="C1773" t="s">
        <v>4785</v>
      </c>
      <c r="D1773" t="s">
        <v>4783</v>
      </c>
      <c r="E1773" t="s">
        <v>4784</v>
      </c>
      <c r="F1773" t="s">
        <v>4763</v>
      </c>
      <c r="G1773" t="s">
        <v>4764</v>
      </c>
      <c r="H1773" t="s">
        <v>61</v>
      </c>
      <c r="I1773" t="s">
        <v>4765</v>
      </c>
      <c r="J1773" t="s">
        <v>91</v>
      </c>
      <c r="K1773" t="s">
        <v>92</v>
      </c>
      <c r="L1773" t="s">
        <v>29</v>
      </c>
      <c r="M1773" t="s">
        <v>30</v>
      </c>
      <c r="N1773" t="s">
        <v>31</v>
      </c>
      <c r="Q1773" t="s">
        <v>4769</v>
      </c>
      <c r="R1773" t="s">
        <v>4769</v>
      </c>
    </row>
    <row r="1774" spans="1:18" x14ac:dyDescent="0.3">
      <c r="A1774" s="2" t="str">
        <f>HYPERLINK(B1774,"Oppna PDF")</f>
        <v>Oppna PDF</v>
      </c>
      <c r="B1774" t="s">
        <v>4781</v>
      </c>
      <c r="C1774" t="s">
        <v>4786</v>
      </c>
      <c r="D1774" t="s">
        <v>4783</v>
      </c>
      <c r="E1774" t="s">
        <v>4784</v>
      </c>
      <c r="F1774" t="s">
        <v>4763</v>
      </c>
      <c r="G1774" t="s">
        <v>4764</v>
      </c>
      <c r="H1774" t="s">
        <v>61</v>
      </c>
      <c r="I1774" t="s">
        <v>4765</v>
      </c>
      <c r="J1774" t="s">
        <v>48</v>
      </c>
      <c r="K1774" t="s">
        <v>49</v>
      </c>
      <c r="L1774" t="s">
        <v>29</v>
      </c>
      <c r="M1774" t="s">
        <v>30</v>
      </c>
      <c r="N1774" t="s">
        <v>31</v>
      </c>
      <c r="Q1774" t="s">
        <v>4771</v>
      </c>
      <c r="R1774" t="s">
        <v>4771</v>
      </c>
    </row>
    <row r="1775" spans="1:18" x14ac:dyDescent="0.3">
      <c r="A1775" s="2" t="str">
        <f>HYPERLINK(B1775,"Oppna PDF")</f>
        <v>Oppna PDF</v>
      </c>
      <c r="B1775" t="s">
        <v>4787</v>
      </c>
      <c r="C1775" t="s">
        <v>4788</v>
      </c>
      <c r="D1775" t="s">
        <v>4783</v>
      </c>
      <c r="E1775" t="s">
        <v>4789</v>
      </c>
      <c r="F1775" t="s">
        <v>4763</v>
      </c>
      <c r="G1775" t="s">
        <v>4764</v>
      </c>
      <c r="H1775" t="s">
        <v>61</v>
      </c>
      <c r="I1775" t="s">
        <v>4765</v>
      </c>
      <c r="J1775" t="s">
        <v>91</v>
      </c>
      <c r="K1775" t="s">
        <v>92</v>
      </c>
      <c r="L1775" t="s">
        <v>29</v>
      </c>
      <c r="M1775" t="s">
        <v>30</v>
      </c>
      <c r="N1775" t="s">
        <v>31</v>
      </c>
      <c r="Q1775" t="s">
        <v>4775</v>
      </c>
      <c r="R1775" t="s">
        <v>4776</v>
      </c>
    </row>
    <row r="1776" spans="1:18" x14ac:dyDescent="0.3">
      <c r="A1776" s="2" t="str">
        <f>HYPERLINK(B1776,"Oppna PDF")</f>
        <v>Oppna PDF</v>
      </c>
      <c r="B1776" t="s">
        <v>4787</v>
      </c>
      <c r="C1776" t="s">
        <v>4790</v>
      </c>
      <c r="D1776" t="s">
        <v>4783</v>
      </c>
      <c r="E1776" t="s">
        <v>4789</v>
      </c>
      <c r="F1776" t="s">
        <v>4763</v>
      </c>
      <c r="G1776" t="s">
        <v>4764</v>
      </c>
      <c r="H1776" t="s">
        <v>61</v>
      </c>
      <c r="I1776" t="s">
        <v>4765</v>
      </c>
      <c r="J1776" t="s">
        <v>34</v>
      </c>
      <c r="K1776" t="s">
        <v>35</v>
      </c>
      <c r="L1776" t="s">
        <v>29</v>
      </c>
      <c r="M1776" t="s">
        <v>30</v>
      </c>
      <c r="N1776" t="s">
        <v>31</v>
      </c>
      <c r="Q1776" t="s">
        <v>4778</v>
      </c>
      <c r="R1776" t="s">
        <v>4778</v>
      </c>
    </row>
    <row r="1777" spans="1:18" x14ac:dyDescent="0.3">
      <c r="A1777" s="2" t="str">
        <f>HYPERLINK(B1777,"Oppna PDF")</f>
        <v>Oppna PDF</v>
      </c>
      <c r="B1777" t="s">
        <v>4787</v>
      </c>
      <c r="C1777" t="s">
        <v>4791</v>
      </c>
      <c r="D1777" t="s">
        <v>4783</v>
      </c>
      <c r="E1777" t="s">
        <v>4789</v>
      </c>
      <c r="F1777" t="s">
        <v>4763</v>
      </c>
      <c r="G1777" t="s">
        <v>4764</v>
      </c>
      <c r="H1777" t="s">
        <v>61</v>
      </c>
      <c r="I1777" t="s">
        <v>4765</v>
      </c>
      <c r="J1777" t="s">
        <v>27</v>
      </c>
      <c r="K1777" t="s">
        <v>28</v>
      </c>
      <c r="L1777" t="s">
        <v>29</v>
      </c>
      <c r="M1777" t="s">
        <v>30</v>
      </c>
      <c r="N1777" t="s">
        <v>31</v>
      </c>
      <c r="Q1777" t="s">
        <v>4780</v>
      </c>
      <c r="R1777" t="s">
        <v>4780</v>
      </c>
    </row>
    <row r="1778" spans="1:18" x14ac:dyDescent="0.3">
      <c r="A1778" s="2" t="str">
        <f>HYPERLINK(B1778,"Oppna PDF")</f>
        <v>Oppna PDF</v>
      </c>
      <c r="B1778" t="s">
        <v>4792</v>
      </c>
      <c r="C1778" t="s">
        <v>4793</v>
      </c>
      <c r="D1778" t="s">
        <v>4794</v>
      </c>
      <c r="E1778" t="s">
        <v>4795</v>
      </c>
      <c r="F1778" t="s">
        <v>4796</v>
      </c>
      <c r="G1778" t="s">
        <v>4797</v>
      </c>
      <c r="H1778" t="s">
        <v>61</v>
      </c>
      <c r="I1778" t="s">
        <v>4798</v>
      </c>
      <c r="J1778" t="s">
        <v>27</v>
      </c>
      <c r="K1778" t="s">
        <v>28</v>
      </c>
      <c r="L1778" t="s">
        <v>29</v>
      </c>
      <c r="M1778" t="s">
        <v>30</v>
      </c>
      <c r="N1778" t="s">
        <v>31</v>
      </c>
      <c r="Q1778" t="s">
        <v>44</v>
      </c>
      <c r="R1778" t="s">
        <v>44</v>
      </c>
    </row>
    <row r="1779" spans="1:18" x14ac:dyDescent="0.3">
      <c r="A1779" s="2" t="str">
        <f>HYPERLINK(B1779,"Oppna PDF")</f>
        <v>Oppna PDF</v>
      </c>
      <c r="B1779" t="s">
        <v>4799</v>
      </c>
      <c r="C1779" t="s">
        <v>4800</v>
      </c>
      <c r="D1779" t="s">
        <v>4794</v>
      </c>
      <c r="E1779" t="s">
        <v>4801</v>
      </c>
      <c r="F1779" t="s">
        <v>4796</v>
      </c>
      <c r="G1779" t="s">
        <v>4797</v>
      </c>
      <c r="H1779" t="s">
        <v>61</v>
      </c>
      <c r="I1779" t="s">
        <v>4798</v>
      </c>
      <c r="J1779" t="s">
        <v>38</v>
      </c>
      <c r="K1779" t="s">
        <v>39</v>
      </c>
      <c r="L1779" t="s">
        <v>29</v>
      </c>
      <c r="M1779" t="s">
        <v>30</v>
      </c>
      <c r="N1779" t="s">
        <v>31</v>
      </c>
      <c r="Q1779" t="s">
        <v>4802</v>
      </c>
      <c r="R1779" t="s">
        <v>4802</v>
      </c>
    </row>
    <row r="1780" spans="1:18" x14ac:dyDescent="0.3">
      <c r="A1780" s="2" t="str">
        <f>HYPERLINK(B1780,"Oppna PDF")</f>
        <v>Oppna PDF</v>
      </c>
      <c r="B1780" t="s">
        <v>4799</v>
      </c>
      <c r="C1780" t="s">
        <v>4803</v>
      </c>
      <c r="D1780" t="s">
        <v>4794</v>
      </c>
      <c r="E1780" t="s">
        <v>4801</v>
      </c>
      <c r="F1780" t="s">
        <v>4796</v>
      </c>
      <c r="G1780" t="s">
        <v>4797</v>
      </c>
      <c r="H1780" t="s">
        <v>61</v>
      </c>
      <c r="I1780" t="s">
        <v>4798</v>
      </c>
      <c r="J1780" t="s">
        <v>38</v>
      </c>
      <c r="K1780" t="s">
        <v>39</v>
      </c>
      <c r="L1780" t="s">
        <v>29</v>
      </c>
      <c r="M1780" t="s">
        <v>30</v>
      </c>
      <c r="N1780" t="s">
        <v>31</v>
      </c>
      <c r="Q1780" t="s">
        <v>4804</v>
      </c>
      <c r="R1780" t="s">
        <v>4804</v>
      </c>
    </row>
    <row r="1781" spans="1:18" x14ac:dyDescent="0.3">
      <c r="A1781" s="2" t="str">
        <f>HYPERLINK(B1781,"Oppna PDF")</f>
        <v>Oppna PDF</v>
      </c>
      <c r="B1781" t="s">
        <v>4805</v>
      </c>
      <c r="C1781" t="s">
        <v>4806</v>
      </c>
      <c r="D1781" t="s">
        <v>4794</v>
      </c>
      <c r="E1781" t="s">
        <v>4807</v>
      </c>
      <c r="F1781" t="s">
        <v>4796</v>
      </c>
      <c r="G1781" t="s">
        <v>4797</v>
      </c>
      <c r="H1781" t="s">
        <v>61</v>
      </c>
      <c r="I1781" t="s">
        <v>4798</v>
      </c>
      <c r="J1781" t="s">
        <v>38</v>
      </c>
      <c r="K1781" t="s">
        <v>39</v>
      </c>
      <c r="L1781" t="s">
        <v>142</v>
      </c>
      <c r="M1781" t="s">
        <v>30</v>
      </c>
      <c r="N1781" t="s">
        <v>31</v>
      </c>
      <c r="Q1781" t="s">
        <v>4808</v>
      </c>
      <c r="R1781" t="s">
        <v>4809</v>
      </c>
    </row>
    <row r="1782" spans="1:18" x14ac:dyDescent="0.3">
      <c r="A1782" s="2" t="str">
        <f>HYPERLINK(B1782,"Oppna PDF")</f>
        <v>Oppna PDF</v>
      </c>
      <c r="B1782" t="s">
        <v>4810</v>
      </c>
      <c r="C1782" t="s">
        <v>4811</v>
      </c>
      <c r="D1782" t="s">
        <v>4794</v>
      </c>
      <c r="E1782" t="s">
        <v>4812</v>
      </c>
      <c r="F1782" t="s">
        <v>4796</v>
      </c>
      <c r="G1782" t="s">
        <v>4797</v>
      </c>
      <c r="H1782" t="s">
        <v>61</v>
      </c>
      <c r="I1782" t="s">
        <v>4798</v>
      </c>
      <c r="J1782" t="s">
        <v>34</v>
      </c>
      <c r="K1782" t="s">
        <v>35</v>
      </c>
      <c r="L1782" t="s">
        <v>29</v>
      </c>
      <c r="M1782" t="s">
        <v>30</v>
      </c>
      <c r="N1782" t="s">
        <v>31</v>
      </c>
      <c r="Q1782" t="s">
        <v>4813</v>
      </c>
      <c r="R1782" t="s">
        <v>4813</v>
      </c>
    </row>
    <row r="1783" spans="1:18" x14ac:dyDescent="0.3">
      <c r="A1783" s="2" t="str">
        <f>HYPERLINK(B1783,"Oppna PDF")</f>
        <v>Oppna PDF</v>
      </c>
      <c r="B1783" t="s">
        <v>4810</v>
      </c>
      <c r="C1783" t="s">
        <v>4814</v>
      </c>
      <c r="D1783" t="s">
        <v>4794</v>
      </c>
      <c r="E1783" t="s">
        <v>4812</v>
      </c>
      <c r="F1783" t="s">
        <v>4796</v>
      </c>
      <c r="G1783" t="s">
        <v>4797</v>
      </c>
      <c r="H1783" t="s">
        <v>61</v>
      </c>
      <c r="I1783" t="s">
        <v>4798</v>
      </c>
      <c r="J1783" t="s">
        <v>34</v>
      </c>
      <c r="K1783" t="s">
        <v>35</v>
      </c>
      <c r="L1783" t="s">
        <v>29</v>
      </c>
      <c r="M1783" t="s">
        <v>30</v>
      </c>
      <c r="N1783" t="s">
        <v>31</v>
      </c>
      <c r="Q1783" t="s">
        <v>4815</v>
      </c>
      <c r="R1783" t="s">
        <v>4815</v>
      </c>
    </row>
    <row r="1784" spans="1:18" x14ac:dyDescent="0.3">
      <c r="A1784" s="2" t="str">
        <f>HYPERLINK(B1784,"Oppna PDF")</f>
        <v>Oppna PDF</v>
      </c>
      <c r="B1784" t="s">
        <v>4810</v>
      </c>
      <c r="C1784" t="s">
        <v>4816</v>
      </c>
      <c r="D1784" t="s">
        <v>4794</v>
      </c>
      <c r="E1784" t="s">
        <v>4812</v>
      </c>
      <c r="F1784" t="s">
        <v>4796</v>
      </c>
      <c r="G1784" t="s">
        <v>4797</v>
      </c>
      <c r="H1784" t="s">
        <v>61</v>
      </c>
      <c r="I1784" t="s">
        <v>4798</v>
      </c>
      <c r="J1784" t="s">
        <v>34</v>
      </c>
      <c r="K1784" t="s">
        <v>35</v>
      </c>
      <c r="L1784" t="s">
        <v>29</v>
      </c>
      <c r="M1784" t="s">
        <v>30</v>
      </c>
      <c r="N1784" t="s">
        <v>31</v>
      </c>
      <c r="Q1784" t="s">
        <v>4817</v>
      </c>
      <c r="R1784" t="s">
        <v>4817</v>
      </c>
    </row>
    <row r="1785" spans="1:18" x14ac:dyDescent="0.3">
      <c r="A1785" s="2" t="str">
        <f>HYPERLINK(B1785,"Oppna PDF")</f>
        <v>Oppna PDF</v>
      </c>
      <c r="B1785" t="s">
        <v>4818</v>
      </c>
      <c r="C1785" t="s">
        <v>4819</v>
      </c>
      <c r="D1785" t="s">
        <v>4794</v>
      </c>
      <c r="E1785" t="s">
        <v>4820</v>
      </c>
      <c r="F1785" t="s">
        <v>4796</v>
      </c>
      <c r="G1785" t="s">
        <v>4797</v>
      </c>
      <c r="H1785" t="s">
        <v>61</v>
      </c>
      <c r="I1785" t="s">
        <v>4798</v>
      </c>
      <c r="J1785" t="s">
        <v>87</v>
      </c>
      <c r="K1785" t="s">
        <v>88</v>
      </c>
      <c r="L1785" t="s">
        <v>29</v>
      </c>
      <c r="M1785" t="s">
        <v>30</v>
      </c>
      <c r="N1785" t="s">
        <v>31</v>
      </c>
      <c r="Q1785" t="s">
        <v>4821</v>
      </c>
      <c r="R1785" t="s">
        <v>4821</v>
      </c>
    </row>
    <row r="1786" spans="1:18" x14ac:dyDescent="0.3">
      <c r="A1786" s="2" t="str">
        <f>HYPERLINK(B1786,"Oppna PDF")</f>
        <v>Oppna PDF</v>
      </c>
      <c r="B1786" t="s">
        <v>4818</v>
      </c>
      <c r="C1786" t="s">
        <v>4822</v>
      </c>
      <c r="D1786" t="s">
        <v>4794</v>
      </c>
      <c r="E1786" t="s">
        <v>4820</v>
      </c>
      <c r="F1786" t="s">
        <v>4796</v>
      </c>
      <c r="G1786" t="s">
        <v>4797</v>
      </c>
      <c r="H1786" t="s">
        <v>61</v>
      </c>
      <c r="I1786" t="s">
        <v>4798</v>
      </c>
      <c r="J1786" t="s">
        <v>91</v>
      </c>
      <c r="K1786" t="s">
        <v>92</v>
      </c>
      <c r="L1786" t="s">
        <v>29</v>
      </c>
      <c r="M1786" t="s">
        <v>30</v>
      </c>
      <c r="N1786" t="s">
        <v>31</v>
      </c>
      <c r="Q1786" t="s">
        <v>4823</v>
      </c>
      <c r="R1786" t="s">
        <v>4823</v>
      </c>
    </row>
    <row r="1787" spans="1:18" x14ac:dyDescent="0.3">
      <c r="A1787" s="2" t="str">
        <f>HYPERLINK(B1787,"Oppna PDF")</f>
        <v>Oppna PDF</v>
      </c>
      <c r="B1787" t="s">
        <v>4824</v>
      </c>
      <c r="C1787" t="s">
        <v>4825</v>
      </c>
      <c r="D1787" t="s">
        <v>4794</v>
      </c>
      <c r="E1787" t="s">
        <v>4826</v>
      </c>
      <c r="F1787" t="s">
        <v>4796</v>
      </c>
      <c r="G1787" t="s">
        <v>4797</v>
      </c>
      <c r="H1787" t="s">
        <v>61</v>
      </c>
      <c r="I1787" t="s">
        <v>4798</v>
      </c>
      <c r="J1787" t="s">
        <v>34</v>
      </c>
      <c r="K1787" t="s">
        <v>35</v>
      </c>
      <c r="L1787" t="s">
        <v>300</v>
      </c>
      <c r="M1787" t="s">
        <v>30</v>
      </c>
      <c r="N1787" t="s">
        <v>31</v>
      </c>
      <c r="Q1787" t="s">
        <v>4827</v>
      </c>
      <c r="R1787" t="s">
        <v>4827</v>
      </c>
    </row>
    <row r="1788" spans="1:18" x14ac:dyDescent="0.3">
      <c r="A1788" s="2" t="str">
        <f>HYPERLINK(B1788,"Oppna PDF")</f>
        <v>Oppna PDF</v>
      </c>
      <c r="B1788" t="s">
        <v>4824</v>
      </c>
      <c r="C1788" t="s">
        <v>4828</v>
      </c>
      <c r="D1788" t="s">
        <v>4794</v>
      </c>
      <c r="E1788" t="s">
        <v>4826</v>
      </c>
      <c r="F1788" t="s">
        <v>4796</v>
      </c>
      <c r="G1788" t="s">
        <v>4797</v>
      </c>
      <c r="H1788" t="s">
        <v>61</v>
      </c>
      <c r="I1788" t="s">
        <v>4798</v>
      </c>
      <c r="J1788" t="s">
        <v>91</v>
      </c>
      <c r="K1788" t="s">
        <v>92</v>
      </c>
      <c r="L1788" t="s">
        <v>29</v>
      </c>
      <c r="M1788" t="s">
        <v>30</v>
      </c>
      <c r="N1788" t="s">
        <v>31</v>
      </c>
      <c r="Q1788" t="s">
        <v>4829</v>
      </c>
      <c r="R1788" t="s">
        <v>4829</v>
      </c>
    </row>
    <row r="1789" spans="1:18" x14ac:dyDescent="0.3">
      <c r="A1789" s="2" t="str">
        <f>HYPERLINK(B1789,"Oppna PDF")</f>
        <v>Oppna PDF</v>
      </c>
      <c r="B1789" t="s">
        <v>4824</v>
      </c>
      <c r="C1789" t="s">
        <v>4830</v>
      </c>
      <c r="D1789" t="s">
        <v>4794</v>
      </c>
      <c r="E1789" t="s">
        <v>4826</v>
      </c>
      <c r="F1789" t="s">
        <v>4796</v>
      </c>
      <c r="G1789" t="s">
        <v>4797</v>
      </c>
      <c r="H1789" t="s">
        <v>61</v>
      </c>
      <c r="I1789" t="s">
        <v>4798</v>
      </c>
      <c r="J1789" t="s">
        <v>87</v>
      </c>
      <c r="K1789" t="s">
        <v>88</v>
      </c>
      <c r="L1789" t="s">
        <v>29</v>
      </c>
      <c r="M1789" t="s">
        <v>30</v>
      </c>
      <c r="N1789" t="s">
        <v>31</v>
      </c>
      <c r="Q1789" t="s">
        <v>4831</v>
      </c>
      <c r="R1789" t="s">
        <v>4831</v>
      </c>
    </row>
    <row r="1790" spans="1:18" x14ac:dyDescent="0.3">
      <c r="A1790" s="2" t="str">
        <f>HYPERLINK(B1790,"Oppna PDF")</f>
        <v>Oppna PDF</v>
      </c>
      <c r="B1790" t="s">
        <v>4832</v>
      </c>
      <c r="C1790" t="s">
        <v>4833</v>
      </c>
      <c r="D1790" t="s">
        <v>4794</v>
      </c>
      <c r="E1790" t="s">
        <v>4834</v>
      </c>
      <c r="F1790" t="s">
        <v>4796</v>
      </c>
      <c r="G1790" t="s">
        <v>4797</v>
      </c>
      <c r="H1790" t="s">
        <v>61</v>
      </c>
      <c r="I1790" t="s">
        <v>4798</v>
      </c>
      <c r="J1790" t="s">
        <v>38</v>
      </c>
      <c r="K1790" t="s">
        <v>39</v>
      </c>
      <c r="L1790" t="s">
        <v>29</v>
      </c>
      <c r="M1790" t="s">
        <v>30</v>
      </c>
      <c r="N1790" t="s">
        <v>31</v>
      </c>
      <c r="Q1790" t="s">
        <v>4835</v>
      </c>
      <c r="R1790" t="s">
        <v>4835</v>
      </c>
    </row>
    <row r="1791" spans="1:18" x14ac:dyDescent="0.3">
      <c r="A1791" s="2" t="str">
        <f>HYPERLINK(B1791,"Oppna PDF")</f>
        <v>Oppna PDF</v>
      </c>
      <c r="B1791" t="s">
        <v>4832</v>
      </c>
      <c r="C1791" t="s">
        <v>4836</v>
      </c>
      <c r="D1791" t="s">
        <v>4794</v>
      </c>
      <c r="E1791" t="s">
        <v>4834</v>
      </c>
      <c r="F1791" t="s">
        <v>4796</v>
      </c>
      <c r="G1791" t="s">
        <v>4797</v>
      </c>
      <c r="H1791" t="s">
        <v>61</v>
      </c>
      <c r="I1791" t="s">
        <v>4798</v>
      </c>
      <c r="J1791" t="s">
        <v>48</v>
      </c>
      <c r="K1791" t="s">
        <v>49</v>
      </c>
      <c r="L1791" t="s">
        <v>29</v>
      </c>
      <c r="M1791" t="s">
        <v>30</v>
      </c>
      <c r="N1791" t="s">
        <v>31</v>
      </c>
      <c r="Q1791" t="s">
        <v>4837</v>
      </c>
      <c r="R1791" t="s">
        <v>4837</v>
      </c>
    </row>
    <row r="1792" spans="1:18" x14ac:dyDescent="0.3">
      <c r="A1792" s="2" t="str">
        <f>HYPERLINK(B1792,"Oppna PDF")</f>
        <v>Oppna PDF</v>
      </c>
      <c r="B1792" t="s">
        <v>4832</v>
      </c>
      <c r="C1792" t="s">
        <v>4838</v>
      </c>
      <c r="D1792" t="s">
        <v>4794</v>
      </c>
      <c r="E1792" t="s">
        <v>4834</v>
      </c>
      <c r="F1792" t="s">
        <v>4796</v>
      </c>
      <c r="G1792" t="s">
        <v>4797</v>
      </c>
      <c r="H1792" t="s">
        <v>61</v>
      </c>
      <c r="I1792" t="s">
        <v>4798</v>
      </c>
      <c r="J1792" t="s">
        <v>48</v>
      </c>
      <c r="K1792" t="s">
        <v>49</v>
      </c>
      <c r="L1792" t="s">
        <v>29</v>
      </c>
      <c r="M1792" t="s">
        <v>30</v>
      </c>
      <c r="N1792" t="s">
        <v>31</v>
      </c>
      <c r="Q1792" t="s">
        <v>4839</v>
      </c>
      <c r="R1792" t="s">
        <v>4839</v>
      </c>
    </row>
    <row r="1793" spans="1:18" x14ac:dyDescent="0.3">
      <c r="A1793" s="2" t="str">
        <f>HYPERLINK(B1793,"Oppna PDF")</f>
        <v>Oppna PDF</v>
      </c>
      <c r="B1793" t="s">
        <v>4840</v>
      </c>
      <c r="C1793" t="s">
        <v>4841</v>
      </c>
      <c r="D1793" t="s">
        <v>4794</v>
      </c>
      <c r="E1793" t="s">
        <v>4842</v>
      </c>
      <c r="F1793" t="s">
        <v>4796</v>
      </c>
      <c r="G1793" t="s">
        <v>4797</v>
      </c>
      <c r="H1793" t="s">
        <v>61</v>
      </c>
      <c r="I1793" t="s">
        <v>4798</v>
      </c>
      <c r="J1793" t="s">
        <v>87</v>
      </c>
      <c r="K1793" t="s">
        <v>88</v>
      </c>
      <c r="L1793" t="s">
        <v>29</v>
      </c>
      <c r="M1793" t="s">
        <v>30</v>
      </c>
      <c r="N1793" t="s">
        <v>31</v>
      </c>
      <c r="Q1793" t="s">
        <v>4843</v>
      </c>
      <c r="R1793" t="s">
        <v>4844</v>
      </c>
    </row>
    <row r="1794" spans="1:18" x14ac:dyDescent="0.3">
      <c r="A1794" s="2" t="str">
        <f>HYPERLINK(B1794,"Oppna PDF")</f>
        <v>Oppna PDF</v>
      </c>
      <c r="B1794" t="s">
        <v>4845</v>
      </c>
      <c r="C1794" t="s">
        <v>4846</v>
      </c>
      <c r="D1794" t="s">
        <v>4794</v>
      </c>
      <c r="E1794" t="s">
        <v>4847</v>
      </c>
      <c r="F1794" t="s">
        <v>4796</v>
      </c>
      <c r="G1794" t="s">
        <v>4797</v>
      </c>
      <c r="H1794" t="s">
        <v>61</v>
      </c>
      <c r="I1794" t="s">
        <v>4798</v>
      </c>
      <c r="J1794" t="s">
        <v>87</v>
      </c>
      <c r="K1794" t="s">
        <v>88</v>
      </c>
      <c r="L1794" t="s">
        <v>29</v>
      </c>
      <c r="M1794" t="s">
        <v>30</v>
      </c>
      <c r="N1794" t="s">
        <v>31</v>
      </c>
      <c r="Q1794" t="s">
        <v>4848</v>
      </c>
      <c r="R1794" t="s">
        <v>4848</v>
      </c>
    </row>
    <row r="1795" spans="1:18" x14ac:dyDescent="0.3">
      <c r="A1795" s="2" t="str">
        <f>HYPERLINK(B1795,"Oppna PDF")</f>
        <v>Oppna PDF</v>
      </c>
      <c r="B1795" t="s">
        <v>4845</v>
      </c>
      <c r="C1795" t="s">
        <v>4849</v>
      </c>
      <c r="D1795" t="s">
        <v>4794</v>
      </c>
      <c r="E1795" t="s">
        <v>4847</v>
      </c>
      <c r="F1795" t="s">
        <v>4796</v>
      </c>
      <c r="G1795" t="s">
        <v>4797</v>
      </c>
      <c r="H1795" t="s">
        <v>61</v>
      </c>
      <c r="I1795" t="s">
        <v>4798</v>
      </c>
      <c r="J1795" t="s">
        <v>48</v>
      </c>
      <c r="K1795" t="s">
        <v>49</v>
      </c>
      <c r="L1795" t="s">
        <v>29</v>
      </c>
      <c r="M1795" t="s">
        <v>30</v>
      </c>
      <c r="N1795" t="s">
        <v>31</v>
      </c>
      <c r="Q1795" t="s">
        <v>4850</v>
      </c>
      <c r="R1795" t="s">
        <v>4850</v>
      </c>
    </row>
    <row r="1796" spans="1:18" x14ac:dyDescent="0.3">
      <c r="A1796" s="2" t="str">
        <f>HYPERLINK(B1796,"Oppna PDF")</f>
        <v>Oppna PDF</v>
      </c>
      <c r="B1796" t="s">
        <v>4845</v>
      </c>
      <c r="C1796" t="s">
        <v>4851</v>
      </c>
      <c r="D1796" t="s">
        <v>4794</v>
      </c>
      <c r="E1796" t="s">
        <v>4847</v>
      </c>
      <c r="F1796" t="s">
        <v>4796</v>
      </c>
      <c r="G1796" t="s">
        <v>4797</v>
      </c>
      <c r="H1796" t="s">
        <v>61</v>
      </c>
      <c r="I1796" t="s">
        <v>4798</v>
      </c>
      <c r="J1796" t="s">
        <v>38</v>
      </c>
      <c r="K1796" t="s">
        <v>39</v>
      </c>
      <c r="L1796" t="s">
        <v>29</v>
      </c>
      <c r="M1796" t="s">
        <v>30</v>
      </c>
      <c r="N1796" t="s">
        <v>31</v>
      </c>
      <c r="Q1796" t="s">
        <v>4852</v>
      </c>
      <c r="R1796" t="s">
        <v>4852</v>
      </c>
    </row>
    <row r="1797" spans="1:18" x14ac:dyDescent="0.3">
      <c r="A1797" s="2" t="str">
        <f>HYPERLINK(B1797,"Oppna PDF")</f>
        <v>Oppna PDF</v>
      </c>
      <c r="B1797" t="s">
        <v>4853</v>
      </c>
      <c r="C1797" t="s">
        <v>4854</v>
      </c>
      <c r="D1797" t="s">
        <v>4855</v>
      </c>
      <c r="E1797" t="s">
        <v>4856</v>
      </c>
      <c r="F1797" t="s">
        <v>4796</v>
      </c>
      <c r="G1797" t="s">
        <v>4797</v>
      </c>
      <c r="H1797" t="s">
        <v>61</v>
      </c>
      <c r="I1797" t="s">
        <v>4798</v>
      </c>
      <c r="J1797" t="s">
        <v>27</v>
      </c>
      <c r="K1797" t="s">
        <v>28</v>
      </c>
      <c r="L1797" t="s">
        <v>29</v>
      </c>
      <c r="M1797" t="s">
        <v>30</v>
      </c>
      <c r="N1797" t="s">
        <v>31</v>
      </c>
      <c r="Q1797" t="s">
        <v>44</v>
      </c>
      <c r="R1797" t="s">
        <v>44</v>
      </c>
    </row>
    <row r="1798" spans="1:18" x14ac:dyDescent="0.3">
      <c r="A1798" s="2" t="str">
        <f>HYPERLINK(B1798,"Oppna PDF")</f>
        <v>Oppna PDF</v>
      </c>
      <c r="B1798" t="s">
        <v>4857</v>
      </c>
      <c r="C1798" t="s">
        <v>4858</v>
      </c>
      <c r="D1798" t="s">
        <v>4855</v>
      </c>
      <c r="E1798" t="s">
        <v>4859</v>
      </c>
      <c r="F1798" t="s">
        <v>4796</v>
      </c>
      <c r="G1798" t="s">
        <v>4797</v>
      </c>
      <c r="H1798" t="s">
        <v>61</v>
      </c>
      <c r="I1798" t="s">
        <v>4798</v>
      </c>
      <c r="J1798" t="s">
        <v>38</v>
      </c>
      <c r="K1798" t="s">
        <v>39</v>
      </c>
      <c r="L1798" t="s">
        <v>29</v>
      </c>
      <c r="M1798" t="s">
        <v>30</v>
      </c>
      <c r="N1798" t="s">
        <v>31</v>
      </c>
      <c r="Q1798" t="s">
        <v>4802</v>
      </c>
      <c r="R1798" t="s">
        <v>4802</v>
      </c>
    </row>
    <row r="1799" spans="1:18" x14ac:dyDescent="0.3">
      <c r="A1799" s="2" t="str">
        <f>HYPERLINK(B1799,"Oppna PDF")</f>
        <v>Oppna PDF</v>
      </c>
      <c r="B1799" t="s">
        <v>4857</v>
      </c>
      <c r="C1799" t="s">
        <v>4860</v>
      </c>
      <c r="D1799" t="s">
        <v>4855</v>
      </c>
      <c r="E1799" t="s">
        <v>4859</v>
      </c>
      <c r="F1799" t="s">
        <v>4796</v>
      </c>
      <c r="G1799" t="s">
        <v>4797</v>
      </c>
      <c r="H1799" t="s">
        <v>61</v>
      </c>
      <c r="I1799" t="s">
        <v>4798</v>
      </c>
      <c r="J1799" t="s">
        <v>38</v>
      </c>
      <c r="K1799" t="s">
        <v>39</v>
      </c>
      <c r="L1799" t="s">
        <v>29</v>
      </c>
      <c r="M1799" t="s">
        <v>30</v>
      </c>
      <c r="N1799" t="s">
        <v>31</v>
      </c>
      <c r="Q1799" t="s">
        <v>4804</v>
      </c>
      <c r="R1799" t="s">
        <v>4804</v>
      </c>
    </row>
    <row r="1800" spans="1:18" x14ac:dyDescent="0.3">
      <c r="A1800" s="2" t="str">
        <f>HYPERLINK(B1800,"Oppna PDF")</f>
        <v>Oppna PDF</v>
      </c>
      <c r="B1800" t="s">
        <v>4861</v>
      </c>
      <c r="C1800" t="s">
        <v>4862</v>
      </c>
      <c r="D1800" t="s">
        <v>4855</v>
      </c>
      <c r="E1800" t="s">
        <v>4863</v>
      </c>
      <c r="F1800" t="s">
        <v>4796</v>
      </c>
      <c r="G1800" t="s">
        <v>4797</v>
      </c>
      <c r="H1800" t="s">
        <v>61</v>
      </c>
      <c r="I1800" t="s">
        <v>4798</v>
      </c>
      <c r="J1800" t="s">
        <v>38</v>
      </c>
      <c r="K1800" t="s">
        <v>39</v>
      </c>
      <c r="L1800" t="s">
        <v>142</v>
      </c>
      <c r="M1800" t="s">
        <v>30</v>
      </c>
      <c r="N1800" t="s">
        <v>31</v>
      </c>
      <c r="Q1800" t="s">
        <v>4808</v>
      </c>
      <c r="R1800" t="s">
        <v>4809</v>
      </c>
    </row>
    <row r="1801" spans="1:18" x14ac:dyDescent="0.3">
      <c r="A1801" s="2" t="str">
        <f>HYPERLINK(B1801,"Oppna PDF")</f>
        <v>Oppna PDF</v>
      </c>
      <c r="B1801" t="s">
        <v>4864</v>
      </c>
      <c r="C1801" t="s">
        <v>4865</v>
      </c>
      <c r="D1801" t="s">
        <v>4855</v>
      </c>
      <c r="E1801" t="s">
        <v>4866</v>
      </c>
      <c r="F1801" t="s">
        <v>4796</v>
      </c>
      <c r="G1801" t="s">
        <v>4797</v>
      </c>
      <c r="H1801" t="s">
        <v>61</v>
      </c>
      <c r="I1801" t="s">
        <v>4798</v>
      </c>
      <c r="J1801" t="s">
        <v>34</v>
      </c>
      <c r="K1801" t="s">
        <v>35</v>
      </c>
      <c r="L1801" t="s">
        <v>29</v>
      </c>
      <c r="M1801" t="s">
        <v>30</v>
      </c>
      <c r="N1801" t="s">
        <v>31</v>
      </c>
      <c r="Q1801" t="s">
        <v>4813</v>
      </c>
      <c r="R1801" t="s">
        <v>4813</v>
      </c>
    </row>
    <row r="1802" spans="1:18" x14ac:dyDescent="0.3">
      <c r="A1802" s="2" t="str">
        <f>HYPERLINK(B1802,"Oppna PDF")</f>
        <v>Oppna PDF</v>
      </c>
      <c r="B1802" t="s">
        <v>4864</v>
      </c>
      <c r="C1802" t="s">
        <v>4867</v>
      </c>
      <c r="D1802" t="s">
        <v>4855</v>
      </c>
      <c r="E1802" t="s">
        <v>4866</v>
      </c>
      <c r="F1802" t="s">
        <v>4796</v>
      </c>
      <c r="G1802" t="s">
        <v>4797</v>
      </c>
      <c r="H1802" t="s">
        <v>61</v>
      </c>
      <c r="I1802" t="s">
        <v>4798</v>
      </c>
      <c r="J1802" t="s">
        <v>34</v>
      </c>
      <c r="K1802" t="s">
        <v>35</v>
      </c>
      <c r="L1802" t="s">
        <v>29</v>
      </c>
      <c r="M1802" t="s">
        <v>30</v>
      </c>
      <c r="N1802" t="s">
        <v>31</v>
      </c>
      <c r="Q1802" t="s">
        <v>4815</v>
      </c>
      <c r="R1802" t="s">
        <v>4815</v>
      </c>
    </row>
    <row r="1803" spans="1:18" x14ac:dyDescent="0.3">
      <c r="A1803" s="2" t="str">
        <f>HYPERLINK(B1803,"Oppna PDF")</f>
        <v>Oppna PDF</v>
      </c>
      <c r="B1803" t="s">
        <v>4864</v>
      </c>
      <c r="C1803" t="s">
        <v>4868</v>
      </c>
      <c r="D1803" t="s">
        <v>4855</v>
      </c>
      <c r="E1803" t="s">
        <v>4866</v>
      </c>
      <c r="F1803" t="s">
        <v>4796</v>
      </c>
      <c r="G1803" t="s">
        <v>4797</v>
      </c>
      <c r="H1803" t="s">
        <v>61</v>
      </c>
      <c r="I1803" t="s">
        <v>4798</v>
      </c>
      <c r="J1803" t="s">
        <v>34</v>
      </c>
      <c r="K1803" t="s">
        <v>35</v>
      </c>
      <c r="L1803" t="s">
        <v>29</v>
      </c>
      <c r="M1803" t="s">
        <v>30</v>
      </c>
      <c r="N1803" t="s">
        <v>31</v>
      </c>
      <c r="Q1803" t="s">
        <v>4817</v>
      </c>
      <c r="R1803" t="s">
        <v>4817</v>
      </c>
    </row>
    <row r="1804" spans="1:18" x14ac:dyDescent="0.3">
      <c r="A1804" s="2" t="str">
        <f>HYPERLINK(B1804,"Oppna PDF")</f>
        <v>Oppna PDF</v>
      </c>
      <c r="B1804" t="s">
        <v>4869</v>
      </c>
      <c r="C1804" t="s">
        <v>4870</v>
      </c>
      <c r="D1804" t="s">
        <v>4855</v>
      </c>
      <c r="E1804" t="s">
        <v>4871</v>
      </c>
      <c r="F1804" t="s">
        <v>4796</v>
      </c>
      <c r="G1804" t="s">
        <v>4797</v>
      </c>
      <c r="H1804" t="s">
        <v>61</v>
      </c>
      <c r="I1804" t="s">
        <v>4798</v>
      </c>
      <c r="J1804" t="s">
        <v>87</v>
      </c>
      <c r="K1804" t="s">
        <v>88</v>
      </c>
      <c r="L1804" t="s">
        <v>29</v>
      </c>
      <c r="M1804" t="s">
        <v>30</v>
      </c>
      <c r="N1804" t="s">
        <v>31</v>
      </c>
      <c r="Q1804" t="s">
        <v>4821</v>
      </c>
      <c r="R1804" t="s">
        <v>4821</v>
      </c>
    </row>
    <row r="1805" spans="1:18" x14ac:dyDescent="0.3">
      <c r="A1805" s="2" t="str">
        <f>HYPERLINK(B1805,"Oppna PDF")</f>
        <v>Oppna PDF</v>
      </c>
      <c r="B1805" t="s">
        <v>4869</v>
      </c>
      <c r="C1805" t="s">
        <v>4872</v>
      </c>
      <c r="D1805" t="s">
        <v>4855</v>
      </c>
      <c r="E1805" t="s">
        <v>4871</v>
      </c>
      <c r="F1805" t="s">
        <v>4796</v>
      </c>
      <c r="G1805" t="s">
        <v>4797</v>
      </c>
      <c r="H1805" t="s">
        <v>61</v>
      </c>
      <c r="I1805" t="s">
        <v>4798</v>
      </c>
      <c r="J1805" t="s">
        <v>91</v>
      </c>
      <c r="K1805" t="s">
        <v>92</v>
      </c>
      <c r="L1805" t="s">
        <v>29</v>
      </c>
      <c r="M1805" t="s">
        <v>30</v>
      </c>
      <c r="N1805" t="s">
        <v>31</v>
      </c>
      <c r="Q1805" t="s">
        <v>4823</v>
      </c>
      <c r="R1805" t="s">
        <v>4823</v>
      </c>
    </row>
    <row r="1806" spans="1:18" x14ac:dyDescent="0.3">
      <c r="A1806" s="2" t="str">
        <f>HYPERLINK(B1806,"Oppna PDF")</f>
        <v>Oppna PDF</v>
      </c>
      <c r="B1806" t="s">
        <v>4873</v>
      </c>
      <c r="C1806" t="s">
        <v>4874</v>
      </c>
      <c r="D1806" t="s">
        <v>4855</v>
      </c>
      <c r="E1806" t="s">
        <v>4875</v>
      </c>
      <c r="F1806" t="s">
        <v>4796</v>
      </c>
      <c r="G1806" t="s">
        <v>4797</v>
      </c>
      <c r="H1806" t="s">
        <v>61</v>
      </c>
      <c r="I1806" t="s">
        <v>4798</v>
      </c>
      <c r="J1806" t="s">
        <v>34</v>
      </c>
      <c r="K1806" t="s">
        <v>35</v>
      </c>
      <c r="L1806" t="s">
        <v>300</v>
      </c>
      <c r="M1806" t="s">
        <v>30</v>
      </c>
      <c r="N1806" t="s">
        <v>31</v>
      </c>
      <c r="Q1806" t="s">
        <v>4827</v>
      </c>
      <c r="R1806" t="s">
        <v>4827</v>
      </c>
    </row>
    <row r="1807" spans="1:18" x14ac:dyDescent="0.3">
      <c r="A1807" s="2" t="str">
        <f>HYPERLINK(B1807,"Oppna PDF")</f>
        <v>Oppna PDF</v>
      </c>
      <c r="B1807" t="s">
        <v>4873</v>
      </c>
      <c r="C1807" t="s">
        <v>4876</v>
      </c>
      <c r="D1807" t="s">
        <v>4855</v>
      </c>
      <c r="E1807" t="s">
        <v>4875</v>
      </c>
      <c r="F1807" t="s">
        <v>4796</v>
      </c>
      <c r="G1807" t="s">
        <v>4797</v>
      </c>
      <c r="H1807" t="s">
        <v>61</v>
      </c>
      <c r="I1807" t="s">
        <v>4798</v>
      </c>
      <c r="J1807" t="s">
        <v>91</v>
      </c>
      <c r="K1807" t="s">
        <v>92</v>
      </c>
      <c r="L1807" t="s">
        <v>29</v>
      </c>
      <c r="M1807" t="s">
        <v>30</v>
      </c>
      <c r="N1807" t="s">
        <v>31</v>
      </c>
      <c r="Q1807" t="s">
        <v>4829</v>
      </c>
      <c r="R1807" t="s">
        <v>4829</v>
      </c>
    </row>
    <row r="1808" spans="1:18" x14ac:dyDescent="0.3">
      <c r="A1808" s="2" t="str">
        <f>HYPERLINK(B1808,"Oppna PDF")</f>
        <v>Oppna PDF</v>
      </c>
      <c r="B1808" t="s">
        <v>4873</v>
      </c>
      <c r="C1808" t="s">
        <v>4877</v>
      </c>
      <c r="D1808" t="s">
        <v>4855</v>
      </c>
      <c r="E1808" t="s">
        <v>4875</v>
      </c>
      <c r="F1808" t="s">
        <v>4796</v>
      </c>
      <c r="G1808" t="s">
        <v>4797</v>
      </c>
      <c r="H1808" t="s">
        <v>61</v>
      </c>
      <c r="I1808" t="s">
        <v>4798</v>
      </c>
      <c r="J1808" t="s">
        <v>87</v>
      </c>
      <c r="K1808" t="s">
        <v>88</v>
      </c>
      <c r="L1808" t="s">
        <v>29</v>
      </c>
      <c r="M1808" t="s">
        <v>30</v>
      </c>
      <c r="N1808" t="s">
        <v>31</v>
      </c>
      <c r="Q1808" t="s">
        <v>4831</v>
      </c>
      <c r="R1808" t="s">
        <v>4831</v>
      </c>
    </row>
    <row r="1809" spans="1:18" x14ac:dyDescent="0.3">
      <c r="A1809" s="2" t="str">
        <f>HYPERLINK(B1809,"Oppna PDF")</f>
        <v>Oppna PDF</v>
      </c>
      <c r="B1809" t="s">
        <v>4878</v>
      </c>
      <c r="C1809" t="s">
        <v>4879</v>
      </c>
      <c r="D1809" t="s">
        <v>4855</v>
      </c>
      <c r="E1809" t="s">
        <v>4880</v>
      </c>
      <c r="F1809" t="s">
        <v>4796</v>
      </c>
      <c r="G1809" t="s">
        <v>4797</v>
      </c>
      <c r="H1809" t="s">
        <v>61</v>
      </c>
      <c r="I1809" t="s">
        <v>4798</v>
      </c>
      <c r="J1809" t="s">
        <v>38</v>
      </c>
      <c r="K1809" t="s">
        <v>39</v>
      </c>
      <c r="L1809" t="s">
        <v>29</v>
      </c>
      <c r="M1809" t="s">
        <v>30</v>
      </c>
      <c r="N1809" t="s">
        <v>31</v>
      </c>
      <c r="Q1809" t="s">
        <v>4835</v>
      </c>
      <c r="R1809" t="s">
        <v>4835</v>
      </c>
    </row>
    <row r="1810" spans="1:18" x14ac:dyDescent="0.3">
      <c r="A1810" s="2" t="str">
        <f>HYPERLINK(B1810,"Oppna PDF")</f>
        <v>Oppna PDF</v>
      </c>
      <c r="B1810" t="s">
        <v>4878</v>
      </c>
      <c r="C1810" t="s">
        <v>4881</v>
      </c>
      <c r="D1810" t="s">
        <v>4855</v>
      </c>
      <c r="E1810" t="s">
        <v>4880</v>
      </c>
      <c r="F1810" t="s">
        <v>4796</v>
      </c>
      <c r="G1810" t="s">
        <v>4797</v>
      </c>
      <c r="H1810" t="s">
        <v>61</v>
      </c>
      <c r="I1810" t="s">
        <v>4798</v>
      </c>
      <c r="J1810" t="s">
        <v>48</v>
      </c>
      <c r="K1810" t="s">
        <v>49</v>
      </c>
      <c r="L1810" t="s">
        <v>29</v>
      </c>
      <c r="M1810" t="s">
        <v>30</v>
      </c>
      <c r="N1810" t="s">
        <v>31</v>
      </c>
      <c r="Q1810" t="s">
        <v>4837</v>
      </c>
      <c r="R1810" t="s">
        <v>4837</v>
      </c>
    </row>
    <row r="1811" spans="1:18" x14ac:dyDescent="0.3">
      <c r="A1811" s="2" t="str">
        <f>HYPERLINK(B1811,"Oppna PDF")</f>
        <v>Oppna PDF</v>
      </c>
      <c r="B1811" t="s">
        <v>4878</v>
      </c>
      <c r="C1811" t="s">
        <v>4882</v>
      </c>
      <c r="D1811" t="s">
        <v>4855</v>
      </c>
      <c r="E1811" t="s">
        <v>4880</v>
      </c>
      <c r="F1811" t="s">
        <v>4796</v>
      </c>
      <c r="G1811" t="s">
        <v>4797</v>
      </c>
      <c r="H1811" t="s">
        <v>61</v>
      </c>
      <c r="I1811" t="s">
        <v>4798</v>
      </c>
      <c r="J1811" t="s">
        <v>48</v>
      </c>
      <c r="K1811" t="s">
        <v>49</v>
      </c>
      <c r="L1811" t="s">
        <v>29</v>
      </c>
      <c r="M1811" t="s">
        <v>30</v>
      </c>
      <c r="N1811" t="s">
        <v>31</v>
      </c>
      <c r="Q1811" t="s">
        <v>4839</v>
      </c>
      <c r="R1811" t="s">
        <v>4839</v>
      </c>
    </row>
    <row r="1812" spans="1:18" x14ac:dyDescent="0.3">
      <c r="A1812" s="2" t="str">
        <f>HYPERLINK(B1812,"Oppna PDF")</f>
        <v>Oppna PDF</v>
      </c>
      <c r="B1812" t="s">
        <v>4883</v>
      </c>
      <c r="C1812" t="s">
        <v>4884</v>
      </c>
      <c r="D1812" t="s">
        <v>4855</v>
      </c>
      <c r="E1812" t="s">
        <v>4885</v>
      </c>
      <c r="F1812" t="s">
        <v>4796</v>
      </c>
      <c r="G1812" t="s">
        <v>4797</v>
      </c>
      <c r="H1812" t="s">
        <v>61</v>
      </c>
      <c r="I1812" t="s">
        <v>4798</v>
      </c>
      <c r="J1812" t="s">
        <v>87</v>
      </c>
      <c r="K1812" t="s">
        <v>88</v>
      </c>
      <c r="L1812" t="s">
        <v>29</v>
      </c>
      <c r="M1812" t="s">
        <v>30</v>
      </c>
      <c r="N1812" t="s">
        <v>31</v>
      </c>
      <c r="Q1812" t="s">
        <v>4843</v>
      </c>
      <c r="R1812" t="s">
        <v>4844</v>
      </c>
    </row>
    <row r="1813" spans="1:18" x14ac:dyDescent="0.3">
      <c r="A1813" s="2" t="str">
        <f>HYPERLINK(B1813,"Oppna PDF")</f>
        <v>Oppna PDF</v>
      </c>
      <c r="B1813" t="s">
        <v>4886</v>
      </c>
      <c r="C1813" t="s">
        <v>4887</v>
      </c>
      <c r="D1813" t="s">
        <v>4855</v>
      </c>
      <c r="E1813" t="s">
        <v>4888</v>
      </c>
      <c r="F1813" t="s">
        <v>4796</v>
      </c>
      <c r="G1813" t="s">
        <v>4797</v>
      </c>
      <c r="H1813" t="s">
        <v>61</v>
      </c>
      <c r="I1813" t="s">
        <v>4798</v>
      </c>
      <c r="J1813" t="s">
        <v>87</v>
      </c>
      <c r="K1813" t="s">
        <v>88</v>
      </c>
      <c r="L1813" t="s">
        <v>29</v>
      </c>
      <c r="M1813" t="s">
        <v>30</v>
      </c>
      <c r="N1813" t="s">
        <v>31</v>
      </c>
      <c r="Q1813" t="s">
        <v>4848</v>
      </c>
      <c r="R1813" t="s">
        <v>4848</v>
      </c>
    </row>
    <row r="1814" spans="1:18" x14ac:dyDescent="0.3">
      <c r="A1814" s="2" t="str">
        <f>HYPERLINK(B1814,"Oppna PDF")</f>
        <v>Oppna PDF</v>
      </c>
      <c r="B1814" t="s">
        <v>4886</v>
      </c>
      <c r="C1814" t="s">
        <v>4889</v>
      </c>
      <c r="D1814" t="s">
        <v>4855</v>
      </c>
      <c r="E1814" t="s">
        <v>4888</v>
      </c>
      <c r="F1814" t="s">
        <v>4796</v>
      </c>
      <c r="G1814" t="s">
        <v>4797</v>
      </c>
      <c r="H1814" t="s">
        <v>61</v>
      </c>
      <c r="I1814" t="s">
        <v>4798</v>
      </c>
      <c r="J1814" t="s">
        <v>48</v>
      </c>
      <c r="K1814" t="s">
        <v>49</v>
      </c>
      <c r="L1814" t="s">
        <v>29</v>
      </c>
      <c r="M1814" t="s">
        <v>30</v>
      </c>
      <c r="N1814" t="s">
        <v>31</v>
      </c>
      <c r="Q1814" t="s">
        <v>4850</v>
      </c>
      <c r="R1814" t="s">
        <v>4850</v>
      </c>
    </row>
    <row r="1815" spans="1:18" x14ac:dyDescent="0.3">
      <c r="A1815" s="2" t="str">
        <f>HYPERLINK(B1815,"Oppna PDF")</f>
        <v>Oppna PDF</v>
      </c>
      <c r="B1815" t="s">
        <v>4886</v>
      </c>
      <c r="C1815" t="s">
        <v>4890</v>
      </c>
      <c r="D1815" t="s">
        <v>4855</v>
      </c>
      <c r="E1815" t="s">
        <v>4888</v>
      </c>
      <c r="F1815" t="s">
        <v>4796</v>
      </c>
      <c r="G1815" t="s">
        <v>4797</v>
      </c>
      <c r="H1815" t="s">
        <v>61</v>
      </c>
      <c r="I1815" t="s">
        <v>4798</v>
      </c>
      <c r="J1815" t="s">
        <v>38</v>
      </c>
      <c r="K1815" t="s">
        <v>39</v>
      </c>
      <c r="L1815" t="s">
        <v>29</v>
      </c>
      <c r="M1815" t="s">
        <v>30</v>
      </c>
      <c r="N1815" t="s">
        <v>31</v>
      </c>
      <c r="Q1815" t="s">
        <v>4852</v>
      </c>
      <c r="R1815" t="s">
        <v>4852</v>
      </c>
    </row>
    <row r="1816" spans="1:18" x14ac:dyDescent="0.3">
      <c r="A1816" s="2" t="str">
        <f>HYPERLINK(B1816,"Oppna PDF")</f>
        <v>Oppna PDF</v>
      </c>
      <c r="B1816" t="s">
        <v>4891</v>
      </c>
      <c r="C1816" t="s">
        <v>4892</v>
      </c>
      <c r="D1816" t="s">
        <v>4893</v>
      </c>
      <c r="E1816" t="s">
        <v>4894</v>
      </c>
      <c r="F1816" t="s">
        <v>4895</v>
      </c>
      <c r="G1816" t="s">
        <v>4896</v>
      </c>
      <c r="H1816" t="s">
        <v>25</v>
      </c>
      <c r="I1816" t="s">
        <v>4897</v>
      </c>
      <c r="J1816" t="s">
        <v>48</v>
      </c>
      <c r="K1816" t="s">
        <v>49</v>
      </c>
      <c r="L1816" t="s">
        <v>29</v>
      </c>
      <c r="M1816" t="s">
        <v>30</v>
      </c>
      <c r="N1816" t="s">
        <v>31</v>
      </c>
      <c r="Q1816" t="s">
        <v>4898</v>
      </c>
      <c r="R1816" t="s">
        <v>4898</v>
      </c>
    </row>
    <row r="1817" spans="1:18" x14ac:dyDescent="0.3">
      <c r="A1817" s="2" t="str">
        <f>HYPERLINK(B1817,"Oppna PDF")</f>
        <v>Oppna PDF</v>
      </c>
      <c r="B1817" t="s">
        <v>4891</v>
      </c>
      <c r="C1817" t="s">
        <v>4899</v>
      </c>
      <c r="D1817" t="s">
        <v>4893</v>
      </c>
      <c r="E1817" t="s">
        <v>4894</v>
      </c>
      <c r="F1817" t="s">
        <v>4895</v>
      </c>
      <c r="G1817" t="s">
        <v>4896</v>
      </c>
      <c r="H1817" t="s">
        <v>25</v>
      </c>
      <c r="I1817" t="s">
        <v>4897</v>
      </c>
      <c r="J1817" t="s">
        <v>38</v>
      </c>
      <c r="K1817" t="s">
        <v>39</v>
      </c>
      <c r="L1817" t="s">
        <v>29</v>
      </c>
      <c r="M1817" t="s">
        <v>30</v>
      </c>
      <c r="N1817" t="s">
        <v>31</v>
      </c>
      <c r="Q1817" t="s">
        <v>4900</v>
      </c>
      <c r="R1817" t="s">
        <v>4900</v>
      </c>
    </row>
    <row r="1818" spans="1:18" x14ac:dyDescent="0.3">
      <c r="A1818" s="2" t="str">
        <f>HYPERLINK(B1818,"Oppna PDF")</f>
        <v>Oppna PDF</v>
      </c>
      <c r="B1818" t="s">
        <v>4891</v>
      </c>
      <c r="C1818" t="s">
        <v>4901</v>
      </c>
      <c r="D1818" t="s">
        <v>4893</v>
      </c>
      <c r="E1818" t="s">
        <v>4894</v>
      </c>
      <c r="F1818" t="s">
        <v>4895</v>
      </c>
      <c r="G1818" t="s">
        <v>4896</v>
      </c>
      <c r="H1818" t="s">
        <v>25</v>
      </c>
      <c r="I1818" t="s">
        <v>4897</v>
      </c>
      <c r="J1818" t="s">
        <v>38</v>
      </c>
      <c r="K1818" t="s">
        <v>39</v>
      </c>
      <c r="L1818" t="s">
        <v>29</v>
      </c>
      <c r="M1818" t="s">
        <v>30</v>
      </c>
      <c r="N1818" t="s">
        <v>31</v>
      </c>
      <c r="Q1818" t="s">
        <v>4902</v>
      </c>
      <c r="R1818" t="s">
        <v>4902</v>
      </c>
    </row>
    <row r="1819" spans="1:18" x14ac:dyDescent="0.3">
      <c r="A1819" s="2" t="str">
        <f>HYPERLINK(B1819,"Oppna PDF")</f>
        <v>Oppna PDF</v>
      </c>
      <c r="B1819" t="s">
        <v>4903</v>
      </c>
      <c r="C1819" t="s">
        <v>4904</v>
      </c>
      <c r="D1819" t="s">
        <v>4893</v>
      </c>
      <c r="E1819" t="s">
        <v>4905</v>
      </c>
      <c r="F1819" t="s">
        <v>4895</v>
      </c>
      <c r="G1819" t="s">
        <v>4896</v>
      </c>
      <c r="H1819" t="s">
        <v>25</v>
      </c>
      <c r="I1819" t="s">
        <v>4897</v>
      </c>
      <c r="J1819" t="s">
        <v>48</v>
      </c>
      <c r="K1819" t="s">
        <v>49</v>
      </c>
      <c r="L1819" t="s">
        <v>29</v>
      </c>
      <c r="M1819" t="s">
        <v>30</v>
      </c>
      <c r="N1819" t="s">
        <v>31</v>
      </c>
      <c r="Q1819" t="s">
        <v>4906</v>
      </c>
      <c r="R1819" t="s">
        <v>4906</v>
      </c>
    </row>
    <row r="1820" spans="1:18" x14ac:dyDescent="0.3">
      <c r="A1820" s="2" t="str">
        <f>HYPERLINK(B1820,"Oppna PDF")</f>
        <v>Oppna PDF</v>
      </c>
      <c r="B1820" t="s">
        <v>4903</v>
      </c>
      <c r="C1820" t="s">
        <v>4907</v>
      </c>
      <c r="D1820" t="s">
        <v>4893</v>
      </c>
      <c r="E1820" t="s">
        <v>4905</v>
      </c>
      <c r="F1820" t="s">
        <v>4895</v>
      </c>
      <c r="G1820" t="s">
        <v>4896</v>
      </c>
      <c r="H1820" t="s">
        <v>25</v>
      </c>
      <c r="I1820" t="s">
        <v>4897</v>
      </c>
      <c r="J1820" t="s">
        <v>48</v>
      </c>
      <c r="K1820" t="s">
        <v>49</v>
      </c>
      <c r="L1820" t="s">
        <v>29</v>
      </c>
      <c r="M1820" t="s">
        <v>30</v>
      </c>
      <c r="N1820" t="s">
        <v>31</v>
      </c>
      <c r="Q1820" t="s">
        <v>4908</v>
      </c>
      <c r="R1820" t="s">
        <v>4908</v>
      </c>
    </row>
    <row r="1821" spans="1:18" x14ac:dyDescent="0.3">
      <c r="A1821" s="2" t="str">
        <f>HYPERLINK(B1821,"Oppna PDF")</f>
        <v>Oppna PDF</v>
      </c>
      <c r="B1821" t="s">
        <v>4903</v>
      </c>
      <c r="C1821" t="s">
        <v>4909</v>
      </c>
      <c r="D1821" t="s">
        <v>4893</v>
      </c>
      <c r="E1821" t="s">
        <v>4905</v>
      </c>
      <c r="F1821" t="s">
        <v>4895</v>
      </c>
      <c r="G1821" t="s">
        <v>4896</v>
      </c>
      <c r="H1821" t="s">
        <v>25</v>
      </c>
      <c r="I1821" t="s">
        <v>4897</v>
      </c>
      <c r="J1821" t="s">
        <v>38</v>
      </c>
      <c r="K1821" t="s">
        <v>39</v>
      </c>
      <c r="L1821" t="s">
        <v>29</v>
      </c>
      <c r="M1821" t="s">
        <v>30</v>
      </c>
      <c r="N1821" t="s">
        <v>31</v>
      </c>
      <c r="Q1821" t="s">
        <v>4910</v>
      </c>
      <c r="R1821" t="s">
        <v>4910</v>
      </c>
    </row>
    <row r="1822" spans="1:18" x14ac:dyDescent="0.3">
      <c r="A1822" s="2" t="str">
        <f>HYPERLINK(B1822,"Oppna PDF")</f>
        <v>Oppna PDF</v>
      </c>
      <c r="B1822" t="s">
        <v>4911</v>
      </c>
      <c r="C1822" t="s">
        <v>4912</v>
      </c>
      <c r="D1822" t="s">
        <v>4893</v>
      </c>
      <c r="E1822" t="s">
        <v>4913</v>
      </c>
      <c r="F1822" t="s">
        <v>4895</v>
      </c>
      <c r="G1822" t="s">
        <v>4896</v>
      </c>
      <c r="H1822" t="s">
        <v>25</v>
      </c>
      <c r="I1822" t="s">
        <v>4897</v>
      </c>
      <c r="J1822" t="s">
        <v>48</v>
      </c>
      <c r="K1822" t="s">
        <v>49</v>
      </c>
      <c r="L1822" t="s">
        <v>29</v>
      </c>
      <c r="M1822" t="s">
        <v>30</v>
      </c>
      <c r="N1822" t="s">
        <v>31</v>
      </c>
      <c r="Q1822" t="s">
        <v>4914</v>
      </c>
      <c r="R1822" t="s">
        <v>4914</v>
      </c>
    </row>
    <row r="1823" spans="1:18" x14ac:dyDescent="0.3">
      <c r="A1823" s="2" t="str">
        <f>HYPERLINK(B1823,"Oppna PDF")</f>
        <v>Oppna PDF</v>
      </c>
      <c r="B1823" t="s">
        <v>4911</v>
      </c>
      <c r="C1823" t="s">
        <v>4915</v>
      </c>
      <c r="D1823" t="s">
        <v>4893</v>
      </c>
      <c r="E1823" t="s">
        <v>4913</v>
      </c>
      <c r="F1823" t="s">
        <v>4895</v>
      </c>
      <c r="G1823" t="s">
        <v>4896</v>
      </c>
      <c r="H1823" t="s">
        <v>25</v>
      </c>
      <c r="I1823" t="s">
        <v>4897</v>
      </c>
      <c r="J1823" t="s">
        <v>38</v>
      </c>
      <c r="K1823" t="s">
        <v>39</v>
      </c>
      <c r="L1823" t="s">
        <v>29</v>
      </c>
      <c r="M1823" t="s">
        <v>30</v>
      </c>
      <c r="N1823" t="s">
        <v>31</v>
      </c>
      <c r="Q1823" t="s">
        <v>4916</v>
      </c>
      <c r="R1823" t="s">
        <v>4916</v>
      </c>
    </row>
    <row r="1824" spans="1:18" x14ac:dyDescent="0.3">
      <c r="A1824" s="2" t="str">
        <f>HYPERLINK(B1824,"Oppna PDF")</f>
        <v>Oppna PDF</v>
      </c>
      <c r="B1824" t="s">
        <v>4911</v>
      </c>
      <c r="C1824" t="s">
        <v>4917</v>
      </c>
      <c r="D1824" t="s">
        <v>4893</v>
      </c>
      <c r="E1824" t="s">
        <v>4913</v>
      </c>
      <c r="F1824" t="s">
        <v>4895</v>
      </c>
      <c r="G1824" t="s">
        <v>4896</v>
      </c>
      <c r="H1824" t="s">
        <v>25</v>
      </c>
      <c r="I1824" t="s">
        <v>4897</v>
      </c>
      <c r="J1824" t="s">
        <v>38</v>
      </c>
      <c r="K1824" t="s">
        <v>39</v>
      </c>
      <c r="L1824" t="s">
        <v>29</v>
      </c>
      <c r="M1824" t="s">
        <v>30</v>
      </c>
      <c r="N1824" t="s">
        <v>31</v>
      </c>
      <c r="Q1824" t="s">
        <v>4918</v>
      </c>
      <c r="R1824" t="s">
        <v>4918</v>
      </c>
    </row>
    <row r="1825" spans="1:18" x14ac:dyDescent="0.3">
      <c r="A1825" s="2" t="str">
        <f>HYPERLINK(B1825,"Oppna PDF")</f>
        <v>Oppna PDF</v>
      </c>
      <c r="B1825" t="s">
        <v>4919</v>
      </c>
      <c r="C1825" t="s">
        <v>4920</v>
      </c>
      <c r="D1825" t="s">
        <v>4921</v>
      </c>
      <c r="E1825" t="s">
        <v>4922</v>
      </c>
      <c r="F1825" t="s">
        <v>4895</v>
      </c>
      <c r="G1825" t="s">
        <v>4896</v>
      </c>
      <c r="H1825" t="s">
        <v>25</v>
      </c>
      <c r="I1825" t="s">
        <v>4897</v>
      </c>
      <c r="J1825" t="s">
        <v>48</v>
      </c>
      <c r="K1825" t="s">
        <v>49</v>
      </c>
      <c r="L1825" t="s">
        <v>29</v>
      </c>
      <c r="M1825" t="s">
        <v>30</v>
      </c>
      <c r="N1825" t="s">
        <v>31</v>
      </c>
      <c r="Q1825" t="s">
        <v>4898</v>
      </c>
      <c r="R1825" t="s">
        <v>4898</v>
      </c>
    </row>
    <row r="1826" spans="1:18" x14ac:dyDescent="0.3">
      <c r="A1826" s="2" t="str">
        <f>HYPERLINK(B1826,"Oppna PDF")</f>
        <v>Oppna PDF</v>
      </c>
      <c r="B1826" t="s">
        <v>4919</v>
      </c>
      <c r="C1826" t="s">
        <v>4923</v>
      </c>
      <c r="D1826" t="s">
        <v>4921</v>
      </c>
      <c r="E1826" t="s">
        <v>4922</v>
      </c>
      <c r="F1826" t="s">
        <v>4895</v>
      </c>
      <c r="G1826" t="s">
        <v>4896</v>
      </c>
      <c r="H1826" t="s">
        <v>25</v>
      </c>
      <c r="I1826" t="s">
        <v>4897</v>
      </c>
      <c r="J1826" t="s">
        <v>38</v>
      </c>
      <c r="K1826" t="s">
        <v>39</v>
      </c>
      <c r="L1826" t="s">
        <v>29</v>
      </c>
      <c r="M1826" t="s">
        <v>30</v>
      </c>
      <c r="N1826" t="s">
        <v>31</v>
      </c>
      <c r="Q1826" t="s">
        <v>4900</v>
      </c>
      <c r="R1826" t="s">
        <v>4900</v>
      </c>
    </row>
    <row r="1827" spans="1:18" x14ac:dyDescent="0.3">
      <c r="A1827" s="2" t="str">
        <f>HYPERLINK(B1827,"Oppna PDF")</f>
        <v>Oppna PDF</v>
      </c>
      <c r="B1827" t="s">
        <v>4919</v>
      </c>
      <c r="C1827" t="s">
        <v>4924</v>
      </c>
      <c r="D1827" t="s">
        <v>4921</v>
      </c>
      <c r="E1827" t="s">
        <v>4922</v>
      </c>
      <c r="F1827" t="s">
        <v>4895</v>
      </c>
      <c r="G1827" t="s">
        <v>4896</v>
      </c>
      <c r="H1827" t="s">
        <v>25</v>
      </c>
      <c r="I1827" t="s">
        <v>4897</v>
      </c>
      <c r="J1827" t="s">
        <v>38</v>
      </c>
      <c r="K1827" t="s">
        <v>39</v>
      </c>
      <c r="L1827" t="s">
        <v>29</v>
      </c>
      <c r="M1827" t="s">
        <v>30</v>
      </c>
      <c r="N1827" t="s">
        <v>31</v>
      </c>
      <c r="Q1827" t="s">
        <v>4902</v>
      </c>
      <c r="R1827" t="s">
        <v>4902</v>
      </c>
    </row>
    <row r="1828" spans="1:18" x14ac:dyDescent="0.3">
      <c r="A1828" s="2" t="str">
        <f>HYPERLINK(B1828,"Oppna PDF")</f>
        <v>Oppna PDF</v>
      </c>
      <c r="B1828" t="s">
        <v>4925</v>
      </c>
      <c r="C1828" t="s">
        <v>4926</v>
      </c>
      <c r="D1828" t="s">
        <v>4921</v>
      </c>
      <c r="E1828" t="s">
        <v>4927</v>
      </c>
      <c r="F1828" t="s">
        <v>4895</v>
      </c>
      <c r="G1828" t="s">
        <v>4896</v>
      </c>
      <c r="H1828" t="s">
        <v>25</v>
      </c>
      <c r="I1828" t="s">
        <v>4897</v>
      </c>
      <c r="J1828" t="s">
        <v>48</v>
      </c>
      <c r="K1828" t="s">
        <v>49</v>
      </c>
      <c r="L1828" t="s">
        <v>29</v>
      </c>
      <c r="M1828" t="s">
        <v>30</v>
      </c>
      <c r="N1828" t="s">
        <v>31</v>
      </c>
      <c r="Q1828" t="s">
        <v>4906</v>
      </c>
      <c r="R1828" t="s">
        <v>4906</v>
      </c>
    </row>
    <row r="1829" spans="1:18" x14ac:dyDescent="0.3">
      <c r="A1829" s="2" t="str">
        <f>HYPERLINK(B1829,"Oppna PDF")</f>
        <v>Oppna PDF</v>
      </c>
      <c r="B1829" t="s">
        <v>4925</v>
      </c>
      <c r="C1829" t="s">
        <v>4928</v>
      </c>
      <c r="D1829" t="s">
        <v>4921</v>
      </c>
      <c r="E1829" t="s">
        <v>4927</v>
      </c>
      <c r="F1829" t="s">
        <v>4895</v>
      </c>
      <c r="G1829" t="s">
        <v>4896</v>
      </c>
      <c r="H1829" t="s">
        <v>25</v>
      </c>
      <c r="I1829" t="s">
        <v>4897</v>
      </c>
      <c r="J1829" t="s">
        <v>48</v>
      </c>
      <c r="K1829" t="s">
        <v>49</v>
      </c>
      <c r="L1829" t="s">
        <v>29</v>
      </c>
      <c r="M1829" t="s">
        <v>30</v>
      </c>
      <c r="N1829" t="s">
        <v>31</v>
      </c>
      <c r="Q1829" t="s">
        <v>4908</v>
      </c>
      <c r="R1829" t="s">
        <v>4908</v>
      </c>
    </row>
    <row r="1830" spans="1:18" x14ac:dyDescent="0.3">
      <c r="A1830" s="2" t="str">
        <f>HYPERLINK(B1830,"Oppna PDF")</f>
        <v>Oppna PDF</v>
      </c>
      <c r="B1830" t="s">
        <v>4925</v>
      </c>
      <c r="C1830" t="s">
        <v>4929</v>
      </c>
      <c r="D1830" t="s">
        <v>4921</v>
      </c>
      <c r="E1830" t="s">
        <v>4927</v>
      </c>
      <c r="F1830" t="s">
        <v>4895</v>
      </c>
      <c r="G1830" t="s">
        <v>4896</v>
      </c>
      <c r="H1830" t="s">
        <v>25</v>
      </c>
      <c r="I1830" t="s">
        <v>4897</v>
      </c>
      <c r="J1830" t="s">
        <v>38</v>
      </c>
      <c r="K1830" t="s">
        <v>39</v>
      </c>
      <c r="L1830" t="s">
        <v>29</v>
      </c>
      <c r="M1830" t="s">
        <v>30</v>
      </c>
      <c r="N1830" t="s">
        <v>31</v>
      </c>
      <c r="Q1830" t="s">
        <v>4910</v>
      </c>
      <c r="R1830" t="s">
        <v>4910</v>
      </c>
    </row>
    <row r="1831" spans="1:18" x14ac:dyDescent="0.3">
      <c r="A1831" s="2" t="str">
        <f>HYPERLINK(B1831,"Oppna PDF")</f>
        <v>Oppna PDF</v>
      </c>
      <c r="B1831" t="s">
        <v>4930</v>
      </c>
      <c r="C1831" t="s">
        <v>4931</v>
      </c>
      <c r="D1831" t="s">
        <v>4921</v>
      </c>
      <c r="E1831" t="s">
        <v>4932</v>
      </c>
      <c r="F1831" t="s">
        <v>4895</v>
      </c>
      <c r="G1831" t="s">
        <v>4896</v>
      </c>
      <c r="H1831" t="s">
        <v>25</v>
      </c>
      <c r="I1831" t="s">
        <v>4897</v>
      </c>
      <c r="J1831" t="s">
        <v>48</v>
      </c>
      <c r="K1831" t="s">
        <v>49</v>
      </c>
      <c r="L1831" t="s">
        <v>29</v>
      </c>
      <c r="M1831" t="s">
        <v>30</v>
      </c>
      <c r="N1831" t="s">
        <v>31</v>
      </c>
      <c r="Q1831" t="s">
        <v>4914</v>
      </c>
      <c r="R1831" t="s">
        <v>4914</v>
      </c>
    </row>
    <row r="1832" spans="1:18" x14ac:dyDescent="0.3">
      <c r="A1832" s="2" t="str">
        <f>HYPERLINK(B1832,"Oppna PDF")</f>
        <v>Oppna PDF</v>
      </c>
      <c r="B1832" t="s">
        <v>4930</v>
      </c>
      <c r="C1832" t="s">
        <v>4933</v>
      </c>
      <c r="D1832" t="s">
        <v>4921</v>
      </c>
      <c r="E1832" t="s">
        <v>4932</v>
      </c>
      <c r="F1832" t="s">
        <v>4895</v>
      </c>
      <c r="G1832" t="s">
        <v>4896</v>
      </c>
      <c r="H1832" t="s">
        <v>25</v>
      </c>
      <c r="I1832" t="s">
        <v>4897</v>
      </c>
      <c r="J1832" t="s">
        <v>38</v>
      </c>
      <c r="K1832" t="s">
        <v>39</v>
      </c>
      <c r="L1832" t="s">
        <v>29</v>
      </c>
      <c r="M1832" t="s">
        <v>30</v>
      </c>
      <c r="N1832" t="s">
        <v>31</v>
      </c>
      <c r="Q1832" t="s">
        <v>4916</v>
      </c>
      <c r="R1832" t="s">
        <v>4916</v>
      </c>
    </row>
    <row r="1833" spans="1:18" x14ac:dyDescent="0.3">
      <c r="A1833" s="2" t="str">
        <f>HYPERLINK(B1833,"Oppna PDF")</f>
        <v>Oppna PDF</v>
      </c>
      <c r="B1833" t="s">
        <v>4930</v>
      </c>
      <c r="C1833" t="s">
        <v>4934</v>
      </c>
      <c r="D1833" t="s">
        <v>4921</v>
      </c>
      <c r="E1833" t="s">
        <v>4932</v>
      </c>
      <c r="F1833" t="s">
        <v>4895</v>
      </c>
      <c r="G1833" t="s">
        <v>4896</v>
      </c>
      <c r="H1833" t="s">
        <v>25</v>
      </c>
      <c r="I1833" t="s">
        <v>4897</v>
      </c>
      <c r="J1833" t="s">
        <v>38</v>
      </c>
      <c r="K1833" t="s">
        <v>39</v>
      </c>
      <c r="L1833" t="s">
        <v>29</v>
      </c>
      <c r="M1833" t="s">
        <v>30</v>
      </c>
      <c r="N1833" t="s">
        <v>31</v>
      </c>
      <c r="Q1833" t="s">
        <v>4918</v>
      </c>
      <c r="R1833" t="s">
        <v>4918</v>
      </c>
    </row>
    <row r="1834" spans="1:18" x14ac:dyDescent="0.3">
      <c r="A1834" s="2" t="str">
        <f>HYPERLINK(B1834,"Oppna PDF")</f>
        <v>Oppna PDF</v>
      </c>
      <c r="B1834" t="s">
        <v>4935</v>
      </c>
      <c r="C1834" t="s">
        <v>4936</v>
      </c>
      <c r="D1834" t="s">
        <v>4937</v>
      </c>
      <c r="E1834" t="s">
        <v>4938</v>
      </c>
      <c r="H1834" t="s">
        <v>2039</v>
      </c>
      <c r="I1834" t="s">
        <v>4939</v>
      </c>
      <c r="J1834" t="s">
        <v>87</v>
      </c>
      <c r="K1834" t="s">
        <v>88</v>
      </c>
      <c r="L1834" t="s">
        <v>29</v>
      </c>
      <c r="M1834" t="s">
        <v>30</v>
      </c>
      <c r="N1834" t="s">
        <v>31</v>
      </c>
      <c r="Q1834" t="s">
        <v>4940</v>
      </c>
      <c r="R1834" t="s">
        <v>4940</v>
      </c>
    </row>
    <row r="1835" spans="1:18" x14ac:dyDescent="0.3">
      <c r="A1835" s="2" t="str">
        <f>HYPERLINK(B1835,"Oppna PDF")</f>
        <v>Oppna PDF</v>
      </c>
      <c r="B1835" t="s">
        <v>4935</v>
      </c>
      <c r="C1835" t="s">
        <v>4941</v>
      </c>
      <c r="D1835" t="s">
        <v>4937</v>
      </c>
      <c r="E1835" t="s">
        <v>4938</v>
      </c>
      <c r="H1835" t="s">
        <v>2039</v>
      </c>
      <c r="I1835" t="s">
        <v>4939</v>
      </c>
      <c r="J1835" t="s">
        <v>87</v>
      </c>
      <c r="K1835" t="s">
        <v>88</v>
      </c>
      <c r="L1835" t="s">
        <v>29</v>
      </c>
      <c r="M1835" t="s">
        <v>30</v>
      </c>
      <c r="N1835" t="s">
        <v>31</v>
      </c>
      <c r="Q1835" t="s">
        <v>4942</v>
      </c>
      <c r="R1835" t="s">
        <v>4942</v>
      </c>
    </row>
    <row r="1836" spans="1:18" x14ac:dyDescent="0.3">
      <c r="A1836" s="2" t="str">
        <f>HYPERLINK(B1836,"Oppna PDF")</f>
        <v>Oppna PDF</v>
      </c>
      <c r="B1836" t="s">
        <v>4935</v>
      </c>
      <c r="C1836" t="s">
        <v>4943</v>
      </c>
      <c r="D1836" t="s">
        <v>4937</v>
      </c>
      <c r="E1836" t="s">
        <v>4938</v>
      </c>
      <c r="H1836" t="s">
        <v>2039</v>
      </c>
      <c r="I1836" t="s">
        <v>4939</v>
      </c>
      <c r="J1836" t="s">
        <v>27</v>
      </c>
      <c r="K1836" t="s">
        <v>28</v>
      </c>
      <c r="L1836" t="s">
        <v>29</v>
      </c>
      <c r="M1836" t="s">
        <v>30</v>
      </c>
      <c r="N1836" t="s">
        <v>31</v>
      </c>
      <c r="Q1836" t="s">
        <v>4944</v>
      </c>
      <c r="R1836" t="s">
        <v>4944</v>
      </c>
    </row>
    <row r="1837" spans="1:18" x14ac:dyDescent="0.3">
      <c r="A1837" s="2" t="str">
        <f>HYPERLINK(B1837,"Oppna PDF")</f>
        <v>Oppna PDF</v>
      </c>
      <c r="B1837" t="s">
        <v>4945</v>
      </c>
      <c r="C1837" t="s">
        <v>4946</v>
      </c>
      <c r="D1837" t="s">
        <v>4937</v>
      </c>
      <c r="E1837" t="s">
        <v>4947</v>
      </c>
      <c r="H1837" t="s">
        <v>2039</v>
      </c>
      <c r="I1837" t="s">
        <v>4939</v>
      </c>
      <c r="J1837" t="s">
        <v>87</v>
      </c>
      <c r="K1837" t="s">
        <v>88</v>
      </c>
      <c r="L1837" t="s">
        <v>29</v>
      </c>
      <c r="M1837" t="s">
        <v>30</v>
      </c>
      <c r="N1837" t="s">
        <v>31</v>
      </c>
      <c r="Q1837" t="s">
        <v>4940</v>
      </c>
      <c r="R1837" t="s">
        <v>4940</v>
      </c>
    </row>
    <row r="1838" spans="1:18" x14ac:dyDescent="0.3">
      <c r="A1838" s="2" t="str">
        <f>HYPERLINK(B1838,"Oppna PDF")</f>
        <v>Oppna PDF</v>
      </c>
      <c r="B1838" t="s">
        <v>4945</v>
      </c>
      <c r="C1838" t="s">
        <v>4948</v>
      </c>
      <c r="D1838" t="s">
        <v>4937</v>
      </c>
      <c r="E1838" t="s">
        <v>4947</v>
      </c>
      <c r="H1838" t="s">
        <v>2039</v>
      </c>
      <c r="I1838" t="s">
        <v>4939</v>
      </c>
      <c r="J1838" t="s">
        <v>27</v>
      </c>
      <c r="K1838" t="s">
        <v>28</v>
      </c>
      <c r="L1838" t="s">
        <v>29</v>
      </c>
      <c r="M1838" t="s">
        <v>30</v>
      </c>
      <c r="N1838" t="s">
        <v>31</v>
      </c>
      <c r="Q1838" t="s">
        <v>4944</v>
      </c>
      <c r="R1838" t="s">
        <v>4944</v>
      </c>
    </row>
    <row r="1839" spans="1:18" x14ac:dyDescent="0.3">
      <c r="A1839" s="2" t="str">
        <f>HYPERLINK(B1839,"Oppna PDF")</f>
        <v>Oppna PDF</v>
      </c>
      <c r="B1839" t="s">
        <v>4945</v>
      </c>
      <c r="C1839" t="s">
        <v>4949</v>
      </c>
      <c r="D1839" t="s">
        <v>4937</v>
      </c>
      <c r="E1839" t="s">
        <v>4947</v>
      </c>
      <c r="H1839" t="s">
        <v>2039</v>
      </c>
      <c r="I1839" t="s">
        <v>4939</v>
      </c>
      <c r="J1839" t="s">
        <v>27</v>
      </c>
      <c r="K1839" t="s">
        <v>28</v>
      </c>
      <c r="L1839" t="s">
        <v>29</v>
      </c>
      <c r="M1839" t="s">
        <v>30</v>
      </c>
      <c r="N1839" t="s">
        <v>31</v>
      </c>
      <c r="Q1839" t="s">
        <v>4950</v>
      </c>
      <c r="R1839" t="s">
        <v>4950</v>
      </c>
    </row>
    <row r="1840" spans="1:18" x14ac:dyDescent="0.3">
      <c r="A1840" s="2" t="str">
        <f>HYPERLINK(B1840,"Oppna PDF")</f>
        <v>Oppna PDF</v>
      </c>
      <c r="B1840" t="s">
        <v>4951</v>
      </c>
      <c r="C1840" t="s">
        <v>4952</v>
      </c>
      <c r="D1840" t="s">
        <v>4937</v>
      </c>
      <c r="E1840" t="s">
        <v>4953</v>
      </c>
      <c r="H1840" t="s">
        <v>2039</v>
      </c>
      <c r="I1840" t="s">
        <v>4939</v>
      </c>
      <c r="J1840" t="s">
        <v>27</v>
      </c>
      <c r="K1840" t="s">
        <v>28</v>
      </c>
      <c r="L1840" t="s">
        <v>29</v>
      </c>
      <c r="M1840" t="s">
        <v>30</v>
      </c>
      <c r="N1840" t="s">
        <v>31</v>
      </c>
      <c r="Q1840" t="s">
        <v>4954</v>
      </c>
      <c r="R1840" t="s">
        <v>4955</v>
      </c>
    </row>
    <row r="1841" spans="1:18" x14ac:dyDescent="0.3">
      <c r="A1841" s="2" t="str">
        <f>HYPERLINK(B1841,"Oppna PDF")</f>
        <v>Oppna PDF</v>
      </c>
      <c r="B1841" t="s">
        <v>4951</v>
      </c>
      <c r="C1841" t="s">
        <v>4956</v>
      </c>
      <c r="D1841" t="s">
        <v>4937</v>
      </c>
      <c r="E1841" t="s">
        <v>4953</v>
      </c>
      <c r="H1841" t="s">
        <v>2039</v>
      </c>
      <c r="I1841" t="s">
        <v>4939</v>
      </c>
      <c r="J1841" t="s">
        <v>27</v>
      </c>
      <c r="K1841" t="s">
        <v>28</v>
      </c>
      <c r="L1841" t="s">
        <v>29</v>
      </c>
      <c r="M1841" t="s">
        <v>30</v>
      </c>
      <c r="N1841" t="s">
        <v>31</v>
      </c>
      <c r="Q1841" t="s">
        <v>4957</v>
      </c>
      <c r="R1841" t="s">
        <v>4957</v>
      </c>
    </row>
    <row r="1842" spans="1:18" x14ac:dyDescent="0.3">
      <c r="A1842" s="2" t="str">
        <f>HYPERLINK(B1842,"Oppna PDF")</f>
        <v>Oppna PDF</v>
      </c>
      <c r="B1842" t="s">
        <v>4951</v>
      </c>
      <c r="C1842" t="s">
        <v>4958</v>
      </c>
      <c r="D1842" t="s">
        <v>4937</v>
      </c>
      <c r="E1842" t="s">
        <v>4953</v>
      </c>
      <c r="H1842" t="s">
        <v>2039</v>
      </c>
      <c r="I1842" t="s">
        <v>4939</v>
      </c>
      <c r="J1842" t="s">
        <v>27</v>
      </c>
      <c r="K1842" t="s">
        <v>28</v>
      </c>
      <c r="L1842" t="s">
        <v>29</v>
      </c>
      <c r="M1842" t="s">
        <v>30</v>
      </c>
      <c r="N1842" t="s">
        <v>31</v>
      </c>
      <c r="Q1842" t="s">
        <v>4959</v>
      </c>
      <c r="R1842" t="s">
        <v>4959</v>
      </c>
    </row>
    <row r="1843" spans="1:18" x14ac:dyDescent="0.3">
      <c r="A1843" s="2" t="str">
        <f>HYPERLINK(B1843,"Oppna PDF")</f>
        <v>Oppna PDF</v>
      </c>
      <c r="B1843" t="s">
        <v>4960</v>
      </c>
      <c r="C1843" t="s">
        <v>4961</v>
      </c>
      <c r="D1843" t="s">
        <v>4937</v>
      </c>
      <c r="E1843" t="s">
        <v>4962</v>
      </c>
      <c r="H1843" t="s">
        <v>2039</v>
      </c>
      <c r="I1843" t="s">
        <v>4939</v>
      </c>
      <c r="J1843" t="s">
        <v>91</v>
      </c>
      <c r="K1843" t="s">
        <v>92</v>
      </c>
      <c r="L1843" t="s">
        <v>29</v>
      </c>
      <c r="M1843" t="s">
        <v>30</v>
      </c>
      <c r="N1843" t="s">
        <v>31</v>
      </c>
      <c r="Q1843" t="s">
        <v>4963</v>
      </c>
      <c r="R1843" t="s">
        <v>4963</v>
      </c>
    </row>
    <row r="1844" spans="1:18" x14ac:dyDescent="0.3">
      <c r="A1844" s="2" t="str">
        <f>HYPERLINK(B1844,"Oppna PDF")</f>
        <v>Oppna PDF</v>
      </c>
      <c r="B1844" t="s">
        <v>4960</v>
      </c>
      <c r="C1844" t="s">
        <v>4964</v>
      </c>
      <c r="D1844" t="s">
        <v>4937</v>
      </c>
      <c r="E1844" t="s">
        <v>4962</v>
      </c>
      <c r="H1844" t="s">
        <v>2039</v>
      </c>
      <c r="I1844" t="s">
        <v>4939</v>
      </c>
      <c r="J1844" t="s">
        <v>38</v>
      </c>
      <c r="K1844" t="s">
        <v>39</v>
      </c>
      <c r="L1844" t="s">
        <v>29</v>
      </c>
      <c r="M1844" t="s">
        <v>30</v>
      </c>
      <c r="N1844" t="s">
        <v>31</v>
      </c>
      <c r="Q1844" t="s">
        <v>4965</v>
      </c>
      <c r="R1844" t="s">
        <v>4965</v>
      </c>
    </row>
    <row r="1845" spans="1:18" x14ac:dyDescent="0.3">
      <c r="A1845" s="2" t="str">
        <f>HYPERLINK(B1845,"Oppna PDF")</f>
        <v>Oppna PDF</v>
      </c>
      <c r="B1845" t="s">
        <v>4960</v>
      </c>
      <c r="C1845" t="s">
        <v>4966</v>
      </c>
      <c r="D1845" t="s">
        <v>4937</v>
      </c>
      <c r="E1845" t="s">
        <v>4962</v>
      </c>
      <c r="H1845" t="s">
        <v>2039</v>
      </c>
      <c r="I1845" t="s">
        <v>4939</v>
      </c>
      <c r="J1845" t="s">
        <v>27</v>
      </c>
      <c r="K1845" t="s">
        <v>28</v>
      </c>
      <c r="L1845" t="s">
        <v>29</v>
      </c>
      <c r="M1845" t="s">
        <v>30</v>
      </c>
      <c r="N1845" t="s">
        <v>31</v>
      </c>
      <c r="Q1845" t="s">
        <v>4967</v>
      </c>
      <c r="R1845" t="s">
        <v>4967</v>
      </c>
    </row>
    <row r="1846" spans="1:18" x14ac:dyDescent="0.3">
      <c r="A1846" s="2" t="str">
        <f>HYPERLINK(B1846,"Oppna PDF")</f>
        <v>Oppna PDF</v>
      </c>
      <c r="B1846" t="s">
        <v>4968</v>
      </c>
      <c r="C1846" t="s">
        <v>4969</v>
      </c>
      <c r="D1846" t="s">
        <v>4937</v>
      </c>
      <c r="E1846" t="s">
        <v>4970</v>
      </c>
      <c r="H1846" t="s">
        <v>2039</v>
      </c>
      <c r="I1846" t="s">
        <v>4939</v>
      </c>
      <c r="J1846" t="s">
        <v>87</v>
      </c>
      <c r="K1846" t="s">
        <v>88</v>
      </c>
      <c r="L1846" t="s">
        <v>29</v>
      </c>
      <c r="M1846" t="s">
        <v>30</v>
      </c>
      <c r="N1846" t="s">
        <v>31</v>
      </c>
      <c r="Q1846" t="s">
        <v>4971</v>
      </c>
      <c r="R1846" t="s">
        <v>4972</v>
      </c>
    </row>
    <row r="1847" spans="1:18" x14ac:dyDescent="0.3">
      <c r="A1847" s="2" t="str">
        <f>HYPERLINK(B1847,"Oppna PDF")</f>
        <v>Oppna PDF</v>
      </c>
      <c r="B1847" t="s">
        <v>4973</v>
      </c>
      <c r="C1847" t="s">
        <v>4974</v>
      </c>
      <c r="D1847" t="s">
        <v>4937</v>
      </c>
      <c r="E1847" t="s">
        <v>4975</v>
      </c>
      <c r="H1847" t="s">
        <v>2039</v>
      </c>
      <c r="I1847" t="s">
        <v>4939</v>
      </c>
      <c r="J1847" t="s">
        <v>38</v>
      </c>
      <c r="K1847" t="s">
        <v>39</v>
      </c>
      <c r="L1847" t="s">
        <v>29</v>
      </c>
      <c r="M1847" t="s">
        <v>30</v>
      </c>
      <c r="N1847" t="s">
        <v>31</v>
      </c>
      <c r="Q1847" t="s">
        <v>4976</v>
      </c>
      <c r="R1847" t="s">
        <v>4976</v>
      </c>
    </row>
    <row r="1848" spans="1:18" x14ac:dyDescent="0.3">
      <c r="A1848" s="2" t="str">
        <f>HYPERLINK(B1848,"Oppna PDF")</f>
        <v>Oppna PDF</v>
      </c>
      <c r="B1848" t="s">
        <v>4973</v>
      </c>
      <c r="C1848" t="s">
        <v>4977</v>
      </c>
      <c r="D1848" t="s">
        <v>4937</v>
      </c>
      <c r="E1848" t="s">
        <v>4975</v>
      </c>
      <c r="H1848" t="s">
        <v>2039</v>
      </c>
      <c r="I1848" t="s">
        <v>4939</v>
      </c>
      <c r="J1848" t="s">
        <v>91</v>
      </c>
      <c r="K1848" t="s">
        <v>92</v>
      </c>
      <c r="L1848" t="s">
        <v>29</v>
      </c>
      <c r="M1848" t="s">
        <v>30</v>
      </c>
      <c r="N1848" t="s">
        <v>31</v>
      </c>
      <c r="Q1848" t="s">
        <v>4978</v>
      </c>
      <c r="R1848" t="s">
        <v>4978</v>
      </c>
    </row>
    <row r="1849" spans="1:18" x14ac:dyDescent="0.3">
      <c r="A1849" s="2" t="str">
        <f>HYPERLINK(B1849,"Oppna PDF")</f>
        <v>Oppna PDF</v>
      </c>
      <c r="B1849" t="s">
        <v>4973</v>
      </c>
      <c r="C1849" t="s">
        <v>4979</v>
      </c>
      <c r="D1849" t="s">
        <v>4937</v>
      </c>
      <c r="E1849" t="s">
        <v>4975</v>
      </c>
      <c r="H1849" t="s">
        <v>2039</v>
      </c>
      <c r="I1849" t="s">
        <v>4939</v>
      </c>
      <c r="J1849" t="s">
        <v>91</v>
      </c>
      <c r="K1849" t="s">
        <v>92</v>
      </c>
      <c r="L1849" t="s">
        <v>29</v>
      </c>
      <c r="M1849" t="s">
        <v>30</v>
      </c>
      <c r="N1849" t="s">
        <v>31</v>
      </c>
      <c r="Q1849" t="s">
        <v>4980</v>
      </c>
      <c r="R1849" t="s">
        <v>4980</v>
      </c>
    </row>
    <row r="1850" spans="1:18" x14ac:dyDescent="0.3">
      <c r="A1850" s="2" t="str">
        <f>HYPERLINK(B1850,"Oppna PDF")</f>
        <v>Oppna PDF</v>
      </c>
      <c r="B1850" t="s">
        <v>4981</v>
      </c>
      <c r="C1850" t="s">
        <v>4982</v>
      </c>
      <c r="D1850" t="s">
        <v>4937</v>
      </c>
      <c r="E1850" t="s">
        <v>4983</v>
      </c>
      <c r="H1850" t="s">
        <v>2039</v>
      </c>
      <c r="I1850" t="s">
        <v>4939</v>
      </c>
      <c r="J1850" t="s">
        <v>27</v>
      </c>
      <c r="K1850" t="s">
        <v>28</v>
      </c>
      <c r="L1850" t="s">
        <v>29</v>
      </c>
      <c r="M1850" t="s">
        <v>30</v>
      </c>
      <c r="N1850" t="s">
        <v>31</v>
      </c>
      <c r="Q1850" t="s">
        <v>4984</v>
      </c>
      <c r="R1850" t="s">
        <v>4984</v>
      </c>
    </row>
    <row r="1851" spans="1:18" x14ac:dyDescent="0.3">
      <c r="A1851" s="2" t="str">
        <f>HYPERLINK(B1851,"Oppna PDF")</f>
        <v>Oppna PDF</v>
      </c>
      <c r="B1851" t="s">
        <v>4981</v>
      </c>
      <c r="C1851" t="s">
        <v>4985</v>
      </c>
      <c r="D1851" t="s">
        <v>4937</v>
      </c>
      <c r="E1851" t="s">
        <v>4983</v>
      </c>
      <c r="H1851" t="s">
        <v>2039</v>
      </c>
      <c r="I1851" t="s">
        <v>4939</v>
      </c>
      <c r="J1851" t="s">
        <v>87</v>
      </c>
      <c r="K1851" t="s">
        <v>88</v>
      </c>
      <c r="L1851" t="s">
        <v>29</v>
      </c>
      <c r="M1851" t="s">
        <v>30</v>
      </c>
      <c r="N1851" t="s">
        <v>31</v>
      </c>
      <c r="Q1851" t="s">
        <v>4986</v>
      </c>
      <c r="R1851" t="s">
        <v>4986</v>
      </c>
    </row>
    <row r="1852" spans="1:18" x14ac:dyDescent="0.3">
      <c r="A1852" s="2" t="str">
        <f>HYPERLINK(B1852,"Oppna PDF")</f>
        <v>Oppna PDF</v>
      </c>
      <c r="B1852" t="s">
        <v>4987</v>
      </c>
      <c r="C1852" t="s">
        <v>4988</v>
      </c>
      <c r="D1852" t="s">
        <v>4937</v>
      </c>
      <c r="E1852" t="s">
        <v>4989</v>
      </c>
      <c r="H1852" t="s">
        <v>2039</v>
      </c>
      <c r="I1852" t="s">
        <v>4939</v>
      </c>
      <c r="J1852" t="s">
        <v>27</v>
      </c>
      <c r="K1852" t="s">
        <v>28</v>
      </c>
      <c r="L1852" t="s">
        <v>29</v>
      </c>
      <c r="M1852" t="s">
        <v>30</v>
      </c>
      <c r="N1852" t="s">
        <v>31</v>
      </c>
      <c r="Q1852" t="s">
        <v>4984</v>
      </c>
      <c r="R1852" t="s">
        <v>4984</v>
      </c>
    </row>
    <row r="1853" spans="1:18" x14ac:dyDescent="0.3">
      <c r="A1853" s="2" t="str">
        <f>HYPERLINK(B1853,"Oppna PDF")</f>
        <v>Oppna PDF</v>
      </c>
      <c r="B1853" t="s">
        <v>4987</v>
      </c>
      <c r="C1853" t="s">
        <v>4990</v>
      </c>
      <c r="D1853" t="s">
        <v>4937</v>
      </c>
      <c r="E1853" t="s">
        <v>4989</v>
      </c>
      <c r="H1853" t="s">
        <v>2039</v>
      </c>
      <c r="I1853" t="s">
        <v>4939</v>
      </c>
      <c r="J1853" t="s">
        <v>87</v>
      </c>
      <c r="K1853" t="s">
        <v>88</v>
      </c>
      <c r="L1853" t="s">
        <v>29</v>
      </c>
      <c r="M1853" t="s">
        <v>30</v>
      </c>
      <c r="N1853" t="s">
        <v>31</v>
      </c>
      <c r="Q1853" t="s">
        <v>4991</v>
      </c>
      <c r="R1853" t="s">
        <v>4991</v>
      </c>
    </row>
    <row r="1854" spans="1:18" x14ac:dyDescent="0.3">
      <c r="A1854" s="2" t="str">
        <f>HYPERLINK(B1854,"Oppna PDF")</f>
        <v>Oppna PDF</v>
      </c>
      <c r="B1854" t="s">
        <v>4987</v>
      </c>
      <c r="C1854" t="s">
        <v>4992</v>
      </c>
      <c r="D1854" t="s">
        <v>4937</v>
      </c>
      <c r="E1854" t="s">
        <v>4989</v>
      </c>
      <c r="H1854" t="s">
        <v>2039</v>
      </c>
      <c r="I1854" t="s">
        <v>4939</v>
      </c>
      <c r="J1854" t="s">
        <v>87</v>
      </c>
      <c r="K1854" t="s">
        <v>88</v>
      </c>
      <c r="L1854" t="s">
        <v>29</v>
      </c>
      <c r="M1854" t="s">
        <v>30</v>
      </c>
      <c r="N1854" t="s">
        <v>31</v>
      </c>
      <c r="Q1854" t="s">
        <v>4986</v>
      </c>
      <c r="R1854" t="s">
        <v>4986</v>
      </c>
    </row>
    <row r="1855" spans="1:18" x14ac:dyDescent="0.3">
      <c r="A1855" s="2" t="str">
        <f>HYPERLINK(B1855,"Oppna PDF")</f>
        <v>Oppna PDF</v>
      </c>
      <c r="B1855" t="s">
        <v>4993</v>
      </c>
      <c r="C1855" t="s">
        <v>4994</v>
      </c>
      <c r="D1855" t="s">
        <v>4937</v>
      </c>
      <c r="E1855" t="s">
        <v>4995</v>
      </c>
      <c r="H1855" t="s">
        <v>2039</v>
      </c>
      <c r="I1855" t="s">
        <v>4939</v>
      </c>
      <c r="J1855" t="s">
        <v>27</v>
      </c>
      <c r="K1855" t="s">
        <v>28</v>
      </c>
      <c r="L1855" t="s">
        <v>29</v>
      </c>
      <c r="M1855" t="s">
        <v>30</v>
      </c>
      <c r="N1855" t="s">
        <v>31</v>
      </c>
      <c r="Q1855" t="s">
        <v>4984</v>
      </c>
      <c r="R1855" t="s">
        <v>4984</v>
      </c>
    </row>
    <row r="1856" spans="1:18" x14ac:dyDescent="0.3">
      <c r="A1856" s="2" t="str">
        <f>HYPERLINK(B1856,"Oppna PDF")</f>
        <v>Oppna PDF</v>
      </c>
      <c r="B1856" t="s">
        <v>4996</v>
      </c>
      <c r="C1856" t="s">
        <v>4997</v>
      </c>
      <c r="D1856" t="s">
        <v>4937</v>
      </c>
      <c r="E1856" t="s">
        <v>4998</v>
      </c>
      <c r="H1856" t="s">
        <v>2039</v>
      </c>
      <c r="I1856" t="s">
        <v>4939</v>
      </c>
      <c r="J1856" t="s">
        <v>91</v>
      </c>
      <c r="K1856" t="s">
        <v>92</v>
      </c>
      <c r="L1856" t="s">
        <v>29</v>
      </c>
      <c r="M1856" t="s">
        <v>30</v>
      </c>
      <c r="N1856" t="s">
        <v>31</v>
      </c>
      <c r="Q1856" t="s">
        <v>4999</v>
      </c>
      <c r="R1856" t="s">
        <v>4999</v>
      </c>
    </row>
    <row r="1857" spans="1:18" x14ac:dyDescent="0.3">
      <c r="A1857" s="2" t="str">
        <f>HYPERLINK(B1857,"Oppna PDF")</f>
        <v>Oppna PDF</v>
      </c>
      <c r="B1857" t="s">
        <v>4996</v>
      </c>
      <c r="C1857" t="s">
        <v>5000</v>
      </c>
      <c r="D1857" t="s">
        <v>4937</v>
      </c>
      <c r="E1857" t="s">
        <v>4998</v>
      </c>
      <c r="H1857" t="s">
        <v>2039</v>
      </c>
      <c r="I1857" t="s">
        <v>4939</v>
      </c>
      <c r="J1857" t="s">
        <v>38</v>
      </c>
      <c r="K1857" t="s">
        <v>39</v>
      </c>
      <c r="L1857" t="s">
        <v>29</v>
      </c>
      <c r="M1857" t="s">
        <v>30</v>
      </c>
      <c r="N1857" t="s">
        <v>31</v>
      </c>
      <c r="Q1857" t="s">
        <v>5001</v>
      </c>
      <c r="R1857" t="s">
        <v>5001</v>
      </c>
    </row>
    <row r="1858" spans="1:18" x14ac:dyDescent="0.3">
      <c r="A1858" s="2" t="str">
        <f>HYPERLINK(B1858,"Oppna PDF")</f>
        <v>Oppna PDF</v>
      </c>
      <c r="B1858" t="s">
        <v>4996</v>
      </c>
      <c r="C1858" t="s">
        <v>5002</v>
      </c>
      <c r="D1858" t="s">
        <v>4937</v>
      </c>
      <c r="E1858" t="s">
        <v>4998</v>
      </c>
      <c r="H1858" t="s">
        <v>2039</v>
      </c>
      <c r="I1858" t="s">
        <v>4939</v>
      </c>
      <c r="J1858" t="s">
        <v>38</v>
      </c>
      <c r="K1858" t="s">
        <v>39</v>
      </c>
      <c r="L1858" t="s">
        <v>29</v>
      </c>
      <c r="M1858" t="s">
        <v>30</v>
      </c>
      <c r="N1858" t="s">
        <v>31</v>
      </c>
      <c r="Q1858" t="s">
        <v>5003</v>
      </c>
      <c r="R1858" t="s">
        <v>5003</v>
      </c>
    </row>
    <row r="1859" spans="1:18" x14ac:dyDescent="0.3">
      <c r="A1859" s="2" t="str">
        <f>HYPERLINK(B1859,"Oppna PDF")</f>
        <v>Oppna PDF</v>
      </c>
      <c r="B1859" t="s">
        <v>5004</v>
      </c>
      <c r="C1859" t="s">
        <v>5005</v>
      </c>
      <c r="D1859" t="s">
        <v>4937</v>
      </c>
      <c r="E1859" t="s">
        <v>5006</v>
      </c>
      <c r="H1859" t="s">
        <v>2039</v>
      </c>
      <c r="I1859" t="s">
        <v>4939</v>
      </c>
      <c r="J1859" t="s">
        <v>27</v>
      </c>
      <c r="K1859" t="s">
        <v>28</v>
      </c>
      <c r="L1859" t="s">
        <v>29</v>
      </c>
      <c r="M1859" t="s">
        <v>30</v>
      </c>
      <c r="N1859" t="s">
        <v>31</v>
      </c>
      <c r="Q1859" t="s">
        <v>5007</v>
      </c>
      <c r="R1859" t="s">
        <v>5007</v>
      </c>
    </row>
    <row r="1860" spans="1:18" x14ac:dyDescent="0.3">
      <c r="A1860" s="2" t="str">
        <f>HYPERLINK(B1860,"Oppna PDF")</f>
        <v>Oppna PDF</v>
      </c>
      <c r="B1860" t="s">
        <v>5008</v>
      </c>
      <c r="C1860" t="s">
        <v>5009</v>
      </c>
      <c r="D1860" t="s">
        <v>4937</v>
      </c>
      <c r="E1860" t="s">
        <v>5010</v>
      </c>
      <c r="H1860" t="s">
        <v>2039</v>
      </c>
      <c r="I1860" t="s">
        <v>4939</v>
      </c>
      <c r="J1860" t="s">
        <v>27</v>
      </c>
      <c r="K1860" t="s">
        <v>28</v>
      </c>
      <c r="L1860" t="s">
        <v>29</v>
      </c>
      <c r="M1860" t="s">
        <v>30</v>
      </c>
      <c r="N1860" t="s">
        <v>31</v>
      </c>
      <c r="Q1860" t="s">
        <v>5007</v>
      </c>
      <c r="R1860" t="s">
        <v>5007</v>
      </c>
    </row>
    <row r="1861" spans="1:18" x14ac:dyDescent="0.3">
      <c r="A1861" s="2" t="str">
        <f>HYPERLINK(B1861,"Oppna PDF")</f>
        <v>Oppna PDF</v>
      </c>
      <c r="B1861" t="s">
        <v>5011</v>
      </c>
      <c r="C1861" t="s">
        <v>5012</v>
      </c>
      <c r="D1861" t="s">
        <v>4937</v>
      </c>
      <c r="E1861" t="s">
        <v>5013</v>
      </c>
      <c r="H1861" t="s">
        <v>2039</v>
      </c>
      <c r="I1861" t="s">
        <v>4939</v>
      </c>
      <c r="J1861" t="s">
        <v>27</v>
      </c>
      <c r="K1861" t="s">
        <v>28</v>
      </c>
      <c r="L1861" t="s">
        <v>29</v>
      </c>
      <c r="M1861" t="s">
        <v>30</v>
      </c>
      <c r="N1861" t="s">
        <v>31</v>
      </c>
      <c r="Q1861" t="s">
        <v>5007</v>
      </c>
      <c r="R1861" t="s">
        <v>5007</v>
      </c>
    </row>
    <row r="1862" spans="1:18" x14ac:dyDescent="0.3">
      <c r="A1862" s="2" t="str">
        <f>HYPERLINK(B1862,"Oppna PDF")</f>
        <v>Oppna PDF</v>
      </c>
      <c r="B1862" t="s">
        <v>5014</v>
      </c>
      <c r="C1862" t="s">
        <v>5015</v>
      </c>
      <c r="D1862" t="s">
        <v>4937</v>
      </c>
      <c r="E1862" t="s">
        <v>5016</v>
      </c>
      <c r="H1862" t="s">
        <v>2039</v>
      </c>
      <c r="I1862" t="s">
        <v>4939</v>
      </c>
      <c r="J1862" t="s">
        <v>91</v>
      </c>
      <c r="K1862" t="s">
        <v>92</v>
      </c>
      <c r="L1862" t="s">
        <v>29</v>
      </c>
      <c r="M1862" t="s">
        <v>30</v>
      </c>
      <c r="N1862" t="s">
        <v>31</v>
      </c>
      <c r="Q1862" t="s">
        <v>4999</v>
      </c>
      <c r="R1862" t="s">
        <v>4999</v>
      </c>
    </row>
    <row r="1863" spans="1:18" x14ac:dyDescent="0.3">
      <c r="A1863" s="2" t="str">
        <f>HYPERLINK(B1863,"Oppna PDF")</f>
        <v>Oppna PDF</v>
      </c>
      <c r="B1863" t="s">
        <v>5014</v>
      </c>
      <c r="C1863" t="s">
        <v>5017</v>
      </c>
      <c r="D1863" t="s">
        <v>4937</v>
      </c>
      <c r="E1863" t="s">
        <v>5016</v>
      </c>
      <c r="H1863" t="s">
        <v>2039</v>
      </c>
      <c r="I1863" t="s">
        <v>4939</v>
      </c>
      <c r="J1863" t="s">
        <v>38</v>
      </c>
      <c r="K1863" t="s">
        <v>39</v>
      </c>
      <c r="L1863" t="s">
        <v>29</v>
      </c>
      <c r="M1863" t="s">
        <v>30</v>
      </c>
      <c r="N1863" t="s">
        <v>31</v>
      </c>
      <c r="Q1863" t="s">
        <v>5001</v>
      </c>
      <c r="R1863" t="s">
        <v>5001</v>
      </c>
    </row>
    <row r="1864" spans="1:18" x14ac:dyDescent="0.3">
      <c r="A1864" s="2" t="str">
        <f>HYPERLINK(B1864,"Oppna PDF")</f>
        <v>Oppna PDF</v>
      </c>
      <c r="B1864" t="s">
        <v>5014</v>
      </c>
      <c r="C1864" t="s">
        <v>5018</v>
      </c>
      <c r="D1864" t="s">
        <v>4937</v>
      </c>
      <c r="E1864" t="s">
        <v>5016</v>
      </c>
      <c r="H1864" t="s">
        <v>2039</v>
      </c>
      <c r="I1864" t="s">
        <v>4939</v>
      </c>
      <c r="J1864" t="s">
        <v>27</v>
      </c>
      <c r="K1864" t="s">
        <v>28</v>
      </c>
      <c r="L1864" t="s">
        <v>29</v>
      </c>
      <c r="M1864" t="s">
        <v>30</v>
      </c>
      <c r="N1864" t="s">
        <v>31</v>
      </c>
      <c r="Q1864" t="s">
        <v>5019</v>
      </c>
      <c r="R1864" t="s">
        <v>5019</v>
      </c>
    </row>
    <row r="1865" spans="1:18" x14ac:dyDescent="0.3">
      <c r="A1865" s="2" t="str">
        <f>HYPERLINK(B1865,"Oppna PDF")</f>
        <v>Oppna PDF</v>
      </c>
      <c r="B1865" t="s">
        <v>5020</v>
      </c>
      <c r="C1865" t="s">
        <v>5021</v>
      </c>
      <c r="D1865" t="s">
        <v>4937</v>
      </c>
      <c r="E1865" t="s">
        <v>5022</v>
      </c>
      <c r="H1865" t="s">
        <v>2039</v>
      </c>
      <c r="I1865" t="s">
        <v>4939</v>
      </c>
      <c r="J1865" t="s">
        <v>48</v>
      </c>
      <c r="K1865" t="s">
        <v>49</v>
      </c>
      <c r="L1865" t="s">
        <v>29</v>
      </c>
      <c r="M1865" t="s">
        <v>30</v>
      </c>
      <c r="N1865" t="s">
        <v>31</v>
      </c>
      <c r="Q1865" t="s">
        <v>5023</v>
      </c>
      <c r="R1865" t="s">
        <v>5024</v>
      </c>
    </row>
    <row r="1866" spans="1:18" x14ac:dyDescent="0.3">
      <c r="A1866" s="2" t="str">
        <f>HYPERLINK(B1866,"Oppna PDF")</f>
        <v>Oppna PDF</v>
      </c>
      <c r="B1866" t="s">
        <v>5025</v>
      </c>
      <c r="C1866" t="s">
        <v>5026</v>
      </c>
      <c r="D1866" t="s">
        <v>4937</v>
      </c>
      <c r="E1866" t="s">
        <v>5027</v>
      </c>
      <c r="H1866" t="s">
        <v>2039</v>
      </c>
      <c r="I1866" t="s">
        <v>4939</v>
      </c>
      <c r="J1866" t="s">
        <v>91</v>
      </c>
      <c r="K1866" t="s">
        <v>92</v>
      </c>
      <c r="L1866" t="s">
        <v>29</v>
      </c>
      <c r="M1866" t="s">
        <v>30</v>
      </c>
      <c r="N1866" t="s">
        <v>31</v>
      </c>
      <c r="Q1866" t="s">
        <v>5028</v>
      </c>
      <c r="R1866" t="s">
        <v>5029</v>
      </c>
    </row>
    <row r="1867" spans="1:18" x14ac:dyDescent="0.3">
      <c r="A1867" s="2" t="str">
        <f>HYPERLINK(B1867,"Oppna PDF")</f>
        <v>Oppna PDF</v>
      </c>
      <c r="B1867" t="s">
        <v>5025</v>
      </c>
      <c r="C1867" t="s">
        <v>5030</v>
      </c>
      <c r="D1867" t="s">
        <v>4937</v>
      </c>
      <c r="E1867" t="s">
        <v>5027</v>
      </c>
      <c r="H1867" t="s">
        <v>2039</v>
      </c>
      <c r="I1867" t="s">
        <v>4939</v>
      </c>
      <c r="J1867" t="s">
        <v>91</v>
      </c>
      <c r="K1867" t="s">
        <v>92</v>
      </c>
      <c r="L1867" t="s">
        <v>29</v>
      </c>
      <c r="M1867" t="s">
        <v>30</v>
      </c>
      <c r="N1867" t="s">
        <v>31</v>
      </c>
      <c r="Q1867" t="s">
        <v>5031</v>
      </c>
      <c r="R1867" t="s">
        <v>5032</v>
      </c>
    </row>
    <row r="1868" spans="1:18" x14ac:dyDescent="0.3">
      <c r="A1868" s="2" t="str">
        <f>HYPERLINK(B1868,"Oppna PDF")</f>
        <v>Oppna PDF</v>
      </c>
      <c r="B1868" t="s">
        <v>5033</v>
      </c>
      <c r="C1868" t="s">
        <v>5034</v>
      </c>
      <c r="D1868" t="s">
        <v>5035</v>
      </c>
      <c r="E1868" t="s">
        <v>5036</v>
      </c>
      <c r="H1868" t="s">
        <v>2039</v>
      </c>
      <c r="I1868" t="s">
        <v>4939</v>
      </c>
      <c r="J1868" t="s">
        <v>87</v>
      </c>
      <c r="K1868" t="s">
        <v>88</v>
      </c>
      <c r="L1868" t="s">
        <v>29</v>
      </c>
      <c r="M1868" t="s">
        <v>30</v>
      </c>
      <c r="N1868" t="s">
        <v>31</v>
      </c>
      <c r="Q1868" t="s">
        <v>4940</v>
      </c>
      <c r="R1868" t="s">
        <v>4940</v>
      </c>
    </row>
    <row r="1869" spans="1:18" x14ac:dyDescent="0.3">
      <c r="A1869" s="2" t="str">
        <f>HYPERLINK(B1869,"Oppna PDF")</f>
        <v>Oppna PDF</v>
      </c>
      <c r="B1869" t="s">
        <v>5033</v>
      </c>
      <c r="C1869" t="s">
        <v>5037</v>
      </c>
      <c r="D1869" t="s">
        <v>5035</v>
      </c>
      <c r="E1869" t="s">
        <v>5036</v>
      </c>
      <c r="H1869" t="s">
        <v>2039</v>
      </c>
      <c r="I1869" t="s">
        <v>4939</v>
      </c>
      <c r="J1869" t="s">
        <v>87</v>
      </c>
      <c r="K1869" t="s">
        <v>88</v>
      </c>
      <c r="L1869" t="s">
        <v>29</v>
      </c>
      <c r="M1869" t="s">
        <v>30</v>
      </c>
      <c r="N1869" t="s">
        <v>31</v>
      </c>
      <c r="Q1869" t="s">
        <v>4942</v>
      </c>
      <c r="R1869" t="s">
        <v>4942</v>
      </c>
    </row>
    <row r="1870" spans="1:18" x14ac:dyDescent="0.3">
      <c r="A1870" s="2" t="str">
        <f>HYPERLINK(B1870,"Oppna PDF")</f>
        <v>Oppna PDF</v>
      </c>
      <c r="B1870" t="s">
        <v>5033</v>
      </c>
      <c r="C1870" t="s">
        <v>5038</v>
      </c>
      <c r="D1870" t="s">
        <v>5035</v>
      </c>
      <c r="E1870" t="s">
        <v>5036</v>
      </c>
      <c r="H1870" t="s">
        <v>2039</v>
      </c>
      <c r="I1870" t="s">
        <v>4939</v>
      </c>
      <c r="J1870" t="s">
        <v>27</v>
      </c>
      <c r="K1870" t="s">
        <v>28</v>
      </c>
      <c r="L1870" t="s">
        <v>29</v>
      </c>
      <c r="M1870" t="s">
        <v>30</v>
      </c>
      <c r="N1870" t="s">
        <v>31</v>
      </c>
      <c r="Q1870" t="s">
        <v>4944</v>
      </c>
      <c r="R1870" t="s">
        <v>4944</v>
      </c>
    </row>
    <row r="1871" spans="1:18" x14ac:dyDescent="0.3">
      <c r="A1871" s="2" t="str">
        <f>HYPERLINK(B1871,"Oppna PDF")</f>
        <v>Oppna PDF</v>
      </c>
      <c r="B1871" t="s">
        <v>5039</v>
      </c>
      <c r="C1871" t="s">
        <v>5040</v>
      </c>
      <c r="D1871" t="s">
        <v>5035</v>
      </c>
      <c r="E1871" t="s">
        <v>5041</v>
      </c>
      <c r="H1871" t="s">
        <v>2039</v>
      </c>
      <c r="I1871" t="s">
        <v>4939</v>
      </c>
      <c r="J1871" t="s">
        <v>87</v>
      </c>
      <c r="K1871" t="s">
        <v>88</v>
      </c>
      <c r="L1871" t="s">
        <v>29</v>
      </c>
      <c r="M1871" t="s">
        <v>30</v>
      </c>
      <c r="N1871" t="s">
        <v>31</v>
      </c>
      <c r="Q1871" t="s">
        <v>4940</v>
      </c>
      <c r="R1871" t="s">
        <v>4940</v>
      </c>
    </row>
    <row r="1872" spans="1:18" x14ac:dyDescent="0.3">
      <c r="A1872" s="2" t="str">
        <f>HYPERLINK(B1872,"Oppna PDF")</f>
        <v>Oppna PDF</v>
      </c>
      <c r="B1872" t="s">
        <v>5039</v>
      </c>
      <c r="C1872" t="s">
        <v>5042</v>
      </c>
      <c r="D1872" t="s">
        <v>5035</v>
      </c>
      <c r="E1872" t="s">
        <v>5041</v>
      </c>
      <c r="H1872" t="s">
        <v>2039</v>
      </c>
      <c r="I1872" t="s">
        <v>4939</v>
      </c>
      <c r="J1872" t="s">
        <v>27</v>
      </c>
      <c r="K1872" t="s">
        <v>28</v>
      </c>
      <c r="L1872" t="s">
        <v>29</v>
      </c>
      <c r="M1872" t="s">
        <v>30</v>
      </c>
      <c r="N1872" t="s">
        <v>31</v>
      </c>
      <c r="Q1872" t="s">
        <v>4944</v>
      </c>
      <c r="R1872" t="s">
        <v>4944</v>
      </c>
    </row>
    <row r="1873" spans="1:18" x14ac:dyDescent="0.3">
      <c r="A1873" s="2" t="str">
        <f>HYPERLINK(B1873,"Oppna PDF")</f>
        <v>Oppna PDF</v>
      </c>
      <c r="B1873" t="s">
        <v>5039</v>
      </c>
      <c r="C1873" t="s">
        <v>5043</v>
      </c>
      <c r="D1873" t="s">
        <v>5035</v>
      </c>
      <c r="E1873" t="s">
        <v>5041</v>
      </c>
      <c r="H1873" t="s">
        <v>2039</v>
      </c>
      <c r="I1873" t="s">
        <v>4939</v>
      </c>
      <c r="J1873" t="s">
        <v>27</v>
      </c>
      <c r="K1873" t="s">
        <v>28</v>
      </c>
      <c r="L1873" t="s">
        <v>29</v>
      </c>
      <c r="M1873" t="s">
        <v>30</v>
      </c>
      <c r="N1873" t="s">
        <v>31</v>
      </c>
      <c r="Q1873" t="s">
        <v>4950</v>
      </c>
      <c r="R1873" t="s">
        <v>4950</v>
      </c>
    </row>
    <row r="1874" spans="1:18" x14ac:dyDescent="0.3">
      <c r="A1874" s="2" t="str">
        <f>HYPERLINK(B1874,"Oppna PDF")</f>
        <v>Oppna PDF</v>
      </c>
      <c r="B1874" t="s">
        <v>5044</v>
      </c>
      <c r="C1874" t="s">
        <v>5045</v>
      </c>
      <c r="D1874" t="s">
        <v>5035</v>
      </c>
      <c r="E1874" t="s">
        <v>5046</v>
      </c>
      <c r="H1874" t="s">
        <v>2039</v>
      </c>
      <c r="I1874" t="s">
        <v>4939</v>
      </c>
      <c r="J1874" t="s">
        <v>27</v>
      </c>
      <c r="K1874" t="s">
        <v>28</v>
      </c>
      <c r="L1874" t="s">
        <v>29</v>
      </c>
      <c r="M1874" t="s">
        <v>30</v>
      </c>
      <c r="N1874" t="s">
        <v>31</v>
      </c>
      <c r="Q1874" t="s">
        <v>4954</v>
      </c>
      <c r="R1874" t="s">
        <v>4955</v>
      </c>
    </row>
    <row r="1875" spans="1:18" x14ac:dyDescent="0.3">
      <c r="A1875" s="2" t="str">
        <f>HYPERLINK(B1875,"Oppna PDF")</f>
        <v>Oppna PDF</v>
      </c>
      <c r="B1875" t="s">
        <v>5044</v>
      </c>
      <c r="C1875" t="s">
        <v>5047</v>
      </c>
      <c r="D1875" t="s">
        <v>5035</v>
      </c>
      <c r="E1875" t="s">
        <v>5046</v>
      </c>
      <c r="H1875" t="s">
        <v>2039</v>
      </c>
      <c r="I1875" t="s">
        <v>4939</v>
      </c>
      <c r="J1875" t="s">
        <v>27</v>
      </c>
      <c r="K1875" t="s">
        <v>28</v>
      </c>
      <c r="L1875" t="s">
        <v>29</v>
      </c>
      <c r="M1875" t="s">
        <v>30</v>
      </c>
      <c r="N1875" t="s">
        <v>31</v>
      </c>
      <c r="Q1875" t="s">
        <v>4957</v>
      </c>
      <c r="R1875" t="s">
        <v>4957</v>
      </c>
    </row>
    <row r="1876" spans="1:18" x14ac:dyDescent="0.3">
      <c r="A1876" s="2" t="str">
        <f>HYPERLINK(B1876,"Oppna PDF")</f>
        <v>Oppna PDF</v>
      </c>
      <c r="B1876" t="s">
        <v>5044</v>
      </c>
      <c r="C1876" t="s">
        <v>5048</v>
      </c>
      <c r="D1876" t="s">
        <v>5035</v>
      </c>
      <c r="E1876" t="s">
        <v>5046</v>
      </c>
      <c r="H1876" t="s">
        <v>2039</v>
      </c>
      <c r="I1876" t="s">
        <v>4939</v>
      </c>
      <c r="J1876" t="s">
        <v>27</v>
      </c>
      <c r="K1876" t="s">
        <v>28</v>
      </c>
      <c r="L1876" t="s">
        <v>29</v>
      </c>
      <c r="M1876" t="s">
        <v>30</v>
      </c>
      <c r="N1876" t="s">
        <v>31</v>
      </c>
      <c r="Q1876" t="s">
        <v>4959</v>
      </c>
      <c r="R1876" t="s">
        <v>4959</v>
      </c>
    </row>
    <row r="1877" spans="1:18" x14ac:dyDescent="0.3">
      <c r="A1877" s="2" t="str">
        <f>HYPERLINK(B1877,"Oppna PDF")</f>
        <v>Oppna PDF</v>
      </c>
      <c r="B1877" t="s">
        <v>5049</v>
      </c>
      <c r="C1877" t="s">
        <v>5050</v>
      </c>
      <c r="D1877" t="s">
        <v>5035</v>
      </c>
      <c r="E1877" t="s">
        <v>5051</v>
      </c>
      <c r="H1877" t="s">
        <v>2039</v>
      </c>
      <c r="I1877" t="s">
        <v>4939</v>
      </c>
      <c r="J1877" t="s">
        <v>91</v>
      </c>
      <c r="K1877" t="s">
        <v>92</v>
      </c>
      <c r="L1877" t="s">
        <v>29</v>
      </c>
      <c r="M1877" t="s">
        <v>30</v>
      </c>
      <c r="N1877" t="s">
        <v>31</v>
      </c>
      <c r="Q1877" t="s">
        <v>4963</v>
      </c>
      <c r="R1877" t="s">
        <v>4963</v>
      </c>
    </row>
    <row r="1878" spans="1:18" x14ac:dyDescent="0.3">
      <c r="A1878" s="2" t="str">
        <f>HYPERLINK(B1878,"Oppna PDF")</f>
        <v>Oppna PDF</v>
      </c>
      <c r="B1878" t="s">
        <v>5049</v>
      </c>
      <c r="C1878" t="s">
        <v>5052</v>
      </c>
      <c r="D1878" t="s">
        <v>5035</v>
      </c>
      <c r="E1878" t="s">
        <v>5051</v>
      </c>
      <c r="H1878" t="s">
        <v>2039</v>
      </c>
      <c r="I1878" t="s">
        <v>4939</v>
      </c>
      <c r="J1878" t="s">
        <v>38</v>
      </c>
      <c r="K1878" t="s">
        <v>39</v>
      </c>
      <c r="L1878" t="s">
        <v>29</v>
      </c>
      <c r="M1878" t="s">
        <v>30</v>
      </c>
      <c r="N1878" t="s">
        <v>31</v>
      </c>
      <c r="Q1878" t="s">
        <v>4965</v>
      </c>
      <c r="R1878" t="s">
        <v>4965</v>
      </c>
    </row>
    <row r="1879" spans="1:18" x14ac:dyDescent="0.3">
      <c r="A1879" s="2" t="str">
        <f>HYPERLINK(B1879,"Oppna PDF")</f>
        <v>Oppna PDF</v>
      </c>
      <c r="B1879" t="s">
        <v>5049</v>
      </c>
      <c r="C1879" t="s">
        <v>5053</v>
      </c>
      <c r="D1879" t="s">
        <v>5035</v>
      </c>
      <c r="E1879" t="s">
        <v>5051</v>
      </c>
      <c r="H1879" t="s">
        <v>2039</v>
      </c>
      <c r="I1879" t="s">
        <v>4939</v>
      </c>
      <c r="J1879" t="s">
        <v>27</v>
      </c>
      <c r="K1879" t="s">
        <v>28</v>
      </c>
      <c r="L1879" t="s">
        <v>29</v>
      </c>
      <c r="M1879" t="s">
        <v>30</v>
      </c>
      <c r="N1879" t="s">
        <v>31</v>
      </c>
      <c r="Q1879" t="s">
        <v>4967</v>
      </c>
      <c r="R1879" t="s">
        <v>4967</v>
      </c>
    </row>
    <row r="1880" spans="1:18" x14ac:dyDescent="0.3">
      <c r="A1880" s="2" t="str">
        <f>HYPERLINK(B1880,"Oppna PDF")</f>
        <v>Oppna PDF</v>
      </c>
      <c r="B1880" t="s">
        <v>5054</v>
      </c>
      <c r="C1880" t="s">
        <v>5055</v>
      </c>
      <c r="D1880" t="s">
        <v>5035</v>
      </c>
      <c r="E1880" t="s">
        <v>5056</v>
      </c>
      <c r="H1880" t="s">
        <v>2039</v>
      </c>
      <c r="I1880" t="s">
        <v>4939</v>
      </c>
      <c r="J1880" t="s">
        <v>87</v>
      </c>
      <c r="K1880" t="s">
        <v>88</v>
      </c>
      <c r="L1880" t="s">
        <v>29</v>
      </c>
      <c r="M1880" t="s">
        <v>30</v>
      </c>
      <c r="N1880" t="s">
        <v>31</v>
      </c>
      <c r="Q1880" t="s">
        <v>4971</v>
      </c>
      <c r="R1880" t="s">
        <v>4972</v>
      </c>
    </row>
    <row r="1881" spans="1:18" x14ac:dyDescent="0.3">
      <c r="A1881" s="2" t="str">
        <f>HYPERLINK(B1881,"Oppna PDF")</f>
        <v>Oppna PDF</v>
      </c>
      <c r="B1881" t="s">
        <v>5057</v>
      </c>
      <c r="C1881" t="s">
        <v>5058</v>
      </c>
      <c r="D1881" t="s">
        <v>5035</v>
      </c>
      <c r="E1881" t="s">
        <v>5059</v>
      </c>
      <c r="H1881" t="s">
        <v>2039</v>
      </c>
      <c r="I1881" t="s">
        <v>4939</v>
      </c>
      <c r="J1881" t="s">
        <v>38</v>
      </c>
      <c r="K1881" t="s">
        <v>39</v>
      </c>
      <c r="L1881" t="s">
        <v>29</v>
      </c>
      <c r="M1881" t="s">
        <v>30</v>
      </c>
      <c r="N1881" t="s">
        <v>31</v>
      </c>
      <c r="Q1881" t="s">
        <v>4976</v>
      </c>
      <c r="R1881" t="s">
        <v>4976</v>
      </c>
    </row>
    <row r="1882" spans="1:18" x14ac:dyDescent="0.3">
      <c r="A1882" s="2" t="str">
        <f>HYPERLINK(B1882,"Oppna PDF")</f>
        <v>Oppna PDF</v>
      </c>
      <c r="B1882" t="s">
        <v>5057</v>
      </c>
      <c r="C1882" t="s">
        <v>5060</v>
      </c>
      <c r="D1882" t="s">
        <v>5035</v>
      </c>
      <c r="E1882" t="s">
        <v>5059</v>
      </c>
      <c r="H1882" t="s">
        <v>2039</v>
      </c>
      <c r="I1882" t="s">
        <v>4939</v>
      </c>
      <c r="J1882" t="s">
        <v>91</v>
      </c>
      <c r="K1882" t="s">
        <v>92</v>
      </c>
      <c r="L1882" t="s">
        <v>29</v>
      </c>
      <c r="M1882" t="s">
        <v>30</v>
      </c>
      <c r="N1882" t="s">
        <v>31</v>
      </c>
      <c r="Q1882" t="s">
        <v>4978</v>
      </c>
      <c r="R1882" t="s">
        <v>4978</v>
      </c>
    </row>
    <row r="1883" spans="1:18" x14ac:dyDescent="0.3">
      <c r="A1883" s="2" t="str">
        <f>HYPERLINK(B1883,"Oppna PDF")</f>
        <v>Oppna PDF</v>
      </c>
      <c r="B1883" t="s">
        <v>5057</v>
      </c>
      <c r="C1883" t="s">
        <v>5061</v>
      </c>
      <c r="D1883" t="s">
        <v>5035</v>
      </c>
      <c r="E1883" t="s">
        <v>5059</v>
      </c>
      <c r="H1883" t="s">
        <v>2039</v>
      </c>
      <c r="I1883" t="s">
        <v>4939</v>
      </c>
      <c r="J1883" t="s">
        <v>91</v>
      </c>
      <c r="K1883" t="s">
        <v>92</v>
      </c>
      <c r="L1883" t="s">
        <v>29</v>
      </c>
      <c r="M1883" t="s">
        <v>30</v>
      </c>
      <c r="N1883" t="s">
        <v>31</v>
      </c>
      <c r="Q1883" t="s">
        <v>4980</v>
      </c>
      <c r="R1883" t="s">
        <v>4980</v>
      </c>
    </row>
    <row r="1884" spans="1:18" x14ac:dyDescent="0.3">
      <c r="A1884" s="2" t="str">
        <f>HYPERLINK(B1884,"Oppna PDF")</f>
        <v>Oppna PDF</v>
      </c>
      <c r="B1884" t="s">
        <v>5062</v>
      </c>
      <c r="C1884" t="s">
        <v>5063</v>
      </c>
      <c r="D1884" t="s">
        <v>5035</v>
      </c>
      <c r="E1884" t="s">
        <v>5064</v>
      </c>
      <c r="H1884" t="s">
        <v>2039</v>
      </c>
      <c r="I1884" t="s">
        <v>4939</v>
      </c>
      <c r="J1884" t="s">
        <v>27</v>
      </c>
      <c r="K1884" t="s">
        <v>28</v>
      </c>
      <c r="L1884" t="s">
        <v>29</v>
      </c>
      <c r="M1884" t="s">
        <v>30</v>
      </c>
      <c r="N1884" t="s">
        <v>31</v>
      </c>
      <c r="Q1884" t="s">
        <v>4984</v>
      </c>
      <c r="R1884" t="s">
        <v>4984</v>
      </c>
    </row>
    <row r="1885" spans="1:18" x14ac:dyDescent="0.3">
      <c r="A1885" s="2" t="str">
        <f>HYPERLINK(B1885,"Oppna PDF")</f>
        <v>Oppna PDF</v>
      </c>
      <c r="B1885" t="s">
        <v>5062</v>
      </c>
      <c r="C1885" t="s">
        <v>5065</v>
      </c>
      <c r="D1885" t="s">
        <v>5035</v>
      </c>
      <c r="E1885" t="s">
        <v>5064</v>
      </c>
      <c r="H1885" t="s">
        <v>2039</v>
      </c>
      <c r="I1885" t="s">
        <v>4939</v>
      </c>
      <c r="J1885" t="s">
        <v>87</v>
      </c>
      <c r="K1885" t="s">
        <v>88</v>
      </c>
      <c r="L1885" t="s">
        <v>29</v>
      </c>
      <c r="M1885" t="s">
        <v>30</v>
      </c>
      <c r="N1885" t="s">
        <v>31</v>
      </c>
      <c r="Q1885" t="s">
        <v>4986</v>
      </c>
      <c r="R1885" t="s">
        <v>4986</v>
      </c>
    </row>
    <row r="1886" spans="1:18" x14ac:dyDescent="0.3">
      <c r="A1886" s="2" t="str">
        <f>HYPERLINK(B1886,"Oppna PDF")</f>
        <v>Oppna PDF</v>
      </c>
      <c r="B1886" t="s">
        <v>5066</v>
      </c>
      <c r="C1886" t="s">
        <v>5067</v>
      </c>
      <c r="D1886" t="s">
        <v>5035</v>
      </c>
      <c r="E1886" t="s">
        <v>5068</v>
      </c>
      <c r="H1886" t="s">
        <v>2039</v>
      </c>
      <c r="I1886" t="s">
        <v>4939</v>
      </c>
      <c r="J1886" t="s">
        <v>27</v>
      </c>
      <c r="K1886" t="s">
        <v>28</v>
      </c>
      <c r="L1886" t="s">
        <v>29</v>
      </c>
      <c r="M1886" t="s">
        <v>30</v>
      </c>
      <c r="N1886" t="s">
        <v>31</v>
      </c>
      <c r="Q1886" t="s">
        <v>4984</v>
      </c>
      <c r="R1886" t="s">
        <v>4984</v>
      </c>
    </row>
    <row r="1887" spans="1:18" x14ac:dyDescent="0.3">
      <c r="A1887" s="2" t="str">
        <f>HYPERLINK(B1887,"Oppna PDF")</f>
        <v>Oppna PDF</v>
      </c>
      <c r="B1887" t="s">
        <v>5066</v>
      </c>
      <c r="C1887" t="s">
        <v>5069</v>
      </c>
      <c r="D1887" t="s">
        <v>5035</v>
      </c>
      <c r="E1887" t="s">
        <v>5068</v>
      </c>
      <c r="H1887" t="s">
        <v>2039</v>
      </c>
      <c r="I1887" t="s">
        <v>4939</v>
      </c>
      <c r="J1887" t="s">
        <v>87</v>
      </c>
      <c r="K1887" t="s">
        <v>88</v>
      </c>
      <c r="L1887" t="s">
        <v>29</v>
      </c>
      <c r="M1887" t="s">
        <v>30</v>
      </c>
      <c r="N1887" t="s">
        <v>31</v>
      </c>
      <c r="Q1887" t="s">
        <v>4991</v>
      </c>
      <c r="R1887" t="s">
        <v>4991</v>
      </c>
    </row>
    <row r="1888" spans="1:18" x14ac:dyDescent="0.3">
      <c r="A1888" s="2" t="str">
        <f>HYPERLINK(B1888,"Oppna PDF")</f>
        <v>Oppna PDF</v>
      </c>
      <c r="B1888" t="s">
        <v>5066</v>
      </c>
      <c r="C1888" t="s">
        <v>5070</v>
      </c>
      <c r="D1888" t="s">
        <v>5035</v>
      </c>
      <c r="E1888" t="s">
        <v>5068</v>
      </c>
      <c r="H1888" t="s">
        <v>2039</v>
      </c>
      <c r="I1888" t="s">
        <v>4939</v>
      </c>
      <c r="J1888" t="s">
        <v>87</v>
      </c>
      <c r="K1888" t="s">
        <v>88</v>
      </c>
      <c r="L1888" t="s">
        <v>29</v>
      </c>
      <c r="M1888" t="s">
        <v>30</v>
      </c>
      <c r="N1888" t="s">
        <v>31</v>
      </c>
      <c r="Q1888" t="s">
        <v>4986</v>
      </c>
      <c r="R1888" t="s">
        <v>4986</v>
      </c>
    </row>
    <row r="1889" spans="1:18" x14ac:dyDescent="0.3">
      <c r="A1889" s="2" t="str">
        <f>HYPERLINK(B1889,"Oppna PDF")</f>
        <v>Oppna PDF</v>
      </c>
      <c r="B1889" t="s">
        <v>5071</v>
      </c>
      <c r="C1889" t="s">
        <v>5072</v>
      </c>
      <c r="D1889" t="s">
        <v>5035</v>
      </c>
      <c r="E1889" t="s">
        <v>5073</v>
      </c>
      <c r="H1889" t="s">
        <v>2039</v>
      </c>
      <c r="I1889" t="s">
        <v>4939</v>
      </c>
      <c r="J1889" t="s">
        <v>27</v>
      </c>
      <c r="K1889" t="s">
        <v>28</v>
      </c>
      <c r="L1889" t="s">
        <v>29</v>
      </c>
      <c r="M1889" t="s">
        <v>30</v>
      </c>
      <c r="N1889" t="s">
        <v>31</v>
      </c>
      <c r="Q1889" t="s">
        <v>4984</v>
      </c>
      <c r="R1889" t="s">
        <v>4984</v>
      </c>
    </row>
    <row r="1890" spans="1:18" x14ac:dyDescent="0.3">
      <c r="A1890" s="2" t="str">
        <f>HYPERLINK(B1890,"Oppna PDF")</f>
        <v>Oppna PDF</v>
      </c>
      <c r="B1890" t="s">
        <v>5074</v>
      </c>
      <c r="C1890" t="s">
        <v>5075</v>
      </c>
      <c r="D1890" t="s">
        <v>5035</v>
      </c>
      <c r="E1890" t="s">
        <v>5076</v>
      </c>
      <c r="H1890" t="s">
        <v>2039</v>
      </c>
      <c r="I1890" t="s">
        <v>4939</v>
      </c>
      <c r="J1890" t="s">
        <v>91</v>
      </c>
      <c r="K1890" t="s">
        <v>92</v>
      </c>
      <c r="L1890" t="s">
        <v>29</v>
      </c>
      <c r="M1890" t="s">
        <v>30</v>
      </c>
      <c r="N1890" t="s">
        <v>31</v>
      </c>
      <c r="Q1890" t="s">
        <v>4999</v>
      </c>
      <c r="R1890" t="s">
        <v>4999</v>
      </c>
    </row>
    <row r="1891" spans="1:18" x14ac:dyDescent="0.3">
      <c r="A1891" s="2" t="str">
        <f>HYPERLINK(B1891,"Oppna PDF")</f>
        <v>Oppna PDF</v>
      </c>
      <c r="B1891" t="s">
        <v>5074</v>
      </c>
      <c r="C1891" t="s">
        <v>5077</v>
      </c>
      <c r="D1891" t="s">
        <v>5035</v>
      </c>
      <c r="E1891" t="s">
        <v>5076</v>
      </c>
      <c r="H1891" t="s">
        <v>2039</v>
      </c>
      <c r="I1891" t="s">
        <v>4939</v>
      </c>
      <c r="J1891" t="s">
        <v>38</v>
      </c>
      <c r="K1891" t="s">
        <v>39</v>
      </c>
      <c r="L1891" t="s">
        <v>29</v>
      </c>
      <c r="M1891" t="s">
        <v>30</v>
      </c>
      <c r="N1891" t="s">
        <v>31</v>
      </c>
      <c r="Q1891" t="s">
        <v>5001</v>
      </c>
      <c r="R1891" t="s">
        <v>5001</v>
      </c>
    </row>
    <row r="1892" spans="1:18" x14ac:dyDescent="0.3">
      <c r="A1892" s="2" t="str">
        <f>HYPERLINK(B1892,"Oppna PDF")</f>
        <v>Oppna PDF</v>
      </c>
      <c r="B1892" t="s">
        <v>5074</v>
      </c>
      <c r="C1892" t="s">
        <v>5078</v>
      </c>
      <c r="D1892" t="s">
        <v>5035</v>
      </c>
      <c r="E1892" t="s">
        <v>5076</v>
      </c>
      <c r="H1892" t="s">
        <v>2039</v>
      </c>
      <c r="I1892" t="s">
        <v>4939</v>
      </c>
      <c r="J1892" t="s">
        <v>38</v>
      </c>
      <c r="K1892" t="s">
        <v>39</v>
      </c>
      <c r="L1892" t="s">
        <v>29</v>
      </c>
      <c r="M1892" t="s">
        <v>30</v>
      </c>
      <c r="N1892" t="s">
        <v>31</v>
      </c>
      <c r="Q1892" t="s">
        <v>5003</v>
      </c>
      <c r="R1892" t="s">
        <v>5003</v>
      </c>
    </row>
    <row r="1893" spans="1:18" x14ac:dyDescent="0.3">
      <c r="A1893" s="2" t="str">
        <f>HYPERLINK(B1893,"Oppna PDF")</f>
        <v>Oppna PDF</v>
      </c>
      <c r="B1893" t="s">
        <v>5079</v>
      </c>
      <c r="C1893" t="s">
        <v>5080</v>
      </c>
      <c r="D1893" t="s">
        <v>5035</v>
      </c>
      <c r="E1893" t="s">
        <v>5081</v>
      </c>
      <c r="H1893" t="s">
        <v>2039</v>
      </c>
      <c r="I1893" t="s">
        <v>4939</v>
      </c>
      <c r="J1893" t="s">
        <v>27</v>
      </c>
      <c r="K1893" t="s">
        <v>28</v>
      </c>
      <c r="L1893" t="s">
        <v>29</v>
      </c>
      <c r="M1893" t="s">
        <v>30</v>
      </c>
      <c r="N1893" t="s">
        <v>31</v>
      </c>
      <c r="Q1893" t="s">
        <v>5007</v>
      </c>
      <c r="R1893" t="s">
        <v>5007</v>
      </c>
    </row>
    <row r="1894" spans="1:18" x14ac:dyDescent="0.3">
      <c r="A1894" s="2" t="str">
        <f>HYPERLINK(B1894,"Oppna PDF")</f>
        <v>Oppna PDF</v>
      </c>
      <c r="B1894" t="s">
        <v>5082</v>
      </c>
      <c r="C1894" t="s">
        <v>5083</v>
      </c>
      <c r="D1894" t="s">
        <v>5035</v>
      </c>
      <c r="E1894" t="s">
        <v>5084</v>
      </c>
      <c r="H1894" t="s">
        <v>2039</v>
      </c>
      <c r="I1894" t="s">
        <v>4939</v>
      </c>
      <c r="J1894" t="s">
        <v>27</v>
      </c>
      <c r="K1894" t="s">
        <v>28</v>
      </c>
      <c r="L1894" t="s">
        <v>29</v>
      </c>
      <c r="M1894" t="s">
        <v>30</v>
      </c>
      <c r="N1894" t="s">
        <v>31</v>
      </c>
      <c r="Q1894" t="s">
        <v>5007</v>
      </c>
      <c r="R1894" t="s">
        <v>5007</v>
      </c>
    </row>
    <row r="1895" spans="1:18" x14ac:dyDescent="0.3">
      <c r="A1895" s="2" t="str">
        <f>HYPERLINK(B1895,"Oppna PDF")</f>
        <v>Oppna PDF</v>
      </c>
      <c r="B1895" t="s">
        <v>5085</v>
      </c>
      <c r="C1895" t="s">
        <v>5086</v>
      </c>
      <c r="D1895" t="s">
        <v>5035</v>
      </c>
      <c r="E1895" t="s">
        <v>5087</v>
      </c>
      <c r="H1895" t="s">
        <v>2039</v>
      </c>
      <c r="I1895" t="s">
        <v>4939</v>
      </c>
      <c r="J1895" t="s">
        <v>27</v>
      </c>
      <c r="K1895" t="s">
        <v>28</v>
      </c>
      <c r="L1895" t="s">
        <v>29</v>
      </c>
      <c r="M1895" t="s">
        <v>30</v>
      </c>
      <c r="N1895" t="s">
        <v>31</v>
      </c>
      <c r="Q1895" t="s">
        <v>5007</v>
      </c>
      <c r="R1895" t="s">
        <v>5007</v>
      </c>
    </row>
    <row r="1896" spans="1:18" x14ac:dyDescent="0.3">
      <c r="A1896" s="2" t="str">
        <f>HYPERLINK(B1896,"Oppna PDF")</f>
        <v>Oppna PDF</v>
      </c>
      <c r="B1896" t="s">
        <v>5088</v>
      </c>
      <c r="C1896" t="s">
        <v>5089</v>
      </c>
      <c r="D1896" t="s">
        <v>5035</v>
      </c>
      <c r="E1896" t="s">
        <v>5090</v>
      </c>
      <c r="H1896" t="s">
        <v>2039</v>
      </c>
      <c r="I1896" t="s">
        <v>4939</v>
      </c>
      <c r="J1896" t="s">
        <v>91</v>
      </c>
      <c r="K1896" t="s">
        <v>92</v>
      </c>
      <c r="L1896" t="s">
        <v>29</v>
      </c>
      <c r="M1896" t="s">
        <v>30</v>
      </c>
      <c r="N1896" t="s">
        <v>31</v>
      </c>
      <c r="Q1896" t="s">
        <v>4999</v>
      </c>
      <c r="R1896" t="s">
        <v>4999</v>
      </c>
    </row>
    <row r="1897" spans="1:18" x14ac:dyDescent="0.3">
      <c r="A1897" s="2" t="str">
        <f>HYPERLINK(B1897,"Oppna PDF")</f>
        <v>Oppna PDF</v>
      </c>
      <c r="B1897" t="s">
        <v>5088</v>
      </c>
      <c r="C1897" t="s">
        <v>5091</v>
      </c>
      <c r="D1897" t="s">
        <v>5035</v>
      </c>
      <c r="E1897" t="s">
        <v>5090</v>
      </c>
      <c r="H1897" t="s">
        <v>2039</v>
      </c>
      <c r="I1897" t="s">
        <v>4939</v>
      </c>
      <c r="J1897" t="s">
        <v>38</v>
      </c>
      <c r="K1897" t="s">
        <v>39</v>
      </c>
      <c r="L1897" t="s">
        <v>29</v>
      </c>
      <c r="M1897" t="s">
        <v>30</v>
      </c>
      <c r="N1897" t="s">
        <v>31</v>
      </c>
      <c r="Q1897" t="s">
        <v>5001</v>
      </c>
      <c r="R1897" t="s">
        <v>5001</v>
      </c>
    </row>
    <row r="1898" spans="1:18" x14ac:dyDescent="0.3">
      <c r="A1898" s="2" t="str">
        <f>HYPERLINK(B1898,"Oppna PDF")</f>
        <v>Oppna PDF</v>
      </c>
      <c r="B1898" t="s">
        <v>5088</v>
      </c>
      <c r="C1898" t="s">
        <v>5092</v>
      </c>
      <c r="D1898" t="s">
        <v>5035</v>
      </c>
      <c r="E1898" t="s">
        <v>5090</v>
      </c>
      <c r="H1898" t="s">
        <v>2039</v>
      </c>
      <c r="I1898" t="s">
        <v>4939</v>
      </c>
      <c r="J1898" t="s">
        <v>27</v>
      </c>
      <c r="K1898" t="s">
        <v>28</v>
      </c>
      <c r="L1898" t="s">
        <v>29</v>
      </c>
      <c r="M1898" t="s">
        <v>30</v>
      </c>
      <c r="N1898" t="s">
        <v>31</v>
      </c>
      <c r="Q1898" t="s">
        <v>5019</v>
      </c>
      <c r="R1898" t="s">
        <v>5019</v>
      </c>
    </row>
    <row r="1899" spans="1:18" x14ac:dyDescent="0.3">
      <c r="A1899" s="2" t="str">
        <f>HYPERLINK(B1899,"Oppna PDF")</f>
        <v>Oppna PDF</v>
      </c>
      <c r="B1899" t="s">
        <v>5093</v>
      </c>
      <c r="C1899" t="s">
        <v>5094</v>
      </c>
      <c r="D1899" t="s">
        <v>5035</v>
      </c>
      <c r="E1899" t="s">
        <v>5095</v>
      </c>
      <c r="H1899" t="s">
        <v>2039</v>
      </c>
      <c r="I1899" t="s">
        <v>4939</v>
      </c>
      <c r="J1899" t="s">
        <v>48</v>
      </c>
      <c r="K1899" t="s">
        <v>49</v>
      </c>
      <c r="L1899" t="s">
        <v>29</v>
      </c>
      <c r="M1899" t="s">
        <v>30</v>
      </c>
      <c r="N1899" t="s">
        <v>31</v>
      </c>
      <c r="Q1899" t="s">
        <v>5023</v>
      </c>
      <c r="R1899" t="s">
        <v>5024</v>
      </c>
    </row>
    <row r="1900" spans="1:18" x14ac:dyDescent="0.3">
      <c r="A1900" s="2" t="str">
        <f>HYPERLINK(B1900,"Oppna PDF")</f>
        <v>Oppna PDF</v>
      </c>
      <c r="B1900" t="s">
        <v>5096</v>
      </c>
      <c r="C1900" t="s">
        <v>5097</v>
      </c>
      <c r="D1900" t="s">
        <v>5035</v>
      </c>
      <c r="E1900" t="s">
        <v>5098</v>
      </c>
      <c r="H1900" t="s">
        <v>2039</v>
      </c>
      <c r="I1900" t="s">
        <v>4939</v>
      </c>
      <c r="J1900" t="s">
        <v>91</v>
      </c>
      <c r="K1900" t="s">
        <v>92</v>
      </c>
      <c r="L1900" t="s">
        <v>29</v>
      </c>
      <c r="M1900" t="s">
        <v>30</v>
      </c>
      <c r="N1900" t="s">
        <v>31</v>
      </c>
      <c r="Q1900" t="s">
        <v>5028</v>
      </c>
      <c r="R1900" t="s">
        <v>5029</v>
      </c>
    </row>
    <row r="1901" spans="1:18" x14ac:dyDescent="0.3">
      <c r="A1901" s="2" t="str">
        <f>HYPERLINK(B1901,"Oppna PDF")</f>
        <v>Oppna PDF</v>
      </c>
      <c r="B1901" t="s">
        <v>5096</v>
      </c>
      <c r="C1901" t="s">
        <v>5099</v>
      </c>
      <c r="D1901" t="s">
        <v>5035</v>
      </c>
      <c r="E1901" t="s">
        <v>5098</v>
      </c>
      <c r="H1901" t="s">
        <v>2039</v>
      </c>
      <c r="I1901" t="s">
        <v>4939</v>
      </c>
      <c r="J1901" t="s">
        <v>91</v>
      </c>
      <c r="K1901" t="s">
        <v>92</v>
      </c>
      <c r="L1901" t="s">
        <v>29</v>
      </c>
      <c r="M1901" t="s">
        <v>30</v>
      </c>
      <c r="N1901" t="s">
        <v>31</v>
      </c>
      <c r="Q1901" t="s">
        <v>5031</v>
      </c>
      <c r="R1901" t="s">
        <v>5032</v>
      </c>
    </row>
    <row r="1902" spans="1:18" x14ac:dyDescent="0.3">
      <c r="A1902" s="2" t="str">
        <f>HYPERLINK(B1902,"Oppna PDF")</f>
        <v>Oppna PDF</v>
      </c>
      <c r="B1902" t="s">
        <v>5100</v>
      </c>
      <c r="C1902" t="s">
        <v>5101</v>
      </c>
      <c r="D1902" t="s">
        <v>5102</v>
      </c>
      <c r="E1902" t="s">
        <v>5103</v>
      </c>
      <c r="F1902" t="s">
        <v>5104</v>
      </c>
      <c r="G1902" t="s">
        <v>5105</v>
      </c>
      <c r="H1902" t="s">
        <v>61</v>
      </c>
      <c r="I1902" t="s">
        <v>5106</v>
      </c>
      <c r="J1902" t="s">
        <v>34</v>
      </c>
      <c r="K1902" t="s">
        <v>35</v>
      </c>
      <c r="L1902" t="s">
        <v>29</v>
      </c>
      <c r="M1902" t="s">
        <v>30</v>
      </c>
      <c r="N1902" t="s">
        <v>31</v>
      </c>
      <c r="Q1902" t="s">
        <v>5107</v>
      </c>
      <c r="R1902" t="s">
        <v>5107</v>
      </c>
    </row>
    <row r="1903" spans="1:18" x14ac:dyDescent="0.3">
      <c r="A1903" s="2" t="str">
        <f>HYPERLINK(B1903,"Oppna PDF")</f>
        <v>Oppna PDF</v>
      </c>
      <c r="B1903" t="s">
        <v>5100</v>
      </c>
      <c r="C1903" t="s">
        <v>5108</v>
      </c>
      <c r="D1903" t="s">
        <v>5102</v>
      </c>
      <c r="E1903" t="s">
        <v>5103</v>
      </c>
      <c r="F1903" t="s">
        <v>5104</v>
      </c>
      <c r="G1903" t="s">
        <v>5105</v>
      </c>
      <c r="H1903" t="s">
        <v>61</v>
      </c>
      <c r="I1903" t="s">
        <v>5106</v>
      </c>
      <c r="J1903" t="s">
        <v>27</v>
      </c>
      <c r="K1903" t="s">
        <v>28</v>
      </c>
      <c r="L1903" t="s">
        <v>29</v>
      </c>
      <c r="M1903" t="s">
        <v>30</v>
      </c>
      <c r="N1903" t="s">
        <v>31</v>
      </c>
      <c r="Q1903" t="s">
        <v>5109</v>
      </c>
      <c r="R1903" t="s">
        <v>5110</v>
      </c>
    </row>
    <row r="1904" spans="1:18" x14ac:dyDescent="0.3">
      <c r="A1904" s="2" t="str">
        <f>HYPERLINK(B1904,"Oppna PDF")</f>
        <v>Oppna PDF</v>
      </c>
      <c r="B1904" t="s">
        <v>5100</v>
      </c>
      <c r="C1904" t="s">
        <v>5111</v>
      </c>
      <c r="D1904" t="s">
        <v>5102</v>
      </c>
      <c r="E1904" t="s">
        <v>5103</v>
      </c>
      <c r="F1904" t="s">
        <v>5104</v>
      </c>
      <c r="G1904" t="s">
        <v>5105</v>
      </c>
      <c r="H1904" t="s">
        <v>61</v>
      </c>
      <c r="I1904" t="s">
        <v>5106</v>
      </c>
      <c r="J1904" t="s">
        <v>91</v>
      </c>
      <c r="K1904" t="s">
        <v>92</v>
      </c>
      <c r="L1904" t="s">
        <v>29</v>
      </c>
      <c r="M1904" t="s">
        <v>30</v>
      </c>
      <c r="N1904" t="s">
        <v>31</v>
      </c>
      <c r="Q1904" t="s">
        <v>5112</v>
      </c>
      <c r="R1904" t="s">
        <v>5113</v>
      </c>
    </row>
    <row r="1905" spans="1:18" x14ac:dyDescent="0.3">
      <c r="A1905" s="2" t="str">
        <f>HYPERLINK(B1905,"Oppna PDF")</f>
        <v>Oppna PDF</v>
      </c>
      <c r="B1905" t="s">
        <v>5114</v>
      </c>
      <c r="C1905" t="s">
        <v>5115</v>
      </c>
      <c r="D1905" t="s">
        <v>5102</v>
      </c>
      <c r="E1905" t="s">
        <v>5116</v>
      </c>
      <c r="F1905" t="s">
        <v>5104</v>
      </c>
      <c r="G1905" t="s">
        <v>5105</v>
      </c>
      <c r="H1905" t="s">
        <v>61</v>
      </c>
      <c r="I1905" t="s">
        <v>5106</v>
      </c>
      <c r="J1905" t="s">
        <v>34</v>
      </c>
      <c r="K1905" t="s">
        <v>35</v>
      </c>
      <c r="L1905" t="s">
        <v>29</v>
      </c>
      <c r="M1905" t="s">
        <v>30</v>
      </c>
      <c r="N1905" t="s">
        <v>31</v>
      </c>
      <c r="Q1905" t="s">
        <v>5117</v>
      </c>
      <c r="R1905" t="s">
        <v>5118</v>
      </c>
    </row>
    <row r="1906" spans="1:18" x14ac:dyDescent="0.3">
      <c r="A1906" s="2" t="str">
        <f>HYPERLINK(B1906,"Oppna PDF")</f>
        <v>Oppna PDF</v>
      </c>
      <c r="B1906" t="s">
        <v>5114</v>
      </c>
      <c r="C1906" t="s">
        <v>5119</v>
      </c>
      <c r="D1906" t="s">
        <v>5102</v>
      </c>
      <c r="E1906" t="s">
        <v>5116</v>
      </c>
      <c r="F1906" t="s">
        <v>5104</v>
      </c>
      <c r="G1906" t="s">
        <v>5105</v>
      </c>
      <c r="H1906" t="s">
        <v>61</v>
      </c>
      <c r="I1906" t="s">
        <v>5106</v>
      </c>
      <c r="J1906" t="s">
        <v>91</v>
      </c>
      <c r="K1906" t="s">
        <v>92</v>
      </c>
      <c r="L1906" t="s">
        <v>29</v>
      </c>
      <c r="M1906" t="s">
        <v>30</v>
      </c>
      <c r="N1906" t="s">
        <v>31</v>
      </c>
      <c r="Q1906" t="s">
        <v>5120</v>
      </c>
      <c r="R1906" t="s">
        <v>5120</v>
      </c>
    </row>
    <row r="1907" spans="1:18" x14ac:dyDescent="0.3">
      <c r="A1907" s="2" t="str">
        <f>HYPERLINK(B1907,"Oppna PDF")</f>
        <v>Oppna PDF</v>
      </c>
      <c r="B1907" t="s">
        <v>5114</v>
      </c>
      <c r="C1907" t="s">
        <v>5121</v>
      </c>
      <c r="D1907" t="s">
        <v>5102</v>
      </c>
      <c r="E1907" t="s">
        <v>5116</v>
      </c>
      <c r="F1907" t="s">
        <v>5104</v>
      </c>
      <c r="G1907" t="s">
        <v>5105</v>
      </c>
      <c r="H1907" t="s">
        <v>61</v>
      </c>
      <c r="I1907" t="s">
        <v>5106</v>
      </c>
      <c r="J1907" t="s">
        <v>27</v>
      </c>
      <c r="K1907" t="s">
        <v>28</v>
      </c>
      <c r="L1907" t="s">
        <v>29</v>
      </c>
      <c r="M1907" t="s">
        <v>30</v>
      </c>
      <c r="N1907" t="s">
        <v>31</v>
      </c>
      <c r="Q1907" t="s">
        <v>5122</v>
      </c>
      <c r="R1907" t="s">
        <v>5123</v>
      </c>
    </row>
    <row r="1908" spans="1:18" x14ac:dyDescent="0.3">
      <c r="A1908" s="2" t="str">
        <f>HYPERLINK(B1908,"Oppna PDF")</f>
        <v>Oppna PDF</v>
      </c>
      <c r="B1908" t="s">
        <v>5124</v>
      </c>
      <c r="C1908" t="s">
        <v>5125</v>
      </c>
      <c r="D1908" t="s">
        <v>5102</v>
      </c>
      <c r="E1908" t="s">
        <v>5126</v>
      </c>
      <c r="F1908" t="s">
        <v>5104</v>
      </c>
      <c r="G1908" t="s">
        <v>5105</v>
      </c>
      <c r="H1908" t="s">
        <v>61</v>
      </c>
      <c r="I1908" t="s">
        <v>5106</v>
      </c>
      <c r="J1908" t="s">
        <v>27</v>
      </c>
      <c r="K1908" t="s">
        <v>28</v>
      </c>
      <c r="L1908" t="s">
        <v>29</v>
      </c>
      <c r="M1908" t="s">
        <v>30</v>
      </c>
      <c r="N1908" t="s">
        <v>31</v>
      </c>
      <c r="Q1908" t="s">
        <v>5127</v>
      </c>
      <c r="R1908" t="s">
        <v>5127</v>
      </c>
    </row>
    <row r="1909" spans="1:18" x14ac:dyDescent="0.3">
      <c r="A1909" s="2" t="str">
        <f>HYPERLINK(B1909,"Oppna PDF")</f>
        <v>Oppna PDF</v>
      </c>
      <c r="B1909" t="s">
        <v>5124</v>
      </c>
      <c r="C1909" t="s">
        <v>5128</v>
      </c>
      <c r="D1909" t="s">
        <v>5102</v>
      </c>
      <c r="E1909" t="s">
        <v>5126</v>
      </c>
      <c r="F1909" t="s">
        <v>5104</v>
      </c>
      <c r="G1909" t="s">
        <v>5105</v>
      </c>
      <c r="H1909" t="s">
        <v>61</v>
      </c>
      <c r="I1909" t="s">
        <v>5106</v>
      </c>
      <c r="J1909" t="s">
        <v>87</v>
      </c>
      <c r="K1909" t="s">
        <v>88</v>
      </c>
      <c r="L1909" t="s">
        <v>29</v>
      </c>
      <c r="M1909" t="s">
        <v>30</v>
      </c>
      <c r="N1909" t="s">
        <v>31</v>
      </c>
      <c r="Q1909" t="s">
        <v>5129</v>
      </c>
      <c r="R1909" t="s">
        <v>5129</v>
      </c>
    </row>
    <row r="1910" spans="1:18" x14ac:dyDescent="0.3">
      <c r="A1910" s="2" t="str">
        <f>HYPERLINK(B1910,"Oppna PDF")</f>
        <v>Oppna PDF</v>
      </c>
      <c r="B1910" t="s">
        <v>5124</v>
      </c>
      <c r="C1910" t="s">
        <v>5130</v>
      </c>
      <c r="D1910" t="s">
        <v>5102</v>
      </c>
      <c r="E1910" t="s">
        <v>5126</v>
      </c>
      <c r="F1910" t="s">
        <v>5104</v>
      </c>
      <c r="G1910" t="s">
        <v>5105</v>
      </c>
      <c r="H1910" t="s">
        <v>61</v>
      </c>
      <c r="I1910" t="s">
        <v>5106</v>
      </c>
      <c r="J1910" t="s">
        <v>87</v>
      </c>
      <c r="K1910" t="s">
        <v>88</v>
      </c>
      <c r="L1910" t="s">
        <v>29</v>
      </c>
      <c r="M1910" t="s">
        <v>30</v>
      </c>
      <c r="N1910" t="s">
        <v>31</v>
      </c>
      <c r="Q1910" t="s">
        <v>5131</v>
      </c>
      <c r="R1910" t="s">
        <v>5131</v>
      </c>
    </row>
    <row r="1911" spans="1:18" x14ac:dyDescent="0.3">
      <c r="A1911" s="2" t="str">
        <f>HYPERLINK(B1911,"Oppna PDF")</f>
        <v>Oppna PDF</v>
      </c>
      <c r="B1911" t="s">
        <v>5132</v>
      </c>
      <c r="C1911" t="s">
        <v>5133</v>
      </c>
      <c r="D1911" t="s">
        <v>5134</v>
      </c>
      <c r="E1911" t="s">
        <v>5135</v>
      </c>
      <c r="F1911" t="s">
        <v>5104</v>
      </c>
      <c r="G1911" t="s">
        <v>5105</v>
      </c>
      <c r="H1911" t="s">
        <v>61</v>
      </c>
      <c r="I1911" t="s">
        <v>5106</v>
      </c>
      <c r="J1911" t="s">
        <v>34</v>
      </c>
      <c r="K1911" t="s">
        <v>35</v>
      </c>
      <c r="L1911" t="s">
        <v>29</v>
      </c>
      <c r="M1911" t="s">
        <v>30</v>
      </c>
      <c r="N1911" t="s">
        <v>31</v>
      </c>
      <c r="Q1911" t="s">
        <v>5107</v>
      </c>
      <c r="R1911" t="s">
        <v>5107</v>
      </c>
    </row>
    <row r="1912" spans="1:18" x14ac:dyDescent="0.3">
      <c r="A1912" s="2" t="str">
        <f>HYPERLINK(B1912,"Oppna PDF")</f>
        <v>Oppna PDF</v>
      </c>
      <c r="B1912" t="s">
        <v>5132</v>
      </c>
      <c r="C1912" t="s">
        <v>5136</v>
      </c>
      <c r="D1912" t="s">
        <v>5134</v>
      </c>
      <c r="E1912" t="s">
        <v>5135</v>
      </c>
      <c r="F1912" t="s">
        <v>5104</v>
      </c>
      <c r="G1912" t="s">
        <v>5105</v>
      </c>
      <c r="H1912" t="s">
        <v>61</v>
      </c>
      <c r="I1912" t="s">
        <v>5106</v>
      </c>
      <c r="J1912" t="s">
        <v>27</v>
      </c>
      <c r="K1912" t="s">
        <v>28</v>
      </c>
      <c r="L1912" t="s">
        <v>29</v>
      </c>
      <c r="M1912" t="s">
        <v>30</v>
      </c>
      <c r="N1912" t="s">
        <v>31</v>
      </c>
      <c r="Q1912" t="s">
        <v>5109</v>
      </c>
      <c r="R1912" t="s">
        <v>5110</v>
      </c>
    </row>
    <row r="1913" spans="1:18" x14ac:dyDescent="0.3">
      <c r="A1913" s="2" t="str">
        <f>HYPERLINK(B1913,"Oppna PDF")</f>
        <v>Oppna PDF</v>
      </c>
      <c r="B1913" t="s">
        <v>5132</v>
      </c>
      <c r="C1913" t="s">
        <v>5137</v>
      </c>
      <c r="D1913" t="s">
        <v>5134</v>
      </c>
      <c r="E1913" t="s">
        <v>5135</v>
      </c>
      <c r="F1913" t="s">
        <v>5104</v>
      </c>
      <c r="G1913" t="s">
        <v>5105</v>
      </c>
      <c r="H1913" t="s">
        <v>61</v>
      </c>
      <c r="I1913" t="s">
        <v>5106</v>
      </c>
      <c r="J1913" t="s">
        <v>91</v>
      </c>
      <c r="K1913" t="s">
        <v>92</v>
      </c>
      <c r="L1913" t="s">
        <v>29</v>
      </c>
      <c r="M1913" t="s">
        <v>30</v>
      </c>
      <c r="N1913" t="s">
        <v>31</v>
      </c>
      <c r="Q1913" t="s">
        <v>5112</v>
      </c>
      <c r="R1913" t="s">
        <v>5113</v>
      </c>
    </row>
    <row r="1914" spans="1:18" x14ac:dyDescent="0.3">
      <c r="A1914" s="2" t="str">
        <f>HYPERLINK(B1914,"Oppna PDF")</f>
        <v>Oppna PDF</v>
      </c>
      <c r="B1914" t="s">
        <v>5138</v>
      </c>
      <c r="C1914" t="s">
        <v>5139</v>
      </c>
      <c r="D1914" t="s">
        <v>5134</v>
      </c>
      <c r="E1914" t="s">
        <v>5140</v>
      </c>
      <c r="F1914" t="s">
        <v>5104</v>
      </c>
      <c r="G1914" t="s">
        <v>5105</v>
      </c>
      <c r="H1914" t="s">
        <v>61</v>
      </c>
      <c r="I1914" t="s">
        <v>5106</v>
      </c>
      <c r="J1914" t="s">
        <v>34</v>
      </c>
      <c r="K1914" t="s">
        <v>35</v>
      </c>
      <c r="L1914" t="s">
        <v>29</v>
      </c>
      <c r="M1914" t="s">
        <v>30</v>
      </c>
      <c r="N1914" t="s">
        <v>31</v>
      </c>
      <c r="Q1914" t="s">
        <v>5117</v>
      </c>
      <c r="R1914" t="s">
        <v>5118</v>
      </c>
    </row>
    <row r="1915" spans="1:18" x14ac:dyDescent="0.3">
      <c r="A1915" s="2" t="str">
        <f>HYPERLINK(B1915,"Oppna PDF")</f>
        <v>Oppna PDF</v>
      </c>
      <c r="B1915" t="s">
        <v>5138</v>
      </c>
      <c r="C1915" t="s">
        <v>5141</v>
      </c>
      <c r="D1915" t="s">
        <v>5134</v>
      </c>
      <c r="E1915" t="s">
        <v>5140</v>
      </c>
      <c r="F1915" t="s">
        <v>5104</v>
      </c>
      <c r="G1915" t="s">
        <v>5105</v>
      </c>
      <c r="H1915" t="s">
        <v>61</v>
      </c>
      <c r="I1915" t="s">
        <v>5106</v>
      </c>
      <c r="J1915" t="s">
        <v>91</v>
      </c>
      <c r="K1915" t="s">
        <v>92</v>
      </c>
      <c r="L1915" t="s">
        <v>29</v>
      </c>
      <c r="M1915" t="s">
        <v>30</v>
      </c>
      <c r="N1915" t="s">
        <v>31</v>
      </c>
      <c r="Q1915" t="s">
        <v>5120</v>
      </c>
      <c r="R1915" t="s">
        <v>5120</v>
      </c>
    </row>
    <row r="1916" spans="1:18" x14ac:dyDescent="0.3">
      <c r="A1916" s="2" t="str">
        <f>HYPERLINK(B1916,"Oppna PDF")</f>
        <v>Oppna PDF</v>
      </c>
      <c r="B1916" t="s">
        <v>5138</v>
      </c>
      <c r="C1916" t="s">
        <v>5142</v>
      </c>
      <c r="D1916" t="s">
        <v>5134</v>
      </c>
      <c r="E1916" t="s">
        <v>5140</v>
      </c>
      <c r="F1916" t="s">
        <v>5104</v>
      </c>
      <c r="G1916" t="s">
        <v>5105</v>
      </c>
      <c r="H1916" t="s">
        <v>61</v>
      </c>
      <c r="I1916" t="s">
        <v>5106</v>
      </c>
      <c r="J1916" t="s">
        <v>27</v>
      </c>
      <c r="K1916" t="s">
        <v>28</v>
      </c>
      <c r="L1916" t="s">
        <v>29</v>
      </c>
      <c r="M1916" t="s">
        <v>30</v>
      </c>
      <c r="N1916" t="s">
        <v>31</v>
      </c>
      <c r="Q1916" t="s">
        <v>5122</v>
      </c>
      <c r="R1916" t="s">
        <v>5123</v>
      </c>
    </row>
    <row r="1917" spans="1:18" x14ac:dyDescent="0.3">
      <c r="A1917" s="2" t="str">
        <f>HYPERLINK(B1917,"Oppna PDF")</f>
        <v>Oppna PDF</v>
      </c>
      <c r="B1917" t="s">
        <v>5143</v>
      </c>
      <c r="C1917" t="s">
        <v>5144</v>
      </c>
      <c r="D1917" t="s">
        <v>5134</v>
      </c>
      <c r="E1917" t="s">
        <v>5145</v>
      </c>
      <c r="F1917" t="s">
        <v>5104</v>
      </c>
      <c r="G1917" t="s">
        <v>5105</v>
      </c>
      <c r="H1917" t="s">
        <v>61</v>
      </c>
      <c r="I1917" t="s">
        <v>5106</v>
      </c>
      <c r="J1917" t="s">
        <v>27</v>
      </c>
      <c r="K1917" t="s">
        <v>28</v>
      </c>
      <c r="L1917" t="s">
        <v>29</v>
      </c>
      <c r="M1917" t="s">
        <v>30</v>
      </c>
      <c r="N1917" t="s">
        <v>31</v>
      </c>
      <c r="Q1917" t="s">
        <v>5127</v>
      </c>
      <c r="R1917" t="s">
        <v>5127</v>
      </c>
    </row>
    <row r="1918" spans="1:18" x14ac:dyDescent="0.3">
      <c r="A1918" s="2" t="str">
        <f>HYPERLINK(B1918,"Oppna PDF")</f>
        <v>Oppna PDF</v>
      </c>
      <c r="B1918" t="s">
        <v>5143</v>
      </c>
      <c r="C1918" t="s">
        <v>5146</v>
      </c>
      <c r="D1918" t="s">
        <v>5134</v>
      </c>
      <c r="E1918" t="s">
        <v>5145</v>
      </c>
      <c r="F1918" t="s">
        <v>5104</v>
      </c>
      <c r="G1918" t="s">
        <v>5105</v>
      </c>
      <c r="H1918" t="s">
        <v>61</v>
      </c>
      <c r="I1918" t="s">
        <v>5106</v>
      </c>
      <c r="J1918" t="s">
        <v>87</v>
      </c>
      <c r="K1918" t="s">
        <v>88</v>
      </c>
      <c r="L1918" t="s">
        <v>29</v>
      </c>
      <c r="M1918" t="s">
        <v>30</v>
      </c>
      <c r="N1918" t="s">
        <v>31</v>
      </c>
      <c r="Q1918" t="s">
        <v>5129</v>
      </c>
      <c r="R1918" t="s">
        <v>5129</v>
      </c>
    </row>
    <row r="1919" spans="1:18" x14ac:dyDescent="0.3">
      <c r="A1919" s="2" t="str">
        <f>HYPERLINK(B1919,"Oppna PDF")</f>
        <v>Oppna PDF</v>
      </c>
      <c r="B1919" t="s">
        <v>5143</v>
      </c>
      <c r="C1919" t="s">
        <v>5147</v>
      </c>
      <c r="D1919" t="s">
        <v>5134</v>
      </c>
      <c r="E1919" t="s">
        <v>5145</v>
      </c>
      <c r="F1919" t="s">
        <v>5104</v>
      </c>
      <c r="G1919" t="s">
        <v>5105</v>
      </c>
      <c r="H1919" t="s">
        <v>61</v>
      </c>
      <c r="I1919" t="s">
        <v>5106</v>
      </c>
      <c r="J1919" t="s">
        <v>87</v>
      </c>
      <c r="K1919" t="s">
        <v>88</v>
      </c>
      <c r="L1919" t="s">
        <v>29</v>
      </c>
      <c r="M1919" t="s">
        <v>30</v>
      </c>
      <c r="N1919" t="s">
        <v>31</v>
      </c>
      <c r="Q1919" t="s">
        <v>5131</v>
      </c>
      <c r="R1919" t="s">
        <v>5131</v>
      </c>
    </row>
    <row r="1920" spans="1:18" x14ac:dyDescent="0.3">
      <c r="A1920" s="2" t="str">
        <f>HYPERLINK(B1920,"Oppna PDF")</f>
        <v>Oppna PDF</v>
      </c>
      <c r="B1920" t="s">
        <v>5148</v>
      </c>
      <c r="C1920" t="s">
        <v>5149</v>
      </c>
      <c r="D1920" t="s">
        <v>5150</v>
      </c>
      <c r="E1920" t="s">
        <v>5151</v>
      </c>
      <c r="F1920" t="s">
        <v>5152</v>
      </c>
      <c r="G1920" t="s">
        <v>5153</v>
      </c>
      <c r="H1920" t="s">
        <v>61</v>
      </c>
      <c r="I1920" t="s">
        <v>5154</v>
      </c>
      <c r="J1920" t="s">
        <v>87</v>
      </c>
      <c r="K1920" t="s">
        <v>88</v>
      </c>
      <c r="L1920" t="s">
        <v>29</v>
      </c>
      <c r="M1920" t="s">
        <v>30</v>
      </c>
      <c r="N1920" t="s">
        <v>31</v>
      </c>
      <c r="Q1920" t="s">
        <v>5155</v>
      </c>
      <c r="R1920" t="s">
        <v>5155</v>
      </c>
    </row>
    <row r="1921" spans="1:18" x14ac:dyDescent="0.3">
      <c r="A1921" s="2" t="str">
        <f>HYPERLINK(B1921,"Oppna PDF")</f>
        <v>Oppna PDF</v>
      </c>
      <c r="B1921" t="s">
        <v>5148</v>
      </c>
      <c r="C1921" t="s">
        <v>5156</v>
      </c>
      <c r="D1921" t="s">
        <v>5150</v>
      </c>
      <c r="E1921" t="s">
        <v>5151</v>
      </c>
      <c r="F1921" t="s">
        <v>5152</v>
      </c>
      <c r="G1921" t="s">
        <v>5153</v>
      </c>
      <c r="H1921" t="s">
        <v>61</v>
      </c>
      <c r="I1921" t="s">
        <v>5154</v>
      </c>
      <c r="J1921" t="s">
        <v>27</v>
      </c>
      <c r="K1921" t="s">
        <v>28</v>
      </c>
      <c r="L1921" t="s">
        <v>29</v>
      </c>
      <c r="M1921" t="s">
        <v>30</v>
      </c>
      <c r="N1921" t="s">
        <v>31</v>
      </c>
      <c r="Q1921" t="s">
        <v>5157</v>
      </c>
      <c r="R1921" t="s">
        <v>5157</v>
      </c>
    </row>
    <row r="1922" spans="1:18" x14ac:dyDescent="0.3">
      <c r="A1922" s="2" t="str">
        <f>HYPERLINK(B1922,"Oppna PDF")</f>
        <v>Oppna PDF</v>
      </c>
      <c r="B1922" t="s">
        <v>5148</v>
      </c>
      <c r="C1922" t="s">
        <v>5158</v>
      </c>
      <c r="D1922" t="s">
        <v>5150</v>
      </c>
      <c r="E1922" t="s">
        <v>5151</v>
      </c>
      <c r="F1922" t="s">
        <v>5152</v>
      </c>
      <c r="G1922" t="s">
        <v>5153</v>
      </c>
      <c r="H1922" t="s">
        <v>61</v>
      </c>
      <c r="I1922" t="s">
        <v>5154</v>
      </c>
      <c r="J1922" t="s">
        <v>27</v>
      </c>
      <c r="K1922" t="s">
        <v>28</v>
      </c>
      <c r="L1922" t="s">
        <v>29</v>
      </c>
      <c r="M1922" t="s">
        <v>30</v>
      </c>
      <c r="N1922" t="s">
        <v>31</v>
      </c>
      <c r="Q1922" t="s">
        <v>5159</v>
      </c>
      <c r="R1922" t="s">
        <v>5159</v>
      </c>
    </row>
    <row r="1923" spans="1:18" x14ac:dyDescent="0.3">
      <c r="A1923" s="2" t="str">
        <f>HYPERLINK(B1923,"Oppna PDF")</f>
        <v>Oppna PDF</v>
      </c>
      <c r="B1923" t="s">
        <v>5160</v>
      </c>
      <c r="C1923" t="s">
        <v>5161</v>
      </c>
      <c r="D1923" t="s">
        <v>5150</v>
      </c>
      <c r="E1923" t="s">
        <v>5162</v>
      </c>
      <c r="F1923" t="s">
        <v>5152</v>
      </c>
      <c r="G1923" t="s">
        <v>5153</v>
      </c>
      <c r="H1923" t="s">
        <v>61</v>
      </c>
      <c r="I1923" t="s">
        <v>5154</v>
      </c>
      <c r="J1923" t="s">
        <v>38</v>
      </c>
      <c r="K1923" t="s">
        <v>39</v>
      </c>
      <c r="L1923" t="s">
        <v>29</v>
      </c>
      <c r="M1923" t="s">
        <v>30</v>
      </c>
      <c r="N1923" t="s">
        <v>31</v>
      </c>
      <c r="Q1923" t="s">
        <v>5163</v>
      </c>
      <c r="R1923" t="s">
        <v>5163</v>
      </c>
    </row>
    <row r="1924" spans="1:18" x14ac:dyDescent="0.3">
      <c r="A1924" s="2" t="str">
        <f>HYPERLINK(B1924,"Oppna PDF")</f>
        <v>Oppna PDF</v>
      </c>
      <c r="B1924" t="s">
        <v>5160</v>
      </c>
      <c r="C1924" t="s">
        <v>5164</v>
      </c>
      <c r="D1924" t="s">
        <v>5150</v>
      </c>
      <c r="E1924" t="s">
        <v>5162</v>
      </c>
      <c r="F1924" t="s">
        <v>5152</v>
      </c>
      <c r="G1924" t="s">
        <v>5153</v>
      </c>
      <c r="H1924" t="s">
        <v>61</v>
      </c>
      <c r="I1924" t="s">
        <v>5154</v>
      </c>
      <c r="J1924" t="s">
        <v>87</v>
      </c>
      <c r="K1924" t="s">
        <v>88</v>
      </c>
      <c r="L1924" t="s">
        <v>29</v>
      </c>
      <c r="M1924" t="s">
        <v>30</v>
      </c>
      <c r="N1924" t="s">
        <v>31</v>
      </c>
      <c r="Q1924" t="s">
        <v>5165</v>
      </c>
      <c r="R1924" t="s">
        <v>5166</v>
      </c>
    </row>
    <row r="1925" spans="1:18" x14ac:dyDescent="0.3">
      <c r="A1925" s="2" t="str">
        <f>HYPERLINK(B1925,"Oppna PDF")</f>
        <v>Oppna PDF</v>
      </c>
      <c r="B1925" t="s">
        <v>5160</v>
      </c>
      <c r="C1925" t="s">
        <v>5167</v>
      </c>
      <c r="D1925" t="s">
        <v>5150</v>
      </c>
      <c r="E1925" t="s">
        <v>5162</v>
      </c>
      <c r="F1925" t="s">
        <v>5152</v>
      </c>
      <c r="G1925" t="s">
        <v>5153</v>
      </c>
      <c r="H1925" t="s">
        <v>61</v>
      </c>
      <c r="I1925" t="s">
        <v>5154</v>
      </c>
      <c r="J1925" t="s">
        <v>27</v>
      </c>
      <c r="K1925" t="s">
        <v>28</v>
      </c>
      <c r="L1925" t="s">
        <v>29</v>
      </c>
      <c r="M1925" t="s">
        <v>30</v>
      </c>
      <c r="N1925" t="s">
        <v>31</v>
      </c>
      <c r="Q1925" t="s">
        <v>5168</v>
      </c>
      <c r="R1925" t="s">
        <v>5168</v>
      </c>
    </row>
    <row r="1926" spans="1:18" x14ac:dyDescent="0.3">
      <c r="A1926" s="2" t="str">
        <f>HYPERLINK(B1926,"Oppna PDF")</f>
        <v>Oppna PDF</v>
      </c>
      <c r="B1926" t="s">
        <v>5169</v>
      </c>
      <c r="C1926" t="s">
        <v>5170</v>
      </c>
      <c r="D1926" t="s">
        <v>5150</v>
      </c>
      <c r="E1926" t="s">
        <v>5171</v>
      </c>
      <c r="F1926" t="s">
        <v>5152</v>
      </c>
      <c r="G1926" t="s">
        <v>5153</v>
      </c>
      <c r="H1926" t="s">
        <v>61</v>
      </c>
      <c r="I1926" t="s">
        <v>5154</v>
      </c>
      <c r="J1926" t="s">
        <v>27</v>
      </c>
      <c r="K1926" t="s">
        <v>28</v>
      </c>
      <c r="L1926" t="s">
        <v>29</v>
      </c>
      <c r="M1926" t="s">
        <v>30</v>
      </c>
      <c r="N1926" t="s">
        <v>31</v>
      </c>
      <c r="Q1926" t="s">
        <v>5172</v>
      </c>
      <c r="R1926" t="s">
        <v>5172</v>
      </c>
    </row>
    <row r="1927" spans="1:18" x14ac:dyDescent="0.3">
      <c r="A1927" s="2" t="str">
        <f>HYPERLINK(B1927,"Oppna PDF")</f>
        <v>Oppna PDF</v>
      </c>
      <c r="B1927" t="s">
        <v>5173</v>
      </c>
      <c r="C1927" t="s">
        <v>5174</v>
      </c>
      <c r="D1927" t="s">
        <v>5150</v>
      </c>
      <c r="E1927" t="s">
        <v>5175</v>
      </c>
      <c r="F1927" t="s">
        <v>5152</v>
      </c>
      <c r="G1927" t="s">
        <v>5153</v>
      </c>
      <c r="H1927" t="s">
        <v>61</v>
      </c>
      <c r="I1927" t="s">
        <v>5154</v>
      </c>
      <c r="J1927" t="s">
        <v>91</v>
      </c>
      <c r="K1927" t="s">
        <v>92</v>
      </c>
      <c r="L1927" t="s">
        <v>29</v>
      </c>
      <c r="M1927" t="s">
        <v>30</v>
      </c>
      <c r="N1927" t="s">
        <v>31</v>
      </c>
      <c r="Q1927" t="s">
        <v>5176</v>
      </c>
      <c r="R1927" t="s">
        <v>5177</v>
      </c>
    </row>
    <row r="1928" spans="1:18" x14ac:dyDescent="0.3">
      <c r="A1928" s="2" t="str">
        <f>HYPERLINK(B1928,"Oppna PDF")</f>
        <v>Oppna PDF</v>
      </c>
      <c r="B1928" t="s">
        <v>5178</v>
      </c>
      <c r="C1928" t="s">
        <v>5179</v>
      </c>
      <c r="D1928" t="s">
        <v>5150</v>
      </c>
      <c r="E1928" t="s">
        <v>5180</v>
      </c>
      <c r="F1928" t="s">
        <v>5152</v>
      </c>
      <c r="G1928" t="s">
        <v>5153</v>
      </c>
      <c r="H1928" t="s">
        <v>61</v>
      </c>
      <c r="I1928" t="s">
        <v>5154</v>
      </c>
      <c r="J1928" t="s">
        <v>27</v>
      </c>
      <c r="K1928" t="s">
        <v>28</v>
      </c>
      <c r="L1928" t="s">
        <v>29</v>
      </c>
      <c r="M1928" t="s">
        <v>30</v>
      </c>
      <c r="N1928" t="s">
        <v>31</v>
      </c>
      <c r="Q1928" t="s">
        <v>5181</v>
      </c>
      <c r="R1928" t="s">
        <v>5181</v>
      </c>
    </row>
    <row r="1929" spans="1:18" x14ac:dyDescent="0.3">
      <c r="A1929" s="2" t="str">
        <f>HYPERLINK(B1929,"Oppna PDF")</f>
        <v>Oppna PDF</v>
      </c>
      <c r="B1929" t="s">
        <v>5178</v>
      </c>
      <c r="C1929" t="s">
        <v>5182</v>
      </c>
      <c r="D1929" t="s">
        <v>5150</v>
      </c>
      <c r="E1929" t="s">
        <v>5180</v>
      </c>
      <c r="F1929" t="s">
        <v>5152</v>
      </c>
      <c r="G1929" t="s">
        <v>5153</v>
      </c>
      <c r="H1929" t="s">
        <v>61</v>
      </c>
      <c r="I1929" t="s">
        <v>5154</v>
      </c>
      <c r="J1929" t="s">
        <v>87</v>
      </c>
      <c r="K1929" t="s">
        <v>88</v>
      </c>
      <c r="L1929" t="s">
        <v>29</v>
      </c>
      <c r="M1929" t="s">
        <v>30</v>
      </c>
      <c r="N1929" t="s">
        <v>31</v>
      </c>
      <c r="Q1929" t="s">
        <v>5183</v>
      </c>
      <c r="R1929" t="s">
        <v>5183</v>
      </c>
    </row>
    <row r="1930" spans="1:18" x14ac:dyDescent="0.3">
      <c r="A1930" s="2" t="str">
        <f>HYPERLINK(B1930,"Oppna PDF")</f>
        <v>Oppna PDF</v>
      </c>
      <c r="B1930" t="s">
        <v>5178</v>
      </c>
      <c r="C1930" t="s">
        <v>5184</v>
      </c>
      <c r="D1930" t="s">
        <v>5150</v>
      </c>
      <c r="E1930" t="s">
        <v>5180</v>
      </c>
      <c r="F1930" t="s">
        <v>5152</v>
      </c>
      <c r="G1930" t="s">
        <v>5153</v>
      </c>
      <c r="H1930" t="s">
        <v>61</v>
      </c>
      <c r="I1930" t="s">
        <v>5154</v>
      </c>
      <c r="J1930" t="s">
        <v>34</v>
      </c>
      <c r="K1930" t="s">
        <v>35</v>
      </c>
      <c r="L1930" t="s">
        <v>29</v>
      </c>
      <c r="M1930" t="s">
        <v>30</v>
      </c>
      <c r="N1930" t="s">
        <v>31</v>
      </c>
      <c r="Q1930" t="s">
        <v>5185</v>
      </c>
      <c r="R1930" t="s">
        <v>5185</v>
      </c>
    </row>
    <row r="1931" spans="1:18" x14ac:dyDescent="0.3">
      <c r="A1931" s="2" t="str">
        <f>HYPERLINK(B1931,"Oppna PDF")</f>
        <v>Oppna PDF</v>
      </c>
      <c r="B1931" t="s">
        <v>5186</v>
      </c>
      <c r="C1931" t="s">
        <v>5187</v>
      </c>
      <c r="D1931" t="s">
        <v>5150</v>
      </c>
      <c r="E1931" t="s">
        <v>5188</v>
      </c>
      <c r="F1931" t="s">
        <v>5152</v>
      </c>
      <c r="G1931" t="s">
        <v>5153</v>
      </c>
      <c r="H1931" t="s">
        <v>61</v>
      </c>
      <c r="I1931" t="s">
        <v>5154</v>
      </c>
      <c r="J1931" t="s">
        <v>38</v>
      </c>
      <c r="K1931" t="s">
        <v>39</v>
      </c>
      <c r="L1931" t="s">
        <v>29</v>
      </c>
      <c r="M1931" t="s">
        <v>30</v>
      </c>
      <c r="N1931" t="s">
        <v>31</v>
      </c>
      <c r="Q1931" t="s">
        <v>5189</v>
      </c>
      <c r="R1931" t="s">
        <v>5189</v>
      </c>
    </row>
    <row r="1932" spans="1:18" x14ac:dyDescent="0.3">
      <c r="A1932" s="2" t="str">
        <f>HYPERLINK(B1932,"Oppna PDF")</f>
        <v>Oppna PDF</v>
      </c>
      <c r="B1932" t="s">
        <v>5186</v>
      </c>
      <c r="C1932" t="s">
        <v>5190</v>
      </c>
      <c r="D1932" t="s">
        <v>5150</v>
      </c>
      <c r="E1932" t="s">
        <v>5188</v>
      </c>
      <c r="F1932" t="s">
        <v>5152</v>
      </c>
      <c r="G1932" t="s">
        <v>5153</v>
      </c>
      <c r="H1932" t="s">
        <v>61</v>
      </c>
      <c r="I1932" t="s">
        <v>5154</v>
      </c>
      <c r="J1932" t="s">
        <v>38</v>
      </c>
      <c r="K1932" t="s">
        <v>39</v>
      </c>
      <c r="L1932" t="s">
        <v>29</v>
      </c>
      <c r="M1932" t="s">
        <v>30</v>
      </c>
      <c r="N1932" t="s">
        <v>31</v>
      </c>
      <c r="Q1932" t="s">
        <v>5191</v>
      </c>
      <c r="R1932" t="s">
        <v>5191</v>
      </c>
    </row>
    <row r="1933" spans="1:18" x14ac:dyDescent="0.3">
      <c r="A1933" s="2" t="str">
        <f>HYPERLINK(B1933,"Oppna PDF")</f>
        <v>Oppna PDF</v>
      </c>
      <c r="B1933" t="s">
        <v>5186</v>
      </c>
      <c r="C1933" t="s">
        <v>5192</v>
      </c>
      <c r="D1933" t="s">
        <v>5150</v>
      </c>
      <c r="E1933" t="s">
        <v>5188</v>
      </c>
      <c r="F1933" t="s">
        <v>5152</v>
      </c>
      <c r="G1933" t="s">
        <v>5153</v>
      </c>
      <c r="H1933" t="s">
        <v>61</v>
      </c>
      <c r="I1933" t="s">
        <v>5154</v>
      </c>
      <c r="J1933" t="s">
        <v>27</v>
      </c>
      <c r="K1933" t="s">
        <v>28</v>
      </c>
      <c r="L1933" t="s">
        <v>29</v>
      </c>
      <c r="M1933" t="s">
        <v>30</v>
      </c>
      <c r="N1933" t="s">
        <v>31</v>
      </c>
      <c r="Q1933" t="s">
        <v>5193</v>
      </c>
      <c r="R1933" t="s">
        <v>5193</v>
      </c>
    </row>
    <row r="1934" spans="1:18" x14ac:dyDescent="0.3">
      <c r="A1934" s="2" t="str">
        <f>HYPERLINK(B1934,"Oppna PDF")</f>
        <v>Oppna PDF</v>
      </c>
      <c r="B1934" t="s">
        <v>5194</v>
      </c>
      <c r="C1934" t="s">
        <v>5195</v>
      </c>
      <c r="D1934" t="s">
        <v>5196</v>
      </c>
      <c r="E1934" t="s">
        <v>5197</v>
      </c>
      <c r="F1934" t="s">
        <v>5152</v>
      </c>
      <c r="G1934" t="s">
        <v>5153</v>
      </c>
      <c r="H1934" t="s">
        <v>61</v>
      </c>
      <c r="I1934" t="s">
        <v>5154</v>
      </c>
      <c r="J1934" t="s">
        <v>87</v>
      </c>
      <c r="K1934" t="s">
        <v>88</v>
      </c>
      <c r="L1934" t="s">
        <v>29</v>
      </c>
      <c r="M1934" t="s">
        <v>30</v>
      </c>
      <c r="N1934" t="s">
        <v>31</v>
      </c>
      <c r="Q1934" t="s">
        <v>5155</v>
      </c>
      <c r="R1934" t="s">
        <v>5155</v>
      </c>
    </row>
    <row r="1935" spans="1:18" x14ac:dyDescent="0.3">
      <c r="A1935" s="2" t="str">
        <f>HYPERLINK(B1935,"Oppna PDF")</f>
        <v>Oppna PDF</v>
      </c>
      <c r="B1935" t="s">
        <v>5194</v>
      </c>
      <c r="C1935" t="s">
        <v>5198</v>
      </c>
      <c r="D1935" t="s">
        <v>5196</v>
      </c>
      <c r="E1935" t="s">
        <v>5197</v>
      </c>
      <c r="F1935" t="s">
        <v>5152</v>
      </c>
      <c r="G1935" t="s">
        <v>5153</v>
      </c>
      <c r="H1935" t="s">
        <v>61</v>
      </c>
      <c r="I1935" t="s">
        <v>5154</v>
      </c>
      <c r="J1935" t="s">
        <v>27</v>
      </c>
      <c r="K1935" t="s">
        <v>28</v>
      </c>
      <c r="L1935" t="s">
        <v>29</v>
      </c>
      <c r="M1935" t="s">
        <v>30</v>
      </c>
      <c r="N1935" t="s">
        <v>31</v>
      </c>
      <c r="Q1935" t="s">
        <v>5157</v>
      </c>
      <c r="R1935" t="s">
        <v>5157</v>
      </c>
    </row>
    <row r="1936" spans="1:18" x14ac:dyDescent="0.3">
      <c r="A1936" s="2" t="str">
        <f>HYPERLINK(B1936,"Oppna PDF")</f>
        <v>Oppna PDF</v>
      </c>
      <c r="B1936" t="s">
        <v>5194</v>
      </c>
      <c r="C1936" t="s">
        <v>5199</v>
      </c>
      <c r="D1936" t="s">
        <v>5196</v>
      </c>
      <c r="E1936" t="s">
        <v>5197</v>
      </c>
      <c r="F1936" t="s">
        <v>5152</v>
      </c>
      <c r="G1936" t="s">
        <v>5153</v>
      </c>
      <c r="H1936" t="s">
        <v>61</v>
      </c>
      <c r="I1936" t="s">
        <v>5154</v>
      </c>
      <c r="J1936" t="s">
        <v>27</v>
      </c>
      <c r="K1936" t="s">
        <v>28</v>
      </c>
      <c r="L1936" t="s">
        <v>29</v>
      </c>
      <c r="M1936" t="s">
        <v>30</v>
      </c>
      <c r="N1936" t="s">
        <v>31</v>
      </c>
      <c r="Q1936" t="s">
        <v>5159</v>
      </c>
      <c r="R1936" t="s">
        <v>5159</v>
      </c>
    </row>
    <row r="1937" spans="1:18" x14ac:dyDescent="0.3">
      <c r="A1937" s="2" t="str">
        <f>HYPERLINK(B1937,"Oppna PDF")</f>
        <v>Oppna PDF</v>
      </c>
      <c r="B1937" t="s">
        <v>5200</v>
      </c>
      <c r="C1937" t="s">
        <v>5201</v>
      </c>
      <c r="D1937" t="s">
        <v>5196</v>
      </c>
      <c r="E1937" t="s">
        <v>5202</v>
      </c>
      <c r="F1937" t="s">
        <v>5152</v>
      </c>
      <c r="G1937" t="s">
        <v>5153</v>
      </c>
      <c r="H1937" t="s">
        <v>61</v>
      </c>
      <c r="I1937" t="s">
        <v>5154</v>
      </c>
      <c r="J1937" t="s">
        <v>38</v>
      </c>
      <c r="K1937" t="s">
        <v>39</v>
      </c>
      <c r="L1937" t="s">
        <v>29</v>
      </c>
      <c r="M1937" t="s">
        <v>30</v>
      </c>
      <c r="N1937" t="s">
        <v>31</v>
      </c>
      <c r="Q1937" t="s">
        <v>5163</v>
      </c>
      <c r="R1937" t="s">
        <v>5163</v>
      </c>
    </row>
    <row r="1938" spans="1:18" x14ac:dyDescent="0.3">
      <c r="A1938" s="2" t="str">
        <f>HYPERLINK(B1938,"Oppna PDF")</f>
        <v>Oppna PDF</v>
      </c>
      <c r="B1938" t="s">
        <v>5200</v>
      </c>
      <c r="C1938" t="s">
        <v>5203</v>
      </c>
      <c r="D1938" t="s">
        <v>5196</v>
      </c>
      <c r="E1938" t="s">
        <v>5202</v>
      </c>
      <c r="F1938" t="s">
        <v>5152</v>
      </c>
      <c r="G1938" t="s">
        <v>5153</v>
      </c>
      <c r="H1938" t="s">
        <v>61</v>
      </c>
      <c r="I1938" t="s">
        <v>5154</v>
      </c>
      <c r="J1938" t="s">
        <v>87</v>
      </c>
      <c r="K1938" t="s">
        <v>88</v>
      </c>
      <c r="L1938" t="s">
        <v>29</v>
      </c>
      <c r="M1938" t="s">
        <v>30</v>
      </c>
      <c r="N1938" t="s">
        <v>31</v>
      </c>
      <c r="Q1938" t="s">
        <v>5165</v>
      </c>
      <c r="R1938" t="s">
        <v>5166</v>
      </c>
    </row>
    <row r="1939" spans="1:18" x14ac:dyDescent="0.3">
      <c r="A1939" s="2" t="str">
        <f>HYPERLINK(B1939,"Oppna PDF")</f>
        <v>Oppna PDF</v>
      </c>
      <c r="B1939" t="s">
        <v>5200</v>
      </c>
      <c r="C1939" t="s">
        <v>5204</v>
      </c>
      <c r="D1939" t="s">
        <v>5196</v>
      </c>
      <c r="E1939" t="s">
        <v>5202</v>
      </c>
      <c r="F1939" t="s">
        <v>5152</v>
      </c>
      <c r="G1939" t="s">
        <v>5153</v>
      </c>
      <c r="H1939" t="s">
        <v>61</v>
      </c>
      <c r="I1939" t="s">
        <v>5154</v>
      </c>
      <c r="J1939" t="s">
        <v>27</v>
      </c>
      <c r="K1939" t="s">
        <v>28</v>
      </c>
      <c r="L1939" t="s">
        <v>29</v>
      </c>
      <c r="M1939" t="s">
        <v>30</v>
      </c>
      <c r="N1939" t="s">
        <v>31</v>
      </c>
      <c r="Q1939" t="s">
        <v>5168</v>
      </c>
      <c r="R1939" t="s">
        <v>5168</v>
      </c>
    </row>
    <row r="1940" spans="1:18" x14ac:dyDescent="0.3">
      <c r="A1940" s="2" t="str">
        <f>HYPERLINK(B1940,"Oppna PDF")</f>
        <v>Oppna PDF</v>
      </c>
      <c r="B1940" t="s">
        <v>5205</v>
      </c>
      <c r="C1940" t="s">
        <v>5206</v>
      </c>
      <c r="D1940" t="s">
        <v>5196</v>
      </c>
      <c r="E1940" t="s">
        <v>5207</v>
      </c>
      <c r="F1940" t="s">
        <v>5152</v>
      </c>
      <c r="G1940" t="s">
        <v>5153</v>
      </c>
      <c r="H1940" t="s">
        <v>61</v>
      </c>
      <c r="I1940" t="s">
        <v>5154</v>
      </c>
      <c r="J1940" t="s">
        <v>27</v>
      </c>
      <c r="K1940" t="s">
        <v>28</v>
      </c>
      <c r="L1940" t="s">
        <v>29</v>
      </c>
      <c r="M1940" t="s">
        <v>30</v>
      </c>
      <c r="N1940" t="s">
        <v>31</v>
      </c>
      <c r="Q1940" t="s">
        <v>5172</v>
      </c>
      <c r="R1940" t="s">
        <v>5172</v>
      </c>
    </row>
    <row r="1941" spans="1:18" x14ac:dyDescent="0.3">
      <c r="A1941" s="2" t="str">
        <f>HYPERLINK(B1941,"Oppna PDF")</f>
        <v>Oppna PDF</v>
      </c>
      <c r="B1941" t="s">
        <v>5208</v>
      </c>
      <c r="C1941" t="s">
        <v>5209</v>
      </c>
      <c r="D1941" t="s">
        <v>5196</v>
      </c>
      <c r="E1941" t="s">
        <v>5210</v>
      </c>
      <c r="F1941" t="s">
        <v>5152</v>
      </c>
      <c r="G1941" t="s">
        <v>5153</v>
      </c>
      <c r="H1941" t="s">
        <v>61</v>
      </c>
      <c r="I1941" t="s">
        <v>5154</v>
      </c>
      <c r="J1941" t="s">
        <v>91</v>
      </c>
      <c r="K1941" t="s">
        <v>92</v>
      </c>
      <c r="L1941" t="s">
        <v>29</v>
      </c>
      <c r="M1941" t="s">
        <v>30</v>
      </c>
      <c r="N1941" t="s">
        <v>31</v>
      </c>
      <c r="Q1941" t="s">
        <v>5211</v>
      </c>
      <c r="R1941" t="s">
        <v>5212</v>
      </c>
    </row>
    <row r="1942" spans="1:18" x14ac:dyDescent="0.3">
      <c r="A1942" s="2" t="str">
        <f>HYPERLINK(B1942,"Oppna PDF")</f>
        <v>Oppna PDF</v>
      </c>
      <c r="B1942" t="s">
        <v>5213</v>
      </c>
      <c r="C1942" t="s">
        <v>5214</v>
      </c>
      <c r="D1942" t="s">
        <v>5196</v>
      </c>
      <c r="E1942" t="s">
        <v>5215</v>
      </c>
      <c r="F1942" t="s">
        <v>5152</v>
      </c>
      <c r="G1942" t="s">
        <v>5153</v>
      </c>
      <c r="H1942" t="s">
        <v>61</v>
      </c>
      <c r="I1942" t="s">
        <v>5154</v>
      </c>
      <c r="J1942" t="s">
        <v>27</v>
      </c>
      <c r="K1942" t="s">
        <v>28</v>
      </c>
      <c r="L1942" t="s">
        <v>29</v>
      </c>
      <c r="M1942" t="s">
        <v>30</v>
      </c>
      <c r="N1942" t="s">
        <v>31</v>
      </c>
      <c r="Q1942" t="s">
        <v>5181</v>
      </c>
      <c r="R1942" t="s">
        <v>5181</v>
      </c>
    </row>
    <row r="1943" spans="1:18" x14ac:dyDescent="0.3">
      <c r="A1943" s="2" t="str">
        <f>HYPERLINK(B1943,"Oppna PDF")</f>
        <v>Oppna PDF</v>
      </c>
      <c r="B1943" t="s">
        <v>5213</v>
      </c>
      <c r="C1943" t="s">
        <v>5216</v>
      </c>
      <c r="D1943" t="s">
        <v>5196</v>
      </c>
      <c r="E1943" t="s">
        <v>5215</v>
      </c>
      <c r="F1943" t="s">
        <v>5152</v>
      </c>
      <c r="G1943" t="s">
        <v>5153</v>
      </c>
      <c r="H1943" t="s">
        <v>61</v>
      </c>
      <c r="I1943" t="s">
        <v>5154</v>
      </c>
      <c r="J1943" t="s">
        <v>87</v>
      </c>
      <c r="K1943" t="s">
        <v>88</v>
      </c>
      <c r="L1943" t="s">
        <v>29</v>
      </c>
      <c r="M1943" t="s">
        <v>30</v>
      </c>
      <c r="N1943" t="s">
        <v>31</v>
      </c>
      <c r="Q1943" t="s">
        <v>5183</v>
      </c>
      <c r="R1943" t="s">
        <v>5183</v>
      </c>
    </row>
    <row r="1944" spans="1:18" x14ac:dyDescent="0.3">
      <c r="A1944" s="2" t="str">
        <f>HYPERLINK(B1944,"Oppna PDF")</f>
        <v>Oppna PDF</v>
      </c>
      <c r="B1944" t="s">
        <v>5213</v>
      </c>
      <c r="C1944" t="s">
        <v>5217</v>
      </c>
      <c r="D1944" t="s">
        <v>5196</v>
      </c>
      <c r="E1944" t="s">
        <v>5215</v>
      </c>
      <c r="F1944" t="s">
        <v>5152</v>
      </c>
      <c r="G1944" t="s">
        <v>5153</v>
      </c>
      <c r="H1944" t="s">
        <v>61</v>
      </c>
      <c r="I1944" t="s">
        <v>5154</v>
      </c>
      <c r="J1944" t="s">
        <v>34</v>
      </c>
      <c r="K1944" t="s">
        <v>35</v>
      </c>
      <c r="L1944" t="s">
        <v>29</v>
      </c>
      <c r="M1944" t="s">
        <v>30</v>
      </c>
      <c r="N1944" t="s">
        <v>31</v>
      </c>
      <c r="Q1944" t="s">
        <v>5185</v>
      </c>
      <c r="R1944" t="s">
        <v>5185</v>
      </c>
    </row>
    <row r="1945" spans="1:18" x14ac:dyDescent="0.3">
      <c r="A1945" s="2" t="str">
        <f>HYPERLINK(B1945,"Oppna PDF")</f>
        <v>Oppna PDF</v>
      </c>
      <c r="B1945" t="s">
        <v>5218</v>
      </c>
      <c r="C1945" t="s">
        <v>5219</v>
      </c>
      <c r="D1945" t="s">
        <v>5196</v>
      </c>
      <c r="E1945" t="s">
        <v>5220</v>
      </c>
      <c r="F1945" t="s">
        <v>5152</v>
      </c>
      <c r="G1945" t="s">
        <v>5153</v>
      </c>
      <c r="H1945" t="s">
        <v>61</v>
      </c>
      <c r="I1945" t="s">
        <v>5154</v>
      </c>
      <c r="J1945" t="s">
        <v>38</v>
      </c>
      <c r="K1945" t="s">
        <v>39</v>
      </c>
      <c r="L1945" t="s">
        <v>29</v>
      </c>
      <c r="M1945" t="s">
        <v>30</v>
      </c>
      <c r="N1945" t="s">
        <v>31</v>
      </c>
      <c r="Q1945" t="s">
        <v>5189</v>
      </c>
      <c r="R1945" t="s">
        <v>5189</v>
      </c>
    </row>
    <row r="1946" spans="1:18" x14ac:dyDescent="0.3">
      <c r="A1946" s="2" t="str">
        <f>HYPERLINK(B1946,"Oppna PDF")</f>
        <v>Oppna PDF</v>
      </c>
      <c r="B1946" t="s">
        <v>5218</v>
      </c>
      <c r="C1946" t="s">
        <v>5221</v>
      </c>
      <c r="D1946" t="s">
        <v>5196</v>
      </c>
      <c r="E1946" t="s">
        <v>5220</v>
      </c>
      <c r="F1946" t="s">
        <v>5152</v>
      </c>
      <c r="G1946" t="s">
        <v>5153</v>
      </c>
      <c r="H1946" t="s">
        <v>61</v>
      </c>
      <c r="I1946" t="s">
        <v>5154</v>
      </c>
      <c r="J1946" t="s">
        <v>38</v>
      </c>
      <c r="K1946" t="s">
        <v>39</v>
      </c>
      <c r="L1946" t="s">
        <v>29</v>
      </c>
      <c r="M1946" t="s">
        <v>30</v>
      </c>
      <c r="N1946" t="s">
        <v>31</v>
      </c>
      <c r="Q1946" t="s">
        <v>5191</v>
      </c>
      <c r="R1946" t="s">
        <v>5191</v>
      </c>
    </row>
    <row r="1947" spans="1:18" x14ac:dyDescent="0.3">
      <c r="A1947" s="2" t="str">
        <f>HYPERLINK(B1947,"Oppna PDF")</f>
        <v>Oppna PDF</v>
      </c>
      <c r="B1947" t="s">
        <v>5218</v>
      </c>
      <c r="C1947" t="s">
        <v>5222</v>
      </c>
      <c r="D1947" t="s">
        <v>5196</v>
      </c>
      <c r="E1947" t="s">
        <v>5220</v>
      </c>
      <c r="F1947" t="s">
        <v>5152</v>
      </c>
      <c r="G1947" t="s">
        <v>5153</v>
      </c>
      <c r="H1947" t="s">
        <v>61</v>
      </c>
      <c r="I1947" t="s">
        <v>5154</v>
      </c>
      <c r="J1947" t="s">
        <v>27</v>
      </c>
      <c r="K1947" t="s">
        <v>28</v>
      </c>
      <c r="L1947" t="s">
        <v>29</v>
      </c>
      <c r="M1947" t="s">
        <v>30</v>
      </c>
      <c r="N1947" t="s">
        <v>31</v>
      </c>
      <c r="Q1947" t="s">
        <v>5193</v>
      </c>
      <c r="R1947" t="s">
        <v>5193</v>
      </c>
    </row>
    <row r="1948" spans="1:18" x14ac:dyDescent="0.3">
      <c r="A1948" s="2" t="str">
        <f>HYPERLINK(B1948,"Oppna PDF")</f>
        <v>Oppna PDF</v>
      </c>
      <c r="B1948" t="s">
        <v>5223</v>
      </c>
      <c r="C1948" t="s">
        <v>5224</v>
      </c>
      <c r="D1948" t="s">
        <v>5225</v>
      </c>
      <c r="E1948" t="s">
        <v>5226</v>
      </c>
      <c r="F1948" t="s">
        <v>3765</v>
      </c>
      <c r="G1948" t="s">
        <v>3766</v>
      </c>
      <c r="H1948" t="s">
        <v>268</v>
      </c>
      <c r="I1948" t="s">
        <v>5227</v>
      </c>
      <c r="J1948" t="s">
        <v>91</v>
      </c>
      <c r="K1948" t="s">
        <v>92</v>
      </c>
      <c r="L1948" t="s">
        <v>142</v>
      </c>
      <c r="M1948" t="s">
        <v>30</v>
      </c>
      <c r="N1948" t="s">
        <v>31</v>
      </c>
      <c r="Q1948" t="s">
        <v>5228</v>
      </c>
      <c r="R1948" t="s">
        <v>5228</v>
      </c>
    </row>
    <row r="1949" spans="1:18" x14ac:dyDescent="0.3">
      <c r="A1949" s="2" t="str">
        <f>HYPERLINK(B1949,"Oppna PDF")</f>
        <v>Oppna PDF</v>
      </c>
      <c r="B1949" t="s">
        <v>5223</v>
      </c>
      <c r="C1949" t="s">
        <v>5229</v>
      </c>
      <c r="D1949" t="s">
        <v>5225</v>
      </c>
      <c r="E1949" t="s">
        <v>5226</v>
      </c>
      <c r="F1949" t="s">
        <v>3765</v>
      </c>
      <c r="G1949" t="s">
        <v>3766</v>
      </c>
      <c r="H1949" t="s">
        <v>268</v>
      </c>
      <c r="I1949" t="s">
        <v>5227</v>
      </c>
      <c r="J1949" t="s">
        <v>87</v>
      </c>
      <c r="K1949" t="s">
        <v>88</v>
      </c>
      <c r="L1949" t="s">
        <v>142</v>
      </c>
      <c r="M1949" t="s">
        <v>30</v>
      </c>
      <c r="N1949" t="s">
        <v>31</v>
      </c>
      <c r="Q1949" t="s">
        <v>5230</v>
      </c>
      <c r="R1949" t="s">
        <v>5230</v>
      </c>
    </row>
    <row r="1950" spans="1:18" x14ac:dyDescent="0.3">
      <c r="A1950" s="2" t="str">
        <f>HYPERLINK(B1950,"Oppna PDF")</f>
        <v>Oppna PDF</v>
      </c>
      <c r="B1950" t="s">
        <v>5223</v>
      </c>
      <c r="C1950" t="s">
        <v>5231</v>
      </c>
      <c r="D1950" t="s">
        <v>5225</v>
      </c>
      <c r="E1950" t="s">
        <v>5226</v>
      </c>
      <c r="F1950" t="s">
        <v>3765</v>
      </c>
      <c r="G1950" t="s">
        <v>3766</v>
      </c>
      <c r="H1950" t="s">
        <v>268</v>
      </c>
      <c r="I1950" t="s">
        <v>5227</v>
      </c>
      <c r="J1950" t="s">
        <v>34</v>
      </c>
      <c r="K1950" t="s">
        <v>35</v>
      </c>
      <c r="L1950" t="s">
        <v>142</v>
      </c>
      <c r="M1950" t="s">
        <v>30</v>
      </c>
      <c r="N1950" t="s">
        <v>31</v>
      </c>
      <c r="Q1950" t="s">
        <v>5232</v>
      </c>
      <c r="R1950" t="s">
        <v>5233</v>
      </c>
    </row>
    <row r="1951" spans="1:18" x14ac:dyDescent="0.3">
      <c r="A1951" s="2" t="str">
        <f>HYPERLINK(B1951,"Oppna PDF")</f>
        <v>Oppna PDF</v>
      </c>
      <c r="B1951" t="s">
        <v>5234</v>
      </c>
      <c r="C1951" t="s">
        <v>5235</v>
      </c>
      <c r="D1951" t="s">
        <v>5225</v>
      </c>
      <c r="E1951" t="s">
        <v>5236</v>
      </c>
      <c r="F1951" t="s">
        <v>3765</v>
      </c>
      <c r="G1951" t="s">
        <v>3766</v>
      </c>
      <c r="H1951" t="s">
        <v>268</v>
      </c>
      <c r="I1951" t="s">
        <v>5227</v>
      </c>
      <c r="J1951" t="s">
        <v>48</v>
      </c>
      <c r="K1951" t="s">
        <v>49</v>
      </c>
      <c r="L1951" t="s">
        <v>29</v>
      </c>
      <c r="M1951" t="s">
        <v>30</v>
      </c>
      <c r="N1951" t="s">
        <v>31</v>
      </c>
      <c r="Q1951" t="s">
        <v>5237</v>
      </c>
      <c r="R1951" t="s">
        <v>5237</v>
      </c>
    </row>
    <row r="1952" spans="1:18" x14ac:dyDescent="0.3">
      <c r="A1952" s="2" t="str">
        <f>HYPERLINK(B1952,"Oppna PDF")</f>
        <v>Oppna PDF</v>
      </c>
      <c r="B1952" t="s">
        <v>5234</v>
      </c>
      <c r="C1952" t="s">
        <v>5238</v>
      </c>
      <c r="D1952" t="s">
        <v>5225</v>
      </c>
      <c r="E1952" t="s">
        <v>5236</v>
      </c>
      <c r="F1952" t="s">
        <v>3765</v>
      </c>
      <c r="G1952" t="s">
        <v>3766</v>
      </c>
      <c r="H1952" t="s">
        <v>268</v>
      </c>
      <c r="I1952" t="s">
        <v>5227</v>
      </c>
      <c r="J1952" t="s">
        <v>91</v>
      </c>
      <c r="K1952" t="s">
        <v>92</v>
      </c>
      <c r="L1952" t="s">
        <v>29</v>
      </c>
      <c r="M1952" t="s">
        <v>30</v>
      </c>
      <c r="N1952" t="s">
        <v>31</v>
      </c>
      <c r="Q1952" t="s">
        <v>5239</v>
      </c>
      <c r="R1952" t="s">
        <v>5239</v>
      </c>
    </row>
    <row r="1953" spans="1:18" x14ac:dyDescent="0.3">
      <c r="A1953" s="2" t="str">
        <f>HYPERLINK(B1953,"Oppna PDF")</f>
        <v>Oppna PDF</v>
      </c>
      <c r="B1953" t="s">
        <v>5234</v>
      </c>
      <c r="C1953" t="s">
        <v>5240</v>
      </c>
      <c r="D1953" t="s">
        <v>5225</v>
      </c>
      <c r="E1953" t="s">
        <v>5236</v>
      </c>
      <c r="F1953" t="s">
        <v>3765</v>
      </c>
      <c r="G1953" t="s">
        <v>3766</v>
      </c>
      <c r="H1953" t="s">
        <v>268</v>
      </c>
      <c r="I1953" t="s">
        <v>5227</v>
      </c>
      <c r="J1953" t="s">
        <v>27</v>
      </c>
      <c r="K1953" t="s">
        <v>28</v>
      </c>
      <c r="L1953" t="s">
        <v>29</v>
      </c>
      <c r="M1953" t="s">
        <v>30</v>
      </c>
      <c r="N1953" t="s">
        <v>31</v>
      </c>
      <c r="Q1953" t="s">
        <v>5241</v>
      </c>
      <c r="R1953" t="s">
        <v>5241</v>
      </c>
    </row>
    <row r="1954" spans="1:18" x14ac:dyDescent="0.3">
      <c r="A1954" s="2" t="str">
        <f>HYPERLINK(B1954,"Oppna PDF")</f>
        <v>Oppna PDF</v>
      </c>
      <c r="B1954" t="s">
        <v>5242</v>
      </c>
      <c r="C1954" t="s">
        <v>5243</v>
      </c>
      <c r="D1954" t="s">
        <v>5244</v>
      </c>
      <c r="E1954" t="s">
        <v>5245</v>
      </c>
      <c r="F1954" t="s">
        <v>3765</v>
      </c>
      <c r="G1954" t="s">
        <v>3766</v>
      </c>
      <c r="H1954" t="s">
        <v>268</v>
      </c>
      <c r="I1954" t="s">
        <v>5227</v>
      </c>
      <c r="J1954" t="s">
        <v>91</v>
      </c>
      <c r="K1954" t="s">
        <v>92</v>
      </c>
      <c r="L1954" t="s">
        <v>142</v>
      </c>
      <c r="M1954" t="s">
        <v>30</v>
      </c>
      <c r="N1954" t="s">
        <v>31</v>
      </c>
      <c r="Q1954" t="s">
        <v>5228</v>
      </c>
      <c r="R1954" t="s">
        <v>5228</v>
      </c>
    </row>
    <row r="1955" spans="1:18" x14ac:dyDescent="0.3">
      <c r="A1955" s="2" t="str">
        <f>HYPERLINK(B1955,"Oppna PDF")</f>
        <v>Oppna PDF</v>
      </c>
      <c r="B1955" t="s">
        <v>5242</v>
      </c>
      <c r="C1955" t="s">
        <v>5246</v>
      </c>
      <c r="D1955" t="s">
        <v>5244</v>
      </c>
      <c r="E1955" t="s">
        <v>5245</v>
      </c>
      <c r="F1955" t="s">
        <v>3765</v>
      </c>
      <c r="G1955" t="s">
        <v>3766</v>
      </c>
      <c r="H1955" t="s">
        <v>268</v>
      </c>
      <c r="I1955" t="s">
        <v>5227</v>
      </c>
      <c r="J1955" t="s">
        <v>87</v>
      </c>
      <c r="K1955" t="s">
        <v>88</v>
      </c>
      <c r="L1955" t="s">
        <v>142</v>
      </c>
      <c r="M1955" t="s">
        <v>30</v>
      </c>
      <c r="N1955" t="s">
        <v>31</v>
      </c>
      <c r="Q1955" t="s">
        <v>5230</v>
      </c>
      <c r="R1955" t="s">
        <v>5230</v>
      </c>
    </row>
    <row r="1956" spans="1:18" x14ac:dyDescent="0.3">
      <c r="A1956" s="2" t="str">
        <f>HYPERLINK(B1956,"Oppna PDF")</f>
        <v>Oppna PDF</v>
      </c>
      <c r="B1956" t="s">
        <v>5242</v>
      </c>
      <c r="C1956" t="s">
        <v>5247</v>
      </c>
      <c r="D1956" t="s">
        <v>5244</v>
      </c>
      <c r="E1956" t="s">
        <v>5245</v>
      </c>
      <c r="F1956" t="s">
        <v>3765</v>
      </c>
      <c r="G1956" t="s">
        <v>3766</v>
      </c>
      <c r="H1956" t="s">
        <v>268</v>
      </c>
      <c r="I1956" t="s">
        <v>5227</v>
      </c>
      <c r="J1956" t="s">
        <v>34</v>
      </c>
      <c r="K1956" t="s">
        <v>35</v>
      </c>
      <c r="L1956" t="s">
        <v>142</v>
      </c>
      <c r="M1956" t="s">
        <v>30</v>
      </c>
      <c r="N1956" t="s">
        <v>31</v>
      </c>
      <c r="Q1956" t="s">
        <v>5232</v>
      </c>
      <c r="R1956" t="s">
        <v>5233</v>
      </c>
    </row>
    <row r="1957" spans="1:18" x14ac:dyDescent="0.3">
      <c r="A1957" s="2" t="str">
        <f>HYPERLINK(B1957,"Oppna PDF")</f>
        <v>Oppna PDF</v>
      </c>
      <c r="B1957" t="s">
        <v>5248</v>
      </c>
      <c r="C1957" t="s">
        <v>5249</v>
      </c>
      <c r="D1957" t="s">
        <v>5244</v>
      </c>
      <c r="E1957" t="s">
        <v>5250</v>
      </c>
      <c r="F1957" t="s">
        <v>3765</v>
      </c>
      <c r="G1957" t="s">
        <v>3766</v>
      </c>
      <c r="H1957" t="s">
        <v>268</v>
      </c>
      <c r="I1957" t="s">
        <v>5227</v>
      </c>
      <c r="J1957" t="s">
        <v>48</v>
      </c>
      <c r="K1957" t="s">
        <v>49</v>
      </c>
      <c r="L1957" t="s">
        <v>29</v>
      </c>
      <c r="M1957" t="s">
        <v>30</v>
      </c>
      <c r="N1957" t="s">
        <v>31</v>
      </c>
      <c r="Q1957" t="s">
        <v>5237</v>
      </c>
      <c r="R1957" t="s">
        <v>5237</v>
      </c>
    </row>
    <row r="1958" spans="1:18" x14ac:dyDescent="0.3">
      <c r="A1958" s="2" t="str">
        <f>HYPERLINK(B1958,"Oppna PDF")</f>
        <v>Oppna PDF</v>
      </c>
      <c r="B1958" t="s">
        <v>5248</v>
      </c>
      <c r="C1958" t="s">
        <v>5251</v>
      </c>
      <c r="D1958" t="s">
        <v>5244</v>
      </c>
      <c r="E1958" t="s">
        <v>5250</v>
      </c>
      <c r="F1958" t="s">
        <v>3765</v>
      </c>
      <c r="G1958" t="s">
        <v>3766</v>
      </c>
      <c r="H1958" t="s">
        <v>268</v>
      </c>
      <c r="I1958" t="s">
        <v>5227</v>
      </c>
      <c r="J1958" t="s">
        <v>91</v>
      </c>
      <c r="K1958" t="s">
        <v>92</v>
      </c>
      <c r="L1958" t="s">
        <v>29</v>
      </c>
      <c r="M1958" t="s">
        <v>30</v>
      </c>
      <c r="N1958" t="s">
        <v>31</v>
      </c>
      <c r="Q1958" t="s">
        <v>5239</v>
      </c>
      <c r="R1958" t="s">
        <v>5239</v>
      </c>
    </row>
    <row r="1959" spans="1:18" x14ac:dyDescent="0.3">
      <c r="A1959" s="2" t="str">
        <f>HYPERLINK(B1959,"Oppna PDF")</f>
        <v>Oppna PDF</v>
      </c>
      <c r="B1959" t="s">
        <v>5248</v>
      </c>
      <c r="C1959" t="s">
        <v>5252</v>
      </c>
      <c r="D1959" t="s">
        <v>5244</v>
      </c>
      <c r="E1959" t="s">
        <v>5250</v>
      </c>
      <c r="F1959" t="s">
        <v>3765</v>
      </c>
      <c r="G1959" t="s">
        <v>3766</v>
      </c>
      <c r="H1959" t="s">
        <v>268</v>
      </c>
      <c r="I1959" t="s">
        <v>5227</v>
      </c>
      <c r="J1959" t="s">
        <v>27</v>
      </c>
      <c r="K1959" t="s">
        <v>28</v>
      </c>
      <c r="L1959" t="s">
        <v>29</v>
      </c>
      <c r="M1959" t="s">
        <v>30</v>
      </c>
      <c r="N1959" t="s">
        <v>31</v>
      </c>
      <c r="Q1959" t="s">
        <v>5241</v>
      </c>
      <c r="R1959" t="s">
        <v>5241</v>
      </c>
    </row>
    <row r="1960" spans="1:18" x14ac:dyDescent="0.3">
      <c r="A1960" s="2" t="str">
        <f>HYPERLINK(B1960,"Oppna PDF")</f>
        <v>Oppna PDF</v>
      </c>
      <c r="B1960" t="s">
        <v>5253</v>
      </c>
      <c r="C1960" t="s">
        <v>5254</v>
      </c>
      <c r="D1960" t="s">
        <v>5255</v>
      </c>
      <c r="E1960" t="s">
        <v>5256</v>
      </c>
      <c r="F1960" t="s">
        <v>5257</v>
      </c>
      <c r="G1960" t="s">
        <v>5258</v>
      </c>
      <c r="H1960" t="s">
        <v>61</v>
      </c>
      <c r="I1960" t="s">
        <v>5259</v>
      </c>
      <c r="J1960" t="s">
        <v>38</v>
      </c>
      <c r="K1960" t="s">
        <v>39</v>
      </c>
      <c r="L1960" t="s">
        <v>142</v>
      </c>
      <c r="M1960" t="s">
        <v>30</v>
      </c>
      <c r="N1960" t="s">
        <v>31</v>
      </c>
      <c r="Q1960" t="s">
        <v>3534</v>
      </c>
      <c r="R1960" t="s">
        <v>3534</v>
      </c>
    </row>
    <row r="1961" spans="1:18" x14ac:dyDescent="0.3">
      <c r="A1961" s="2" t="str">
        <f>HYPERLINK(B1961,"Oppna PDF")</f>
        <v>Oppna PDF</v>
      </c>
      <c r="B1961" t="s">
        <v>5253</v>
      </c>
      <c r="C1961" t="s">
        <v>5260</v>
      </c>
      <c r="D1961" t="s">
        <v>5255</v>
      </c>
      <c r="E1961" t="s">
        <v>5256</v>
      </c>
      <c r="F1961" t="s">
        <v>5257</v>
      </c>
      <c r="G1961" t="s">
        <v>5258</v>
      </c>
      <c r="H1961" t="s">
        <v>61</v>
      </c>
      <c r="I1961" t="s">
        <v>5259</v>
      </c>
      <c r="J1961" t="s">
        <v>34</v>
      </c>
      <c r="K1961" t="s">
        <v>35</v>
      </c>
      <c r="L1961" t="s">
        <v>142</v>
      </c>
      <c r="M1961" t="s">
        <v>30</v>
      </c>
      <c r="N1961" t="s">
        <v>31</v>
      </c>
      <c r="Q1961" t="s">
        <v>5261</v>
      </c>
      <c r="R1961" t="s">
        <v>5261</v>
      </c>
    </row>
    <row r="1962" spans="1:18" x14ac:dyDescent="0.3">
      <c r="A1962" s="2" t="str">
        <f>HYPERLINK(B1962,"Oppna PDF")</f>
        <v>Oppna PDF</v>
      </c>
      <c r="B1962" t="s">
        <v>5253</v>
      </c>
      <c r="C1962" t="s">
        <v>5262</v>
      </c>
      <c r="D1962" t="s">
        <v>5255</v>
      </c>
      <c r="E1962" t="s">
        <v>5256</v>
      </c>
      <c r="F1962" t="s">
        <v>5257</v>
      </c>
      <c r="G1962" t="s">
        <v>5258</v>
      </c>
      <c r="H1962" t="s">
        <v>61</v>
      </c>
      <c r="I1962" t="s">
        <v>5259</v>
      </c>
      <c r="J1962" t="s">
        <v>27</v>
      </c>
      <c r="K1962" t="s">
        <v>28</v>
      </c>
      <c r="L1962" t="s">
        <v>142</v>
      </c>
      <c r="M1962" t="s">
        <v>30</v>
      </c>
      <c r="N1962" t="s">
        <v>31</v>
      </c>
      <c r="Q1962" t="s">
        <v>5263</v>
      </c>
      <c r="R1962" t="s">
        <v>5263</v>
      </c>
    </row>
    <row r="1963" spans="1:18" x14ac:dyDescent="0.3">
      <c r="A1963" s="2" t="str">
        <f>HYPERLINK(B1963,"Oppna PDF")</f>
        <v>Oppna PDF</v>
      </c>
      <c r="B1963" t="s">
        <v>5264</v>
      </c>
      <c r="C1963" t="s">
        <v>5265</v>
      </c>
      <c r="D1963" t="s">
        <v>5255</v>
      </c>
      <c r="E1963" t="s">
        <v>5266</v>
      </c>
      <c r="F1963" t="s">
        <v>5257</v>
      </c>
      <c r="G1963" t="s">
        <v>5258</v>
      </c>
      <c r="H1963" t="s">
        <v>61</v>
      </c>
      <c r="I1963" t="s">
        <v>5259</v>
      </c>
      <c r="J1963" t="s">
        <v>38</v>
      </c>
      <c r="K1963" t="s">
        <v>39</v>
      </c>
      <c r="L1963" t="s">
        <v>29</v>
      </c>
      <c r="M1963" t="s">
        <v>30</v>
      </c>
      <c r="N1963" t="s">
        <v>31</v>
      </c>
      <c r="Q1963" t="s">
        <v>4229</v>
      </c>
      <c r="R1963" t="s">
        <v>4230</v>
      </c>
    </row>
    <row r="1964" spans="1:18" x14ac:dyDescent="0.3">
      <c r="A1964" s="2" t="str">
        <f>HYPERLINK(B1964,"Oppna PDF")</f>
        <v>Oppna PDF</v>
      </c>
      <c r="B1964" t="s">
        <v>5264</v>
      </c>
      <c r="C1964" t="s">
        <v>5267</v>
      </c>
      <c r="D1964" t="s">
        <v>5255</v>
      </c>
      <c r="E1964" t="s">
        <v>5266</v>
      </c>
      <c r="F1964" t="s">
        <v>5257</v>
      </c>
      <c r="G1964" t="s">
        <v>5258</v>
      </c>
      <c r="H1964" t="s">
        <v>61</v>
      </c>
      <c r="I1964" t="s">
        <v>5259</v>
      </c>
      <c r="J1964" t="s">
        <v>27</v>
      </c>
      <c r="K1964" t="s">
        <v>28</v>
      </c>
      <c r="L1964" t="s">
        <v>29</v>
      </c>
      <c r="M1964" t="s">
        <v>30</v>
      </c>
      <c r="N1964" t="s">
        <v>31</v>
      </c>
      <c r="Q1964" t="s">
        <v>520</v>
      </c>
      <c r="R1964" t="s">
        <v>520</v>
      </c>
    </row>
    <row r="1965" spans="1:18" x14ac:dyDescent="0.3">
      <c r="A1965" s="2" t="str">
        <f>HYPERLINK(B1965,"Oppna PDF")</f>
        <v>Oppna PDF</v>
      </c>
      <c r="B1965" t="s">
        <v>5268</v>
      </c>
      <c r="C1965" t="s">
        <v>5269</v>
      </c>
      <c r="D1965" t="s">
        <v>514</v>
      </c>
      <c r="E1965" t="s">
        <v>5270</v>
      </c>
      <c r="F1965" t="e">
        <f>-- Miljökontoret Söderköpings</f>
        <v>#NAME?</v>
      </c>
      <c r="G1965" t="e">
        <f>-- Miljökontoret Söderköpings kommun</f>
        <v>#NAME?</v>
      </c>
      <c r="H1965" t="s">
        <v>25</v>
      </c>
      <c r="I1965" t="s">
        <v>516</v>
      </c>
      <c r="J1965" t="s">
        <v>38</v>
      </c>
      <c r="K1965" t="s">
        <v>39</v>
      </c>
      <c r="L1965" t="s">
        <v>142</v>
      </c>
      <c r="M1965" t="s">
        <v>30</v>
      </c>
      <c r="N1965" t="s">
        <v>31</v>
      </c>
      <c r="Q1965" t="s">
        <v>3534</v>
      </c>
      <c r="R1965" t="s">
        <v>3534</v>
      </c>
    </row>
    <row r="1966" spans="1:18" x14ac:dyDescent="0.3">
      <c r="A1966" s="2" t="str">
        <f>HYPERLINK(B1966,"Oppna PDF")</f>
        <v>Oppna PDF</v>
      </c>
      <c r="B1966" t="s">
        <v>5268</v>
      </c>
      <c r="C1966" t="s">
        <v>5271</v>
      </c>
      <c r="D1966" t="s">
        <v>514</v>
      </c>
      <c r="E1966" t="s">
        <v>5270</v>
      </c>
      <c r="F1966" t="e">
        <f>-- Miljökontoret Söderköpings</f>
        <v>#NAME?</v>
      </c>
      <c r="G1966" t="e">
        <f>-- Miljökontoret Söderköpings kommun</f>
        <v>#NAME?</v>
      </c>
      <c r="H1966" t="s">
        <v>25</v>
      </c>
      <c r="I1966" t="s">
        <v>516</v>
      </c>
      <c r="J1966" t="s">
        <v>34</v>
      </c>
      <c r="K1966" t="s">
        <v>35</v>
      </c>
      <c r="L1966" t="s">
        <v>142</v>
      </c>
      <c r="M1966" t="s">
        <v>30</v>
      </c>
      <c r="N1966" t="s">
        <v>31</v>
      </c>
      <c r="Q1966" t="s">
        <v>5261</v>
      </c>
      <c r="R1966" t="s">
        <v>5261</v>
      </c>
    </row>
    <row r="1967" spans="1:18" x14ac:dyDescent="0.3">
      <c r="A1967" s="2" t="str">
        <f>HYPERLINK(B1967,"Oppna PDF")</f>
        <v>Oppna PDF</v>
      </c>
      <c r="B1967" t="s">
        <v>5268</v>
      </c>
      <c r="C1967" t="s">
        <v>5272</v>
      </c>
      <c r="D1967" t="s">
        <v>514</v>
      </c>
      <c r="E1967" t="s">
        <v>5270</v>
      </c>
      <c r="F1967" t="e">
        <f>-- Miljökontoret Söderköpings</f>
        <v>#NAME?</v>
      </c>
      <c r="G1967" t="e">
        <f>-- Miljökontoret Söderköpings kommun</f>
        <v>#NAME?</v>
      </c>
      <c r="H1967" t="s">
        <v>25</v>
      </c>
      <c r="I1967" t="s">
        <v>516</v>
      </c>
      <c r="J1967" t="s">
        <v>27</v>
      </c>
      <c r="K1967" t="s">
        <v>28</v>
      </c>
      <c r="L1967" t="s">
        <v>142</v>
      </c>
      <c r="M1967" t="s">
        <v>30</v>
      </c>
      <c r="N1967" t="s">
        <v>31</v>
      </c>
      <c r="Q1967" t="s">
        <v>5263</v>
      </c>
      <c r="R1967" t="s">
        <v>5263</v>
      </c>
    </row>
    <row r="1968" spans="1:18" x14ac:dyDescent="0.3">
      <c r="A1968" s="2" t="str">
        <f>HYPERLINK(B1968,"Oppna PDF")</f>
        <v>Oppna PDF</v>
      </c>
      <c r="B1968" t="s">
        <v>5273</v>
      </c>
      <c r="C1968" t="s">
        <v>5274</v>
      </c>
      <c r="D1968" t="s">
        <v>5275</v>
      </c>
      <c r="E1968" t="s">
        <v>5276</v>
      </c>
      <c r="F1968" t="s">
        <v>3765</v>
      </c>
      <c r="G1968" t="s">
        <v>3766</v>
      </c>
      <c r="H1968" t="s">
        <v>268</v>
      </c>
      <c r="I1968" t="s">
        <v>5277</v>
      </c>
      <c r="J1968" t="s">
        <v>87</v>
      </c>
      <c r="K1968" t="s">
        <v>88</v>
      </c>
      <c r="L1968" t="s">
        <v>29</v>
      </c>
      <c r="M1968" t="s">
        <v>30</v>
      </c>
      <c r="N1968" t="s">
        <v>31</v>
      </c>
      <c r="Q1968" t="s">
        <v>5278</v>
      </c>
      <c r="R1968" t="s">
        <v>5278</v>
      </c>
    </row>
    <row r="1969" spans="1:18" x14ac:dyDescent="0.3">
      <c r="A1969" s="2" t="str">
        <f>HYPERLINK(B1969,"Oppna PDF")</f>
        <v>Oppna PDF</v>
      </c>
      <c r="B1969" t="s">
        <v>5273</v>
      </c>
      <c r="C1969" t="s">
        <v>5279</v>
      </c>
      <c r="D1969" t="s">
        <v>5275</v>
      </c>
      <c r="E1969" t="s">
        <v>5276</v>
      </c>
      <c r="F1969" t="s">
        <v>3765</v>
      </c>
      <c r="G1969" t="s">
        <v>3766</v>
      </c>
      <c r="H1969" t="s">
        <v>268</v>
      </c>
      <c r="I1969" t="s">
        <v>5277</v>
      </c>
      <c r="J1969" t="s">
        <v>48</v>
      </c>
      <c r="K1969" t="s">
        <v>49</v>
      </c>
      <c r="L1969" t="s">
        <v>29</v>
      </c>
      <c r="M1969" t="s">
        <v>30</v>
      </c>
      <c r="N1969" t="s">
        <v>31</v>
      </c>
      <c r="Q1969" t="s">
        <v>5280</v>
      </c>
      <c r="R1969" t="s">
        <v>5280</v>
      </c>
    </row>
    <row r="1970" spans="1:18" x14ac:dyDescent="0.3">
      <c r="A1970" s="2" t="str">
        <f>HYPERLINK(B1970,"Oppna PDF")</f>
        <v>Oppna PDF</v>
      </c>
      <c r="B1970" t="s">
        <v>5273</v>
      </c>
      <c r="C1970" t="s">
        <v>5281</v>
      </c>
      <c r="D1970" t="s">
        <v>5275</v>
      </c>
      <c r="E1970" t="s">
        <v>5276</v>
      </c>
      <c r="F1970" t="s">
        <v>3765</v>
      </c>
      <c r="G1970" t="s">
        <v>3766</v>
      </c>
      <c r="H1970" t="s">
        <v>268</v>
      </c>
      <c r="I1970" t="s">
        <v>5277</v>
      </c>
      <c r="J1970" t="s">
        <v>34</v>
      </c>
      <c r="K1970" t="s">
        <v>35</v>
      </c>
      <c r="L1970" t="s">
        <v>29</v>
      </c>
      <c r="M1970" t="s">
        <v>30</v>
      </c>
      <c r="N1970" t="s">
        <v>31</v>
      </c>
      <c r="Q1970" t="s">
        <v>5282</v>
      </c>
      <c r="R1970" t="s">
        <v>5282</v>
      </c>
    </row>
    <row r="1971" spans="1:18" x14ac:dyDescent="0.3">
      <c r="A1971" s="2" t="str">
        <f>HYPERLINK(B1971,"Oppna PDF")</f>
        <v>Oppna PDF</v>
      </c>
      <c r="B1971" t="s">
        <v>5283</v>
      </c>
      <c r="C1971" t="s">
        <v>5284</v>
      </c>
      <c r="D1971" t="s">
        <v>5275</v>
      </c>
      <c r="E1971" t="s">
        <v>5285</v>
      </c>
      <c r="F1971" t="s">
        <v>3765</v>
      </c>
      <c r="G1971" t="s">
        <v>3766</v>
      </c>
      <c r="H1971" t="s">
        <v>268</v>
      </c>
      <c r="I1971" t="s">
        <v>5277</v>
      </c>
      <c r="J1971" t="s">
        <v>38</v>
      </c>
      <c r="K1971" t="s">
        <v>39</v>
      </c>
      <c r="L1971" t="s">
        <v>29</v>
      </c>
      <c r="M1971" t="s">
        <v>30</v>
      </c>
      <c r="N1971" t="s">
        <v>31</v>
      </c>
      <c r="Q1971" t="s">
        <v>5286</v>
      </c>
      <c r="R1971" t="s">
        <v>5286</v>
      </c>
    </row>
    <row r="1972" spans="1:18" x14ac:dyDescent="0.3">
      <c r="A1972" s="2" t="str">
        <f>HYPERLINK(B1972,"Oppna PDF")</f>
        <v>Oppna PDF</v>
      </c>
      <c r="B1972" t="s">
        <v>5283</v>
      </c>
      <c r="C1972" t="s">
        <v>5287</v>
      </c>
      <c r="D1972" t="s">
        <v>5275</v>
      </c>
      <c r="E1972" t="s">
        <v>5285</v>
      </c>
      <c r="F1972" t="s">
        <v>3765</v>
      </c>
      <c r="G1972" t="s">
        <v>3766</v>
      </c>
      <c r="H1972" t="s">
        <v>268</v>
      </c>
      <c r="I1972" t="s">
        <v>5277</v>
      </c>
      <c r="J1972" t="s">
        <v>34</v>
      </c>
      <c r="K1972" t="s">
        <v>35</v>
      </c>
      <c r="L1972" t="s">
        <v>29</v>
      </c>
      <c r="M1972" t="s">
        <v>30</v>
      </c>
      <c r="N1972" t="s">
        <v>31</v>
      </c>
      <c r="Q1972" t="s">
        <v>5288</v>
      </c>
      <c r="R1972" t="s">
        <v>5288</v>
      </c>
    </row>
    <row r="1973" spans="1:18" x14ac:dyDescent="0.3">
      <c r="A1973" s="2" t="str">
        <f>HYPERLINK(B1973,"Oppna PDF")</f>
        <v>Oppna PDF</v>
      </c>
      <c r="B1973" t="s">
        <v>5283</v>
      </c>
      <c r="C1973" t="s">
        <v>5289</v>
      </c>
      <c r="D1973" t="s">
        <v>5275</v>
      </c>
      <c r="E1973" t="s">
        <v>5285</v>
      </c>
      <c r="F1973" t="s">
        <v>3765</v>
      </c>
      <c r="G1973" t="s">
        <v>3766</v>
      </c>
      <c r="H1973" t="s">
        <v>268</v>
      </c>
      <c r="I1973" t="s">
        <v>5277</v>
      </c>
      <c r="J1973" t="s">
        <v>48</v>
      </c>
      <c r="K1973" t="s">
        <v>49</v>
      </c>
      <c r="L1973" t="s">
        <v>29</v>
      </c>
      <c r="M1973" t="s">
        <v>30</v>
      </c>
      <c r="N1973" t="s">
        <v>31</v>
      </c>
      <c r="Q1973" t="s">
        <v>5290</v>
      </c>
      <c r="R1973" t="s">
        <v>5290</v>
      </c>
    </row>
    <row r="1974" spans="1:18" x14ac:dyDescent="0.3">
      <c r="A1974" s="2" t="str">
        <f>HYPERLINK(B1974,"Oppna PDF")</f>
        <v>Oppna PDF</v>
      </c>
      <c r="B1974" t="s">
        <v>5291</v>
      </c>
      <c r="C1974" t="s">
        <v>5292</v>
      </c>
      <c r="D1974" t="s">
        <v>5275</v>
      </c>
      <c r="E1974" t="s">
        <v>5293</v>
      </c>
      <c r="F1974" t="s">
        <v>3765</v>
      </c>
      <c r="G1974" t="s">
        <v>3766</v>
      </c>
      <c r="H1974" t="s">
        <v>268</v>
      </c>
      <c r="I1974" t="s">
        <v>5277</v>
      </c>
      <c r="J1974" t="s">
        <v>87</v>
      </c>
      <c r="K1974" t="s">
        <v>88</v>
      </c>
      <c r="L1974" t="s">
        <v>142</v>
      </c>
      <c r="M1974" t="s">
        <v>30</v>
      </c>
      <c r="N1974" t="s">
        <v>31</v>
      </c>
      <c r="Q1974" t="s">
        <v>5294</v>
      </c>
      <c r="R1974" t="s">
        <v>5294</v>
      </c>
    </row>
    <row r="1975" spans="1:18" x14ac:dyDescent="0.3">
      <c r="A1975" s="2" t="str">
        <f>HYPERLINK(B1975,"Oppna PDF")</f>
        <v>Oppna PDF</v>
      </c>
      <c r="B1975" t="s">
        <v>5295</v>
      </c>
      <c r="C1975" t="s">
        <v>5296</v>
      </c>
      <c r="D1975" t="s">
        <v>5275</v>
      </c>
      <c r="E1975" t="s">
        <v>5297</v>
      </c>
      <c r="F1975" t="s">
        <v>3765</v>
      </c>
      <c r="G1975" t="s">
        <v>3766</v>
      </c>
      <c r="H1975" t="s">
        <v>268</v>
      </c>
      <c r="I1975" t="s">
        <v>5277</v>
      </c>
      <c r="J1975" t="s">
        <v>38</v>
      </c>
      <c r="K1975" t="s">
        <v>39</v>
      </c>
      <c r="L1975" t="s">
        <v>142</v>
      </c>
      <c r="M1975" t="s">
        <v>30</v>
      </c>
      <c r="N1975" t="s">
        <v>31</v>
      </c>
      <c r="Q1975" t="s">
        <v>5298</v>
      </c>
      <c r="R1975" t="s">
        <v>5298</v>
      </c>
    </row>
    <row r="1976" spans="1:18" x14ac:dyDescent="0.3">
      <c r="A1976" s="2" t="str">
        <f>HYPERLINK(B1976,"Oppna PDF")</f>
        <v>Oppna PDF</v>
      </c>
      <c r="B1976" t="s">
        <v>5295</v>
      </c>
      <c r="C1976" t="s">
        <v>5299</v>
      </c>
      <c r="D1976" t="s">
        <v>5275</v>
      </c>
      <c r="E1976" t="s">
        <v>5297</v>
      </c>
      <c r="F1976" t="s">
        <v>3765</v>
      </c>
      <c r="G1976" t="s">
        <v>3766</v>
      </c>
      <c r="H1976" t="s">
        <v>268</v>
      </c>
      <c r="I1976" t="s">
        <v>5277</v>
      </c>
      <c r="J1976" t="s">
        <v>87</v>
      </c>
      <c r="K1976" t="s">
        <v>88</v>
      </c>
      <c r="L1976" t="s">
        <v>142</v>
      </c>
      <c r="M1976" t="s">
        <v>30</v>
      </c>
      <c r="N1976" t="s">
        <v>31</v>
      </c>
      <c r="Q1976" t="s">
        <v>5294</v>
      </c>
      <c r="R1976" t="s">
        <v>5294</v>
      </c>
    </row>
    <row r="1977" spans="1:18" x14ac:dyDescent="0.3">
      <c r="A1977" s="2" t="str">
        <f>HYPERLINK(B1977,"Oppna PDF")</f>
        <v>Oppna PDF</v>
      </c>
      <c r="B1977" t="s">
        <v>5295</v>
      </c>
      <c r="C1977" t="s">
        <v>5300</v>
      </c>
      <c r="D1977" t="s">
        <v>5275</v>
      </c>
      <c r="E1977" t="s">
        <v>5297</v>
      </c>
      <c r="F1977" t="s">
        <v>3765</v>
      </c>
      <c r="G1977" t="s">
        <v>3766</v>
      </c>
      <c r="H1977" t="s">
        <v>268</v>
      </c>
      <c r="I1977" t="s">
        <v>5277</v>
      </c>
      <c r="J1977" t="s">
        <v>209</v>
      </c>
      <c r="K1977" t="s">
        <v>210</v>
      </c>
      <c r="L1977" t="s">
        <v>142</v>
      </c>
      <c r="M1977" t="s">
        <v>30</v>
      </c>
      <c r="N1977" t="s">
        <v>31</v>
      </c>
      <c r="Q1977" t="s">
        <v>5301</v>
      </c>
      <c r="R1977" t="s">
        <v>5301</v>
      </c>
    </row>
    <row r="1978" spans="1:18" x14ac:dyDescent="0.3">
      <c r="A1978" s="2" t="str">
        <f>HYPERLINK(B1978,"Oppna PDF")</f>
        <v>Oppna PDF</v>
      </c>
      <c r="B1978" t="s">
        <v>5302</v>
      </c>
      <c r="C1978" t="s">
        <v>5303</v>
      </c>
      <c r="D1978" t="s">
        <v>5304</v>
      </c>
      <c r="E1978" t="s">
        <v>5305</v>
      </c>
      <c r="F1978" t="s">
        <v>3765</v>
      </c>
      <c r="G1978" t="s">
        <v>3766</v>
      </c>
      <c r="H1978" t="s">
        <v>268</v>
      </c>
      <c r="I1978" t="s">
        <v>5277</v>
      </c>
      <c r="J1978" t="s">
        <v>87</v>
      </c>
      <c r="K1978" t="s">
        <v>88</v>
      </c>
      <c r="L1978" t="s">
        <v>29</v>
      </c>
      <c r="M1978" t="s">
        <v>30</v>
      </c>
      <c r="N1978" t="s">
        <v>31</v>
      </c>
      <c r="Q1978" t="s">
        <v>5278</v>
      </c>
      <c r="R1978" t="s">
        <v>5278</v>
      </c>
    </row>
    <row r="1979" spans="1:18" x14ac:dyDescent="0.3">
      <c r="A1979" s="2" t="str">
        <f>HYPERLINK(B1979,"Oppna PDF")</f>
        <v>Oppna PDF</v>
      </c>
      <c r="B1979" t="s">
        <v>5302</v>
      </c>
      <c r="C1979" t="s">
        <v>5306</v>
      </c>
      <c r="D1979" t="s">
        <v>5304</v>
      </c>
      <c r="E1979" t="s">
        <v>5305</v>
      </c>
      <c r="F1979" t="s">
        <v>3765</v>
      </c>
      <c r="G1979" t="s">
        <v>3766</v>
      </c>
      <c r="H1979" t="s">
        <v>268</v>
      </c>
      <c r="I1979" t="s">
        <v>5277</v>
      </c>
      <c r="J1979" t="s">
        <v>48</v>
      </c>
      <c r="K1979" t="s">
        <v>49</v>
      </c>
      <c r="L1979" t="s">
        <v>29</v>
      </c>
      <c r="M1979" t="s">
        <v>30</v>
      </c>
      <c r="N1979" t="s">
        <v>31</v>
      </c>
      <c r="Q1979" t="s">
        <v>5280</v>
      </c>
      <c r="R1979" t="s">
        <v>5280</v>
      </c>
    </row>
    <row r="1980" spans="1:18" x14ac:dyDescent="0.3">
      <c r="A1980" s="2" t="str">
        <f>HYPERLINK(B1980,"Oppna PDF")</f>
        <v>Oppna PDF</v>
      </c>
      <c r="B1980" t="s">
        <v>5302</v>
      </c>
      <c r="C1980" t="s">
        <v>5307</v>
      </c>
      <c r="D1980" t="s">
        <v>5304</v>
      </c>
      <c r="E1980" t="s">
        <v>5305</v>
      </c>
      <c r="F1980" t="s">
        <v>3765</v>
      </c>
      <c r="G1980" t="s">
        <v>3766</v>
      </c>
      <c r="H1980" t="s">
        <v>268</v>
      </c>
      <c r="I1980" t="s">
        <v>5277</v>
      </c>
      <c r="J1980" t="s">
        <v>34</v>
      </c>
      <c r="K1980" t="s">
        <v>35</v>
      </c>
      <c r="L1980" t="s">
        <v>29</v>
      </c>
      <c r="M1980" t="s">
        <v>30</v>
      </c>
      <c r="N1980" t="s">
        <v>31</v>
      </c>
      <c r="Q1980" t="s">
        <v>5282</v>
      </c>
      <c r="R1980" t="s">
        <v>5282</v>
      </c>
    </row>
    <row r="1981" spans="1:18" x14ac:dyDescent="0.3">
      <c r="A1981" s="2" t="str">
        <f>HYPERLINK(B1981,"Oppna PDF")</f>
        <v>Oppna PDF</v>
      </c>
      <c r="B1981" t="s">
        <v>5308</v>
      </c>
      <c r="C1981" t="s">
        <v>5309</v>
      </c>
      <c r="D1981" t="s">
        <v>5304</v>
      </c>
      <c r="E1981" t="s">
        <v>5310</v>
      </c>
      <c r="F1981" t="s">
        <v>3765</v>
      </c>
      <c r="G1981" t="s">
        <v>3766</v>
      </c>
      <c r="H1981" t="s">
        <v>268</v>
      </c>
      <c r="I1981" t="s">
        <v>5277</v>
      </c>
      <c r="J1981" t="s">
        <v>38</v>
      </c>
      <c r="K1981" t="s">
        <v>39</v>
      </c>
      <c r="L1981" t="s">
        <v>29</v>
      </c>
      <c r="M1981" t="s">
        <v>30</v>
      </c>
      <c r="N1981" t="s">
        <v>31</v>
      </c>
      <c r="Q1981" t="s">
        <v>5286</v>
      </c>
      <c r="R1981" t="s">
        <v>5286</v>
      </c>
    </row>
    <row r="1982" spans="1:18" x14ac:dyDescent="0.3">
      <c r="A1982" s="2" t="str">
        <f>HYPERLINK(B1982,"Oppna PDF")</f>
        <v>Oppna PDF</v>
      </c>
      <c r="B1982" t="s">
        <v>5308</v>
      </c>
      <c r="C1982" t="s">
        <v>5311</v>
      </c>
      <c r="D1982" t="s">
        <v>5304</v>
      </c>
      <c r="E1982" t="s">
        <v>5310</v>
      </c>
      <c r="F1982" t="s">
        <v>3765</v>
      </c>
      <c r="G1982" t="s">
        <v>3766</v>
      </c>
      <c r="H1982" t="s">
        <v>268</v>
      </c>
      <c r="I1982" t="s">
        <v>5277</v>
      </c>
      <c r="J1982" t="s">
        <v>34</v>
      </c>
      <c r="K1982" t="s">
        <v>35</v>
      </c>
      <c r="L1982" t="s">
        <v>29</v>
      </c>
      <c r="M1982" t="s">
        <v>30</v>
      </c>
      <c r="N1982" t="s">
        <v>31</v>
      </c>
      <c r="Q1982" t="s">
        <v>5288</v>
      </c>
      <c r="R1982" t="s">
        <v>5288</v>
      </c>
    </row>
    <row r="1983" spans="1:18" x14ac:dyDescent="0.3">
      <c r="A1983" s="2" t="str">
        <f>HYPERLINK(B1983,"Oppna PDF")</f>
        <v>Oppna PDF</v>
      </c>
      <c r="B1983" t="s">
        <v>5308</v>
      </c>
      <c r="C1983" t="s">
        <v>5312</v>
      </c>
      <c r="D1983" t="s">
        <v>5304</v>
      </c>
      <c r="E1983" t="s">
        <v>5310</v>
      </c>
      <c r="F1983" t="s">
        <v>3765</v>
      </c>
      <c r="G1983" t="s">
        <v>3766</v>
      </c>
      <c r="H1983" t="s">
        <v>268</v>
      </c>
      <c r="I1983" t="s">
        <v>5277</v>
      </c>
      <c r="J1983" t="s">
        <v>48</v>
      </c>
      <c r="K1983" t="s">
        <v>49</v>
      </c>
      <c r="L1983" t="s">
        <v>29</v>
      </c>
      <c r="M1983" t="s">
        <v>30</v>
      </c>
      <c r="N1983" t="s">
        <v>31</v>
      </c>
      <c r="Q1983" t="s">
        <v>5290</v>
      </c>
      <c r="R1983" t="s">
        <v>5290</v>
      </c>
    </row>
    <row r="1984" spans="1:18" x14ac:dyDescent="0.3">
      <c r="A1984" s="2" t="str">
        <f>HYPERLINK(B1984,"Oppna PDF")</f>
        <v>Oppna PDF</v>
      </c>
      <c r="B1984" t="s">
        <v>5313</v>
      </c>
      <c r="C1984" t="s">
        <v>5314</v>
      </c>
      <c r="D1984" t="s">
        <v>5304</v>
      </c>
      <c r="E1984" t="s">
        <v>5315</v>
      </c>
      <c r="F1984" t="s">
        <v>3765</v>
      </c>
      <c r="G1984" t="s">
        <v>3766</v>
      </c>
      <c r="H1984" t="s">
        <v>268</v>
      </c>
      <c r="I1984" t="s">
        <v>5277</v>
      </c>
      <c r="J1984" t="s">
        <v>87</v>
      </c>
      <c r="K1984" t="s">
        <v>88</v>
      </c>
      <c r="L1984" t="s">
        <v>142</v>
      </c>
      <c r="M1984" t="s">
        <v>30</v>
      </c>
      <c r="N1984" t="s">
        <v>31</v>
      </c>
      <c r="Q1984" t="s">
        <v>5294</v>
      </c>
      <c r="R1984" t="s">
        <v>5294</v>
      </c>
    </row>
    <row r="1985" spans="1:18" x14ac:dyDescent="0.3">
      <c r="A1985" s="2" t="str">
        <f>HYPERLINK(B1985,"Oppna PDF")</f>
        <v>Oppna PDF</v>
      </c>
      <c r="B1985" t="s">
        <v>5316</v>
      </c>
      <c r="C1985" t="s">
        <v>5317</v>
      </c>
      <c r="D1985" t="s">
        <v>5304</v>
      </c>
      <c r="E1985" t="s">
        <v>5318</v>
      </c>
      <c r="F1985" t="s">
        <v>3765</v>
      </c>
      <c r="G1985" t="s">
        <v>3766</v>
      </c>
      <c r="H1985" t="s">
        <v>268</v>
      </c>
      <c r="I1985" t="s">
        <v>5277</v>
      </c>
      <c r="J1985" t="s">
        <v>38</v>
      </c>
      <c r="K1985" t="s">
        <v>39</v>
      </c>
      <c r="L1985" t="s">
        <v>142</v>
      </c>
      <c r="M1985" t="s">
        <v>30</v>
      </c>
      <c r="N1985" t="s">
        <v>31</v>
      </c>
      <c r="Q1985" t="s">
        <v>5298</v>
      </c>
      <c r="R1985" t="s">
        <v>5298</v>
      </c>
    </row>
    <row r="1986" spans="1:18" x14ac:dyDescent="0.3">
      <c r="A1986" s="2" t="str">
        <f>HYPERLINK(B1986,"Oppna PDF")</f>
        <v>Oppna PDF</v>
      </c>
      <c r="B1986" t="s">
        <v>5316</v>
      </c>
      <c r="C1986" t="s">
        <v>5319</v>
      </c>
      <c r="D1986" t="s">
        <v>5304</v>
      </c>
      <c r="E1986" t="s">
        <v>5318</v>
      </c>
      <c r="F1986" t="s">
        <v>3765</v>
      </c>
      <c r="G1986" t="s">
        <v>3766</v>
      </c>
      <c r="H1986" t="s">
        <v>268</v>
      </c>
      <c r="I1986" t="s">
        <v>5277</v>
      </c>
      <c r="J1986" t="s">
        <v>87</v>
      </c>
      <c r="K1986" t="s">
        <v>88</v>
      </c>
      <c r="L1986" t="s">
        <v>142</v>
      </c>
      <c r="M1986" t="s">
        <v>30</v>
      </c>
      <c r="N1986" t="s">
        <v>31</v>
      </c>
      <c r="Q1986" t="s">
        <v>5294</v>
      </c>
      <c r="R1986" t="s">
        <v>5294</v>
      </c>
    </row>
    <row r="1987" spans="1:18" x14ac:dyDescent="0.3">
      <c r="A1987" s="2" t="str">
        <f>HYPERLINK(B1987,"Oppna PDF")</f>
        <v>Oppna PDF</v>
      </c>
      <c r="B1987" t="s">
        <v>5316</v>
      </c>
      <c r="C1987" t="s">
        <v>5320</v>
      </c>
      <c r="D1987" t="s">
        <v>5304</v>
      </c>
      <c r="E1987" t="s">
        <v>5318</v>
      </c>
      <c r="F1987" t="s">
        <v>3765</v>
      </c>
      <c r="G1987" t="s">
        <v>3766</v>
      </c>
      <c r="H1987" t="s">
        <v>268</v>
      </c>
      <c r="I1987" t="s">
        <v>5277</v>
      </c>
      <c r="J1987" t="s">
        <v>209</v>
      </c>
      <c r="K1987" t="s">
        <v>210</v>
      </c>
      <c r="L1987" t="s">
        <v>142</v>
      </c>
      <c r="M1987" t="s">
        <v>30</v>
      </c>
      <c r="N1987" t="s">
        <v>31</v>
      </c>
      <c r="Q1987" t="s">
        <v>5301</v>
      </c>
      <c r="R1987" t="s">
        <v>5301</v>
      </c>
    </row>
    <row r="1988" spans="1:18" x14ac:dyDescent="0.3">
      <c r="A1988" s="2" t="str">
        <f>HYPERLINK(B1988,"Oppna PDF")</f>
        <v>Oppna PDF</v>
      </c>
      <c r="B1988" t="s">
        <v>5321</v>
      </c>
      <c r="C1988" t="s">
        <v>5322</v>
      </c>
      <c r="D1988" t="s">
        <v>5323</v>
      </c>
      <c r="E1988" t="s">
        <v>5324</v>
      </c>
      <c r="H1988" t="s">
        <v>61</v>
      </c>
      <c r="I1988" t="s">
        <v>5325</v>
      </c>
      <c r="J1988" t="s">
        <v>38</v>
      </c>
      <c r="K1988" t="s">
        <v>39</v>
      </c>
      <c r="L1988" t="s">
        <v>29</v>
      </c>
      <c r="M1988" t="s">
        <v>30</v>
      </c>
      <c r="N1988" t="s">
        <v>31</v>
      </c>
      <c r="Q1988" t="s">
        <v>5326</v>
      </c>
      <c r="R1988" t="s">
        <v>5326</v>
      </c>
    </row>
    <row r="1989" spans="1:18" x14ac:dyDescent="0.3">
      <c r="A1989" s="2" t="str">
        <f>HYPERLINK(B1989,"Oppna PDF")</f>
        <v>Oppna PDF</v>
      </c>
      <c r="B1989" t="s">
        <v>5321</v>
      </c>
      <c r="C1989" t="s">
        <v>5327</v>
      </c>
      <c r="D1989" t="s">
        <v>5323</v>
      </c>
      <c r="E1989" t="s">
        <v>5324</v>
      </c>
      <c r="H1989" t="s">
        <v>61</v>
      </c>
      <c r="I1989" t="s">
        <v>5325</v>
      </c>
      <c r="J1989" t="s">
        <v>27</v>
      </c>
      <c r="K1989" t="s">
        <v>28</v>
      </c>
      <c r="L1989" t="s">
        <v>300</v>
      </c>
      <c r="M1989" t="s">
        <v>30</v>
      </c>
      <c r="N1989" t="s">
        <v>31</v>
      </c>
      <c r="Q1989" t="s">
        <v>5328</v>
      </c>
      <c r="R1989" t="s">
        <v>5328</v>
      </c>
    </row>
    <row r="1990" spans="1:18" x14ac:dyDescent="0.3">
      <c r="A1990" s="2" t="str">
        <f>HYPERLINK(B1990,"Oppna PDF")</f>
        <v>Oppna PDF</v>
      </c>
      <c r="B1990" t="s">
        <v>5321</v>
      </c>
      <c r="C1990" t="s">
        <v>5329</v>
      </c>
      <c r="D1990" t="s">
        <v>5323</v>
      </c>
      <c r="E1990" t="s">
        <v>5324</v>
      </c>
      <c r="H1990" t="s">
        <v>61</v>
      </c>
      <c r="I1990" t="s">
        <v>5325</v>
      </c>
      <c r="J1990" t="s">
        <v>87</v>
      </c>
      <c r="K1990" t="s">
        <v>88</v>
      </c>
      <c r="L1990" t="s">
        <v>29</v>
      </c>
      <c r="M1990" t="s">
        <v>30</v>
      </c>
      <c r="N1990" t="s">
        <v>31</v>
      </c>
      <c r="Q1990" t="s">
        <v>5330</v>
      </c>
      <c r="R1990" t="s">
        <v>5330</v>
      </c>
    </row>
    <row r="1991" spans="1:18" x14ac:dyDescent="0.3">
      <c r="A1991" s="2" t="str">
        <f>HYPERLINK(B1991,"Oppna PDF")</f>
        <v>Oppna PDF</v>
      </c>
      <c r="B1991" t="s">
        <v>5331</v>
      </c>
      <c r="C1991" t="s">
        <v>5332</v>
      </c>
      <c r="D1991" t="s">
        <v>5323</v>
      </c>
      <c r="E1991" t="s">
        <v>5333</v>
      </c>
      <c r="H1991" t="s">
        <v>61</v>
      </c>
      <c r="I1991" t="s">
        <v>5325</v>
      </c>
      <c r="J1991" t="s">
        <v>38</v>
      </c>
      <c r="K1991" t="s">
        <v>39</v>
      </c>
      <c r="L1991" t="s">
        <v>29</v>
      </c>
      <c r="M1991" t="s">
        <v>30</v>
      </c>
      <c r="N1991" t="s">
        <v>31</v>
      </c>
      <c r="Q1991" t="s">
        <v>5326</v>
      </c>
      <c r="R1991" t="s">
        <v>5326</v>
      </c>
    </row>
    <row r="1992" spans="1:18" x14ac:dyDescent="0.3">
      <c r="A1992" s="2" t="str">
        <f>HYPERLINK(B1992,"Oppna PDF")</f>
        <v>Oppna PDF</v>
      </c>
      <c r="B1992" t="s">
        <v>5331</v>
      </c>
      <c r="C1992" t="s">
        <v>5334</v>
      </c>
      <c r="D1992" t="s">
        <v>5323</v>
      </c>
      <c r="E1992" t="s">
        <v>5333</v>
      </c>
      <c r="H1992" t="s">
        <v>61</v>
      </c>
      <c r="I1992" t="s">
        <v>5325</v>
      </c>
      <c r="J1992" t="s">
        <v>38</v>
      </c>
      <c r="K1992" t="s">
        <v>39</v>
      </c>
      <c r="L1992" t="s">
        <v>29</v>
      </c>
      <c r="M1992" t="s">
        <v>30</v>
      </c>
      <c r="N1992" t="s">
        <v>31</v>
      </c>
      <c r="Q1992" t="s">
        <v>5335</v>
      </c>
      <c r="R1992" t="s">
        <v>5336</v>
      </c>
    </row>
    <row r="1993" spans="1:18" x14ac:dyDescent="0.3">
      <c r="A1993" s="2" t="str">
        <f>HYPERLINK(B1993,"Oppna PDF")</f>
        <v>Oppna PDF</v>
      </c>
      <c r="B1993" t="s">
        <v>5331</v>
      </c>
      <c r="C1993" t="s">
        <v>5337</v>
      </c>
      <c r="D1993" t="s">
        <v>5323</v>
      </c>
      <c r="E1993" t="s">
        <v>5333</v>
      </c>
      <c r="H1993" t="s">
        <v>61</v>
      </c>
      <c r="I1993" t="s">
        <v>5325</v>
      </c>
      <c r="J1993" t="s">
        <v>27</v>
      </c>
      <c r="K1993" t="s">
        <v>28</v>
      </c>
      <c r="L1993" t="s">
        <v>300</v>
      </c>
      <c r="M1993" t="s">
        <v>30</v>
      </c>
      <c r="N1993" t="s">
        <v>31</v>
      </c>
      <c r="Q1993" t="s">
        <v>5338</v>
      </c>
      <c r="R1993" t="s">
        <v>5338</v>
      </c>
    </row>
    <row r="1994" spans="1:18" x14ac:dyDescent="0.3">
      <c r="A1994" s="2" t="str">
        <f>HYPERLINK(B1994,"Oppna PDF")</f>
        <v>Oppna PDF</v>
      </c>
      <c r="B1994" t="s">
        <v>5339</v>
      </c>
      <c r="C1994" t="s">
        <v>5340</v>
      </c>
      <c r="D1994" t="s">
        <v>5323</v>
      </c>
      <c r="E1994" t="s">
        <v>5341</v>
      </c>
      <c r="H1994" t="s">
        <v>61</v>
      </c>
      <c r="I1994" t="s">
        <v>5325</v>
      </c>
      <c r="J1994" t="s">
        <v>38</v>
      </c>
      <c r="K1994" t="s">
        <v>39</v>
      </c>
      <c r="L1994" t="s">
        <v>29</v>
      </c>
      <c r="M1994" t="s">
        <v>30</v>
      </c>
      <c r="N1994" t="s">
        <v>31</v>
      </c>
      <c r="Q1994" t="s">
        <v>5326</v>
      </c>
      <c r="R1994" t="s">
        <v>5326</v>
      </c>
    </row>
    <row r="1995" spans="1:18" x14ac:dyDescent="0.3">
      <c r="A1995" s="2" t="str">
        <f>HYPERLINK(B1995,"Oppna PDF")</f>
        <v>Oppna PDF</v>
      </c>
      <c r="B1995" t="s">
        <v>5339</v>
      </c>
      <c r="C1995" t="s">
        <v>5342</v>
      </c>
      <c r="D1995" t="s">
        <v>5323</v>
      </c>
      <c r="E1995" t="s">
        <v>5341</v>
      </c>
      <c r="H1995" t="s">
        <v>61</v>
      </c>
      <c r="I1995" t="s">
        <v>5325</v>
      </c>
      <c r="J1995" t="s">
        <v>27</v>
      </c>
      <c r="K1995" t="s">
        <v>28</v>
      </c>
      <c r="L1995" t="s">
        <v>300</v>
      </c>
      <c r="M1995" t="s">
        <v>30</v>
      </c>
      <c r="N1995" t="s">
        <v>31</v>
      </c>
      <c r="Q1995" t="s">
        <v>5343</v>
      </c>
      <c r="R1995" t="s">
        <v>5343</v>
      </c>
    </row>
    <row r="1996" spans="1:18" x14ac:dyDescent="0.3">
      <c r="A1996" s="2" t="str">
        <f>HYPERLINK(B1996,"Oppna PDF")</f>
        <v>Oppna PDF</v>
      </c>
      <c r="B1996" t="s">
        <v>5339</v>
      </c>
      <c r="C1996" t="s">
        <v>5344</v>
      </c>
      <c r="D1996" t="s">
        <v>5323</v>
      </c>
      <c r="E1996" t="s">
        <v>5341</v>
      </c>
      <c r="H1996" t="s">
        <v>61</v>
      </c>
      <c r="I1996" t="s">
        <v>5325</v>
      </c>
      <c r="J1996" t="s">
        <v>87</v>
      </c>
      <c r="K1996" t="s">
        <v>88</v>
      </c>
      <c r="L1996" t="s">
        <v>29</v>
      </c>
      <c r="M1996" t="s">
        <v>30</v>
      </c>
      <c r="N1996" t="s">
        <v>31</v>
      </c>
      <c r="Q1996" t="s">
        <v>5330</v>
      </c>
      <c r="R1996" t="s">
        <v>5330</v>
      </c>
    </row>
    <row r="1997" spans="1:18" x14ac:dyDescent="0.3">
      <c r="A1997" s="2" t="str">
        <f>HYPERLINK(B1997,"Oppna PDF")</f>
        <v>Oppna PDF</v>
      </c>
      <c r="B1997" t="s">
        <v>5345</v>
      </c>
      <c r="C1997" t="s">
        <v>5346</v>
      </c>
      <c r="D1997" t="s">
        <v>5323</v>
      </c>
      <c r="E1997" t="s">
        <v>5347</v>
      </c>
      <c r="H1997" t="s">
        <v>61</v>
      </c>
      <c r="I1997" t="s">
        <v>5325</v>
      </c>
      <c r="J1997" t="s">
        <v>38</v>
      </c>
      <c r="K1997" t="s">
        <v>39</v>
      </c>
      <c r="L1997" t="s">
        <v>29</v>
      </c>
      <c r="M1997" t="s">
        <v>30</v>
      </c>
      <c r="N1997" t="s">
        <v>31</v>
      </c>
      <c r="Q1997" t="s">
        <v>5326</v>
      </c>
      <c r="R1997" t="s">
        <v>5326</v>
      </c>
    </row>
    <row r="1998" spans="1:18" x14ac:dyDescent="0.3">
      <c r="A1998" s="2" t="str">
        <f>HYPERLINK(B1998,"Oppna PDF")</f>
        <v>Oppna PDF</v>
      </c>
      <c r="B1998" t="s">
        <v>5345</v>
      </c>
      <c r="C1998" t="s">
        <v>5348</v>
      </c>
      <c r="D1998" t="s">
        <v>5323</v>
      </c>
      <c r="E1998" t="s">
        <v>5347</v>
      </c>
      <c r="H1998" t="s">
        <v>61</v>
      </c>
      <c r="I1998" t="s">
        <v>5325</v>
      </c>
      <c r="J1998" t="s">
        <v>87</v>
      </c>
      <c r="K1998" t="s">
        <v>88</v>
      </c>
      <c r="L1998" t="s">
        <v>29</v>
      </c>
      <c r="M1998" t="s">
        <v>30</v>
      </c>
      <c r="N1998" t="s">
        <v>31</v>
      </c>
      <c r="Q1998" t="s">
        <v>5330</v>
      </c>
      <c r="R1998" t="s">
        <v>5330</v>
      </c>
    </row>
    <row r="1999" spans="1:18" x14ac:dyDescent="0.3">
      <c r="A1999" s="2" t="str">
        <f>HYPERLINK(B1999,"Oppna PDF")</f>
        <v>Oppna PDF</v>
      </c>
      <c r="B1999" t="s">
        <v>5345</v>
      </c>
      <c r="C1999" t="s">
        <v>5349</v>
      </c>
      <c r="D1999" t="s">
        <v>5323</v>
      </c>
      <c r="E1999" t="s">
        <v>5347</v>
      </c>
      <c r="H1999" t="s">
        <v>61</v>
      </c>
      <c r="I1999" t="s">
        <v>5325</v>
      </c>
      <c r="J1999" t="s">
        <v>34</v>
      </c>
      <c r="K1999" t="s">
        <v>35</v>
      </c>
      <c r="L1999" t="s">
        <v>29</v>
      </c>
      <c r="M1999" t="s">
        <v>30</v>
      </c>
      <c r="N1999" t="s">
        <v>31</v>
      </c>
      <c r="Q1999" t="s">
        <v>5350</v>
      </c>
      <c r="R1999" t="s">
        <v>5350</v>
      </c>
    </row>
    <row r="2000" spans="1:18" x14ac:dyDescent="0.3">
      <c r="A2000" s="2" t="str">
        <f>HYPERLINK(B2000,"Oppna PDF")</f>
        <v>Oppna PDF</v>
      </c>
      <c r="B2000" t="s">
        <v>5351</v>
      </c>
      <c r="C2000" t="s">
        <v>5352</v>
      </c>
      <c r="D2000" t="s">
        <v>5323</v>
      </c>
      <c r="E2000" t="s">
        <v>5353</v>
      </c>
      <c r="H2000" t="s">
        <v>61</v>
      </c>
      <c r="I2000" t="s">
        <v>5325</v>
      </c>
      <c r="J2000" t="s">
        <v>38</v>
      </c>
      <c r="K2000" t="s">
        <v>39</v>
      </c>
      <c r="L2000" t="s">
        <v>29</v>
      </c>
      <c r="M2000" t="s">
        <v>30</v>
      </c>
      <c r="N2000" t="s">
        <v>31</v>
      </c>
      <c r="Q2000" t="s">
        <v>5326</v>
      </c>
      <c r="R2000" t="s">
        <v>5326</v>
      </c>
    </row>
    <row r="2001" spans="1:18" x14ac:dyDescent="0.3">
      <c r="A2001" s="2" t="str">
        <f>HYPERLINK(B2001,"Oppna PDF")</f>
        <v>Oppna PDF</v>
      </c>
      <c r="B2001" t="s">
        <v>5351</v>
      </c>
      <c r="C2001" t="s">
        <v>5354</v>
      </c>
      <c r="D2001" t="s">
        <v>5323</v>
      </c>
      <c r="E2001" t="s">
        <v>5353</v>
      </c>
      <c r="H2001" t="s">
        <v>61</v>
      </c>
      <c r="I2001" t="s">
        <v>5325</v>
      </c>
      <c r="J2001" t="s">
        <v>91</v>
      </c>
      <c r="K2001" t="s">
        <v>92</v>
      </c>
      <c r="L2001" t="s">
        <v>300</v>
      </c>
      <c r="M2001" t="s">
        <v>30</v>
      </c>
      <c r="N2001" t="s">
        <v>31</v>
      </c>
      <c r="Q2001" t="s">
        <v>4708</v>
      </c>
      <c r="R2001" t="s">
        <v>4708</v>
      </c>
    </row>
    <row r="2002" spans="1:18" x14ac:dyDescent="0.3">
      <c r="A2002" s="2" t="str">
        <f>HYPERLINK(B2002,"Oppna PDF")</f>
        <v>Oppna PDF</v>
      </c>
      <c r="B2002" t="s">
        <v>5351</v>
      </c>
      <c r="C2002" t="s">
        <v>5355</v>
      </c>
      <c r="D2002" t="s">
        <v>5323</v>
      </c>
      <c r="E2002" t="s">
        <v>5353</v>
      </c>
      <c r="H2002" t="s">
        <v>61</v>
      </c>
      <c r="I2002" t="s">
        <v>5325</v>
      </c>
      <c r="J2002" t="s">
        <v>87</v>
      </c>
      <c r="K2002" t="s">
        <v>88</v>
      </c>
      <c r="L2002" t="s">
        <v>29</v>
      </c>
      <c r="M2002" t="s">
        <v>30</v>
      </c>
      <c r="N2002" t="s">
        <v>31</v>
      </c>
      <c r="Q2002" t="s">
        <v>5330</v>
      </c>
      <c r="R2002" t="s">
        <v>5330</v>
      </c>
    </row>
    <row r="2003" spans="1:18" x14ac:dyDescent="0.3">
      <c r="A2003" s="2" t="str">
        <f>HYPERLINK(B2003,"Oppna PDF")</f>
        <v>Oppna PDF</v>
      </c>
      <c r="B2003" t="s">
        <v>5356</v>
      </c>
      <c r="C2003" t="s">
        <v>5357</v>
      </c>
      <c r="D2003" t="s">
        <v>5323</v>
      </c>
      <c r="E2003" t="s">
        <v>5358</v>
      </c>
      <c r="H2003" t="s">
        <v>61</v>
      </c>
      <c r="I2003" t="s">
        <v>5325</v>
      </c>
      <c r="J2003" t="s">
        <v>38</v>
      </c>
      <c r="K2003" t="s">
        <v>39</v>
      </c>
      <c r="L2003" t="s">
        <v>29</v>
      </c>
      <c r="M2003" t="s">
        <v>30</v>
      </c>
      <c r="N2003" t="s">
        <v>31</v>
      </c>
      <c r="Q2003" t="s">
        <v>5326</v>
      </c>
      <c r="R2003" t="s">
        <v>5326</v>
      </c>
    </row>
    <row r="2004" spans="1:18" x14ac:dyDescent="0.3">
      <c r="A2004" s="2" t="str">
        <f>HYPERLINK(B2004,"Oppna PDF")</f>
        <v>Oppna PDF</v>
      </c>
      <c r="B2004" t="s">
        <v>5356</v>
      </c>
      <c r="C2004" t="s">
        <v>5359</v>
      </c>
      <c r="D2004" t="s">
        <v>5323</v>
      </c>
      <c r="E2004" t="s">
        <v>5358</v>
      </c>
      <c r="H2004" t="s">
        <v>61</v>
      </c>
      <c r="I2004" t="s">
        <v>5325</v>
      </c>
      <c r="J2004" t="s">
        <v>27</v>
      </c>
      <c r="K2004" t="s">
        <v>28</v>
      </c>
      <c r="L2004" t="s">
        <v>300</v>
      </c>
      <c r="M2004" t="s">
        <v>30</v>
      </c>
      <c r="N2004" t="s">
        <v>31</v>
      </c>
      <c r="Q2004" t="s">
        <v>5360</v>
      </c>
      <c r="R2004" t="s">
        <v>5360</v>
      </c>
    </row>
    <row r="2005" spans="1:18" x14ac:dyDescent="0.3">
      <c r="A2005" s="2" t="str">
        <f>HYPERLINK(B2005,"Oppna PDF")</f>
        <v>Oppna PDF</v>
      </c>
      <c r="B2005" t="s">
        <v>5356</v>
      </c>
      <c r="C2005" t="s">
        <v>5361</v>
      </c>
      <c r="D2005" t="s">
        <v>5323</v>
      </c>
      <c r="E2005" t="s">
        <v>5358</v>
      </c>
      <c r="H2005" t="s">
        <v>61</v>
      </c>
      <c r="I2005" t="s">
        <v>5325</v>
      </c>
      <c r="J2005" t="s">
        <v>87</v>
      </c>
      <c r="K2005" t="s">
        <v>88</v>
      </c>
      <c r="L2005" t="s">
        <v>29</v>
      </c>
      <c r="M2005" t="s">
        <v>30</v>
      </c>
      <c r="N2005" t="s">
        <v>31</v>
      </c>
      <c r="Q2005" t="s">
        <v>5330</v>
      </c>
      <c r="R2005" t="s">
        <v>5330</v>
      </c>
    </row>
    <row r="2006" spans="1:18" x14ac:dyDescent="0.3">
      <c r="A2006" s="2" t="str">
        <f>HYPERLINK(B2006,"Oppna PDF")</f>
        <v>Oppna PDF</v>
      </c>
      <c r="B2006" t="s">
        <v>5362</v>
      </c>
      <c r="C2006" t="s">
        <v>5363</v>
      </c>
      <c r="D2006" t="s">
        <v>5364</v>
      </c>
      <c r="E2006" t="s">
        <v>5365</v>
      </c>
      <c r="H2006" t="s">
        <v>61</v>
      </c>
      <c r="I2006" t="s">
        <v>5366</v>
      </c>
      <c r="J2006" t="s">
        <v>38</v>
      </c>
      <c r="K2006" t="s">
        <v>39</v>
      </c>
      <c r="L2006" t="s">
        <v>29</v>
      </c>
      <c r="M2006" t="s">
        <v>30</v>
      </c>
      <c r="N2006" t="s">
        <v>31</v>
      </c>
      <c r="Q2006" t="s">
        <v>5326</v>
      </c>
      <c r="R2006" t="s">
        <v>5326</v>
      </c>
    </row>
    <row r="2007" spans="1:18" x14ac:dyDescent="0.3">
      <c r="A2007" s="2" t="str">
        <f>HYPERLINK(B2007,"Oppna PDF")</f>
        <v>Oppna PDF</v>
      </c>
      <c r="B2007" t="s">
        <v>5362</v>
      </c>
      <c r="C2007" t="s">
        <v>5367</v>
      </c>
      <c r="D2007" t="s">
        <v>5364</v>
      </c>
      <c r="E2007" t="s">
        <v>5365</v>
      </c>
      <c r="H2007" t="s">
        <v>61</v>
      </c>
      <c r="I2007" t="s">
        <v>5366</v>
      </c>
      <c r="J2007" t="s">
        <v>87</v>
      </c>
      <c r="K2007" t="s">
        <v>88</v>
      </c>
      <c r="L2007" t="s">
        <v>29</v>
      </c>
      <c r="M2007" t="s">
        <v>30</v>
      </c>
      <c r="N2007" t="s">
        <v>31</v>
      </c>
      <c r="Q2007" t="s">
        <v>5330</v>
      </c>
      <c r="R2007" t="s">
        <v>5330</v>
      </c>
    </row>
    <row r="2008" spans="1:18" x14ac:dyDescent="0.3">
      <c r="A2008" s="2" t="str">
        <f>HYPERLINK(B2008,"Oppna PDF")</f>
        <v>Oppna PDF</v>
      </c>
      <c r="B2008" t="s">
        <v>5362</v>
      </c>
      <c r="C2008" t="s">
        <v>5368</v>
      </c>
      <c r="D2008" t="s">
        <v>5364</v>
      </c>
      <c r="E2008" t="s">
        <v>5365</v>
      </c>
      <c r="H2008" t="s">
        <v>61</v>
      </c>
      <c r="I2008" t="s">
        <v>5366</v>
      </c>
      <c r="J2008" t="s">
        <v>1293</v>
      </c>
      <c r="K2008" t="s">
        <v>1294</v>
      </c>
      <c r="L2008" t="s">
        <v>29</v>
      </c>
      <c r="M2008" t="s">
        <v>30</v>
      </c>
      <c r="N2008" t="s">
        <v>31</v>
      </c>
      <c r="Q2008" t="s">
        <v>5369</v>
      </c>
      <c r="R2008" t="s">
        <v>5369</v>
      </c>
    </row>
    <row r="2009" spans="1:18" x14ac:dyDescent="0.3">
      <c r="A2009" s="2" t="str">
        <f>HYPERLINK(B2009,"Oppna PDF")</f>
        <v>Oppna PDF</v>
      </c>
      <c r="B2009" t="s">
        <v>5370</v>
      </c>
      <c r="C2009" t="s">
        <v>5371</v>
      </c>
      <c r="D2009" t="s">
        <v>5364</v>
      </c>
      <c r="E2009" t="s">
        <v>5372</v>
      </c>
      <c r="H2009" t="s">
        <v>61</v>
      </c>
      <c r="I2009" t="s">
        <v>5366</v>
      </c>
      <c r="J2009" t="s">
        <v>38</v>
      </c>
      <c r="K2009" t="s">
        <v>39</v>
      </c>
      <c r="L2009" t="s">
        <v>29</v>
      </c>
      <c r="M2009" t="s">
        <v>30</v>
      </c>
      <c r="N2009" t="s">
        <v>31</v>
      </c>
      <c r="Q2009" t="s">
        <v>5326</v>
      </c>
      <c r="R2009" t="s">
        <v>5326</v>
      </c>
    </row>
    <row r="2010" spans="1:18" x14ac:dyDescent="0.3">
      <c r="A2010" s="2" t="str">
        <f>HYPERLINK(B2010,"Oppna PDF")</f>
        <v>Oppna PDF</v>
      </c>
      <c r="B2010" t="s">
        <v>5370</v>
      </c>
      <c r="C2010" t="s">
        <v>5373</v>
      </c>
      <c r="D2010" t="s">
        <v>5364</v>
      </c>
      <c r="E2010" t="s">
        <v>5372</v>
      </c>
      <c r="H2010" t="s">
        <v>61</v>
      </c>
      <c r="I2010" t="s">
        <v>5366</v>
      </c>
      <c r="J2010" t="s">
        <v>91</v>
      </c>
      <c r="K2010" t="s">
        <v>92</v>
      </c>
      <c r="L2010" t="s">
        <v>300</v>
      </c>
      <c r="M2010" t="s">
        <v>30</v>
      </c>
      <c r="N2010" t="s">
        <v>31</v>
      </c>
      <c r="Q2010" t="s">
        <v>4708</v>
      </c>
      <c r="R2010" t="s">
        <v>4708</v>
      </c>
    </row>
    <row r="2011" spans="1:18" x14ac:dyDescent="0.3">
      <c r="A2011" s="2" t="str">
        <f>HYPERLINK(B2011,"Oppna PDF")</f>
        <v>Oppna PDF</v>
      </c>
      <c r="B2011" t="s">
        <v>5370</v>
      </c>
      <c r="C2011" t="s">
        <v>5374</v>
      </c>
      <c r="D2011" t="s">
        <v>5364</v>
      </c>
      <c r="E2011" t="s">
        <v>5372</v>
      </c>
      <c r="H2011" t="s">
        <v>61</v>
      </c>
      <c r="I2011" t="s">
        <v>5366</v>
      </c>
      <c r="J2011" t="s">
        <v>87</v>
      </c>
      <c r="K2011" t="s">
        <v>88</v>
      </c>
      <c r="L2011" t="s">
        <v>29</v>
      </c>
      <c r="M2011" t="s">
        <v>30</v>
      </c>
      <c r="N2011" t="s">
        <v>31</v>
      </c>
      <c r="Q2011" t="s">
        <v>5330</v>
      </c>
      <c r="R2011" t="s">
        <v>5330</v>
      </c>
    </row>
    <row r="2012" spans="1:18" x14ac:dyDescent="0.3">
      <c r="A2012" s="2" t="str">
        <f>HYPERLINK(B2012,"Oppna PDF")</f>
        <v>Oppna PDF</v>
      </c>
      <c r="B2012" t="s">
        <v>5375</v>
      </c>
      <c r="C2012" t="s">
        <v>5376</v>
      </c>
      <c r="D2012" t="s">
        <v>5364</v>
      </c>
      <c r="E2012" t="s">
        <v>5377</v>
      </c>
      <c r="H2012" t="s">
        <v>61</v>
      </c>
      <c r="I2012" t="s">
        <v>5366</v>
      </c>
      <c r="J2012" t="s">
        <v>38</v>
      </c>
      <c r="K2012" t="s">
        <v>39</v>
      </c>
      <c r="L2012" t="s">
        <v>29</v>
      </c>
      <c r="M2012" t="s">
        <v>30</v>
      </c>
      <c r="N2012" t="s">
        <v>31</v>
      </c>
      <c r="Q2012" t="s">
        <v>5326</v>
      </c>
      <c r="R2012" t="s">
        <v>5326</v>
      </c>
    </row>
    <row r="2013" spans="1:18" x14ac:dyDescent="0.3">
      <c r="A2013" s="2" t="str">
        <f>HYPERLINK(B2013,"Oppna PDF")</f>
        <v>Oppna PDF</v>
      </c>
      <c r="B2013" t="s">
        <v>5375</v>
      </c>
      <c r="C2013" t="s">
        <v>5378</v>
      </c>
      <c r="D2013" t="s">
        <v>5364</v>
      </c>
      <c r="E2013" t="s">
        <v>5377</v>
      </c>
      <c r="H2013" t="s">
        <v>61</v>
      </c>
      <c r="I2013" t="s">
        <v>5366</v>
      </c>
      <c r="J2013" t="s">
        <v>91</v>
      </c>
      <c r="K2013" t="s">
        <v>92</v>
      </c>
      <c r="L2013" t="s">
        <v>29</v>
      </c>
      <c r="M2013" t="s">
        <v>30</v>
      </c>
      <c r="N2013" t="s">
        <v>31</v>
      </c>
      <c r="Q2013" t="s">
        <v>5379</v>
      </c>
      <c r="R2013" t="s">
        <v>5380</v>
      </c>
    </row>
    <row r="2014" spans="1:18" x14ac:dyDescent="0.3">
      <c r="A2014" s="2" t="str">
        <f>HYPERLINK(B2014,"Oppna PDF")</f>
        <v>Oppna PDF</v>
      </c>
      <c r="B2014" t="s">
        <v>5375</v>
      </c>
      <c r="C2014" t="s">
        <v>5381</v>
      </c>
      <c r="D2014" t="s">
        <v>5364</v>
      </c>
      <c r="E2014" t="s">
        <v>5377</v>
      </c>
      <c r="H2014" t="s">
        <v>61</v>
      </c>
      <c r="I2014" t="s">
        <v>5366</v>
      </c>
      <c r="J2014" t="s">
        <v>91</v>
      </c>
      <c r="K2014" t="s">
        <v>92</v>
      </c>
      <c r="L2014" t="s">
        <v>300</v>
      </c>
      <c r="M2014" t="s">
        <v>30</v>
      </c>
      <c r="N2014" t="s">
        <v>31</v>
      </c>
      <c r="Q2014" t="s">
        <v>4708</v>
      </c>
      <c r="R2014" t="s">
        <v>4708</v>
      </c>
    </row>
    <row r="2015" spans="1:18" x14ac:dyDescent="0.3">
      <c r="A2015" s="2" t="str">
        <f>HYPERLINK(B2015,"Oppna PDF")</f>
        <v>Oppna PDF</v>
      </c>
      <c r="B2015" t="s">
        <v>5382</v>
      </c>
      <c r="C2015" t="s">
        <v>5383</v>
      </c>
      <c r="D2015" t="s">
        <v>5364</v>
      </c>
      <c r="E2015" t="s">
        <v>5384</v>
      </c>
      <c r="H2015" t="s">
        <v>61</v>
      </c>
      <c r="I2015" t="s">
        <v>5366</v>
      </c>
      <c r="J2015" t="s">
        <v>38</v>
      </c>
      <c r="K2015" t="s">
        <v>39</v>
      </c>
      <c r="L2015" t="s">
        <v>29</v>
      </c>
      <c r="M2015" t="s">
        <v>30</v>
      </c>
      <c r="N2015" t="s">
        <v>31</v>
      </c>
      <c r="Q2015" t="s">
        <v>5326</v>
      </c>
      <c r="R2015" t="s">
        <v>5326</v>
      </c>
    </row>
    <row r="2016" spans="1:18" x14ac:dyDescent="0.3">
      <c r="A2016" s="2" t="str">
        <f>HYPERLINK(B2016,"Oppna PDF")</f>
        <v>Oppna PDF</v>
      </c>
      <c r="B2016" t="s">
        <v>5382</v>
      </c>
      <c r="C2016" t="s">
        <v>5385</v>
      </c>
      <c r="D2016" t="s">
        <v>5364</v>
      </c>
      <c r="E2016" t="s">
        <v>5384</v>
      </c>
      <c r="H2016" t="s">
        <v>61</v>
      </c>
      <c r="I2016" t="s">
        <v>5366</v>
      </c>
      <c r="J2016" t="s">
        <v>91</v>
      </c>
      <c r="K2016" t="s">
        <v>92</v>
      </c>
      <c r="L2016" t="s">
        <v>29</v>
      </c>
      <c r="M2016" t="s">
        <v>30</v>
      </c>
      <c r="N2016" t="s">
        <v>31</v>
      </c>
      <c r="Q2016" t="s">
        <v>5386</v>
      </c>
      <c r="R2016" t="s">
        <v>5387</v>
      </c>
    </row>
    <row r="2017" spans="1:18" x14ac:dyDescent="0.3">
      <c r="A2017" s="2" t="str">
        <f>HYPERLINK(B2017,"Oppna PDF")</f>
        <v>Oppna PDF</v>
      </c>
      <c r="B2017" t="s">
        <v>5382</v>
      </c>
      <c r="C2017" t="s">
        <v>5388</v>
      </c>
      <c r="D2017" t="s">
        <v>5364</v>
      </c>
      <c r="E2017" t="s">
        <v>5384</v>
      </c>
      <c r="H2017" t="s">
        <v>61</v>
      </c>
      <c r="I2017" t="s">
        <v>5366</v>
      </c>
      <c r="J2017" t="s">
        <v>87</v>
      </c>
      <c r="K2017" t="s">
        <v>88</v>
      </c>
      <c r="L2017" t="s">
        <v>29</v>
      </c>
      <c r="M2017" t="s">
        <v>30</v>
      </c>
      <c r="N2017" t="s">
        <v>31</v>
      </c>
      <c r="Q2017" t="s">
        <v>5330</v>
      </c>
      <c r="R2017" t="s">
        <v>5330</v>
      </c>
    </row>
    <row r="2018" spans="1:18" x14ac:dyDescent="0.3">
      <c r="A2018" s="2" t="str">
        <f>HYPERLINK(B2018,"Oppna PDF")</f>
        <v>Oppna PDF</v>
      </c>
      <c r="B2018" t="s">
        <v>5389</v>
      </c>
      <c r="C2018" t="s">
        <v>5390</v>
      </c>
      <c r="D2018" t="s">
        <v>5364</v>
      </c>
      <c r="E2018" t="s">
        <v>5391</v>
      </c>
      <c r="H2018" t="s">
        <v>61</v>
      </c>
      <c r="I2018" t="s">
        <v>5366</v>
      </c>
      <c r="J2018" t="s">
        <v>38</v>
      </c>
      <c r="K2018" t="s">
        <v>39</v>
      </c>
      <c r="L2018" t="s">
        <v>29</v>
      </c>
      <c r="M2018" t="s">
        <v>30</v>
      </c>
      <c r="N2018" t="s">
        <v>31</v>
      </c>
      <c r="Q2018" t="s">
        <v>5326</v>
      </c>
      <c r="R2018" t="s">
        <v>5326</v>
      </c>
    </row>
    <row r="2019" spans="1:18" x14ac:dyDescent="0.3">
      <c r="A2019" s="2" t="str">
        <f>HYPERLINK(B2019,"Oppna PDF")</f>
        <v>Oppna PDF</v>
      </c>
      <c r="B2019" t="s">
        <v>5389</v>
      </c>
      <c r="C2019" t="s">
        <v>5392</v>
      </c>
      <c r="D2019" t="s">
        <v>5364</v>
      </c>
      <c r="E2019" t="s">
        <v>5391</v>
      </c>
      <c r="H2019" t="s">
        <v>61</v>
      </c>
      <c r="I2019" t="s">
        <v>5366</v>
      </c>
      <c r="J2019" t="s">
        <v>34</v>
      </c>
      <c r="K2019" t="s">
        <v>35</v>
      </c>
      <c r="L2019" t="s">
        <v>29</v>
      </c>
      <c r="M2019" t="s">
        <v>30</v>
      </c>
      <c r="N2019" t="s">
        <v>31</v>
      </c>
      <c r="Q2019" t="s">
        <v>5393</v>
      </c>
      <c r="R2019" t="s">
        <v>5393</v>
      </c>
    </row>
    <row r="2020" spans="1:18" x14ac:dyDescent="0.3">
      <c r="A2020" s="2" t="str">
        <f>HYPERLINK(B2020,"Oppna PDF")</f>
        <v>Oppna PDF</v>
      </c>
      <c r="B2020" t="s">
        <v>5389</v>
      </c>
      <c r="C2020" t="s">
        <v>5394</v>
      </c>
      <c r="D2020" t="s">
        <v>5364</v>
      </c>
      <c r="E2020" t="s">
        <v>5391</v>
      </c>
      <c r="H2020" t="s">
        <v>61</v>
      </c>
      <c r="I2020" t="s">
        <v>5366</v>
      </c>
      <c r="J2020" t="s">
        <v>91</v>
      </c>
      <c r="K2020" t="s">
        <v>92</v>
      </c>
      <c r="L2020" t="s">
        <v>29</v>
      </c>
      <c r="M2020" t="s">
        <v>30</v>
      </c>
      <c r="N2020" t="s">
        <v>31</v>
      </c>
      <c r="Q2020" t="s">
        <v>5386</v>
      </c>
      <c r="R2020" t="s">
        <v>5387</v>
      </c>
    </row>
    <row r="2021" spans="1:18" x14ac:dyDescent="0.3">
      <c r="A2021" s="2" t="str">
        <f>HYPERLINK(B2021,"Oppna PDF")</f>
        <v>Oppna PDF</v>
      </c>
      <c r="B2021" t="s">
        <v>5395</v>
      </c>
      <c r="C2021" t="s">
        <v>5396</v>
      </c>
      <c r="D2021" t="s">
        <v>5397</v>
      </c>
      <c r="E2021" t="s">
        <v>5398</v>
      </c>
      <c r="H2021" t="s">
        <v>61</v>
      </c>
      <c r="I2021" t="s">
        <v>5399</v>
      </c>
      <c r="J2021" t="s">
        <v>38</v>
      </c>
      <c r="K2021" t="s">
        <v>39</v>
      </c>
      <c r="L2021" t="s">
        <v>29</v>
      </c>
      <c r="M2021" t="s">
        <v>30</v>
      </c>
      <c r="N2021" t="s">
        <v>31</v>
      </c>
      <c r="Q2021" t="s">
        <v>5400</v>
      </c>
      <c r="R2021" t="s">
        <v>5400</v>
      </c>
    </row>
    <row r="2022" spans="1:18" x14ac:dyDescent="0.3">
      <c r="A2022" s="2" t="str">
        <f>HYPERLINK(B2022,"Oppna PDF")</f>
        <v>Oppna PDF</v>
      </c>
      <c r="B2022" t="s">
        <v>5395</v>
      </c>
      <c r="C2022" t="s">
        <v>5401</v>
      </c>
      <c r="D2022" t="s">
        <v>5397</v>
      </c>
      <c r="E2022" t="s">
        <v>5398</v>
      </c>
      <c r="H2022" t="s">
        <v>61</v>
      </c>
      <c r="I2022" t="s">
        <v>5399</v>
      </c>
      <c r="J2022" t="s">
        <v>27</v>
      </c>
      <c r="K2022" t="s">
        <v>28</v>
      </c>
      <c r="L2022" t="s">
        <v>29</v>
      </c>
      <c r="M2022" t="s">
        <v>30</v>
      </c>
      <c r="N2022" t="s">
        <v>31</v>
      </c>
      <c r="Q2022" t="s">
        <v>5402</v>
      </c>
      <c r="R2022" t="s">
        <v>5402</v>
      </c>
    </row>
    <row r="2023" spans="1:18" x14ac:dyDescent="0.3">
      <c r="A2023" s="2" t="str">
        <f>HYPERLINK(B2023,"Oppna PDF")</f>
        <v>Oppna PDF</v>
      </c>
      <c r="B2023" t="s">
        <v>5395</v>
      </c>
      <c r="C2023" t="s">
        <v>5403</v>
      </c>
      <c r="D2023" t="s">
        <v>5397</v>
      </c>
      <c r="E2023" t="s">
        <v>5398</v>
      </c>
      <c r="H2023" t="s">
        <v>61</v>
      </c>
      <c r="I2023" t="s">
        <v>5399</v>
      </c>
      <c r="J2023" t="s">
        <v>27</v>
      </c>
      <c r="K2023" t="s">
        <v>28</v>
      </c>
      <c r="L2023" t="s">
        <v>29</v>
      </c>
      <c r="M2023" t="s">
        <v>30</v>
      </c>
      <c r="N2023" t="s">
        <v>31</v>
      </c>
      <c r="Q2023" t="s">
        <v>5404</v>
      </c>
      <c r="R2023" t="s">
        <v>5404</v>
      </c>
    </row>
    <row r="2024" spans="1:18" x14ac:dyDescent="0.3">
      <c r="A2024" s="2" t="str">
        <f>HYPERLINK(B2024,"Oppna PDF")</f>
        <v>Oppna PDF</v>
      </c>
      <c r="B2024" t="s">
        <v>5405</v>
      </c>
      <c r="C2024" t="s">
        <v>5406</v>
      </c>
      <c r="D2024" t="s">
        <v>5397</v>
      </c>
      <c r="E2024" t="s">
        <v>5407</v>
      </c>
      <c r="H2024" t="s">
        <v>61</v>
      </c>
      <c r="I2024" t="s">
        <v>5399</v>
      </c>
      <c r="J2024" t="s">
        <v>38</v>
      </c>
      <c r="K2024" t="s">
        <v>39</v>
      </c>
      <c r="L2024" t="s">
        <v>29</v>
      </c>
      <c r="M2024" t="s">
        <v>30</v>
      </c>
      <c r="N2024" t="s">
        <v>31</v>
      </c>
      <c r="Q2024" t="s">
        <v>5408</v>
      </c>
      <c r="R2024" t="s">
        <v>5408</v>
      </c>
    </row>
    <row r="2025" spans="1:18" x14ac:dyDescent="0.3">
      <c r="A2025" s="2" t="str">
        <f>HYPERLINK(B2025,"Oppna PDF")</f>
        <v>Oppna PDF</v>
      </c>
      <c r="B2025" t="s">
        <v>5405</v>
      </c>
      <c r="C2025" t="s">
        <v>5409</v>
      </c>
      <c r="D2025" t="s">
        <v>5397</v>
      </c>
      <c r="E2025" t="s">
        <v>5407</v>
      </c>
      <c r="H2025" t="s">
        <v>61</v>
      </c>
      <c r="I2025" t="s">
        <v>5399</v>
      </c>
      <c r="J2025" t="s">
        <v>38</v>
      </c>
      <c r="K2025" t="s">
        <v>39</v>
      </c>
      <c r="L2025" t="s">
        <v>29</v>
      </c>
      <c r="M2025" t="s">
        <v>30</v>
      </c>
      <c r="N2025" t="s">
        <v>31</v>
      </c>
      <c r="Q2025" t="s">
        <v>5410</v>
      </c>
      <c r="R2025" t="s">
        <v>5410</v>
      </c>
    </row>
    <row r="2026" spans="1:18" x14ac:dyDescent="0.3">
      <c r="A2026" s="2" t="str">
        <f>HYPERLINK(B2026,"Oppna PDF")</f>
        <v>Oppna PDF</v>
      </c>
      <c r="B2026" t="s">
        <v>5405</v>
      </c>
      <c r="C2026" t="s">
        <v>5411</v>
      </c>
      <c r="D2026" t="s">
        <v>5397</v>
      </c>
      <c r="E2026" t="s">
        <v>5407</v>
      </c>
      <c r="H2026" t="s">
        <v>61</v>
      </c>
      <c r="I2026" t="s">
        <v>5399</v>
      </c>
      <c r="J2026" t="s">
        <v>38</v>
      </c>
      <c r="K2026" t="s">
        <v>39</v>
      </c>
      <c r="L2026" t="s">
        <v>29</v>
      </c>
      <c r="M2026" t="s">
        <v>30</v>
      </c>
      <c r="N2026" t="s">
        <v>31</v>
      </c>
      <c r="Q2026" t="s">
        <v>5412</v>
      </c>
      <c r="R2026" t="s">
        <v>5412</v>
      </c>
    </row>
    <row r="2027" spans="1:18" x14ac:dyDescent="0.3">
      <c r="A2027" s="2" t="str">
        <f>HYPERLINK(B2027,"Oppna PDF")</f>
        <v>Oppna PDF</v>
      </c>
      <c r="B2027" t="s">
        <v>5413</v>
      </c>
      <c r="C2027" t="s">
        <v>5414</v>
      </c>
      <c r="D2027" t="s">
        <v>5397</v>
      </c>
      <c r="E2027" t="s">
        <v>5415</v>
      </c>
      <c r="H2027" t="s">
        <v>61</v>
      </c>
      <c r="I2027" t="s">
        <v>5399</v>
      </c>
      <c r="J2027" t="s">
        <v>48</v>
      </c>
      <c r="K2027" t="s">
        <v>49</v>
      </c>
      <c r="L2027" t="s">
        <v>29</v>
      </c>
      <c r="M2027" t="s">
        <v>30</v>
      </c>
      <c r="N2027" t="s">
        <v>31</v>
      </c>
      <c r="Q2027" t="s">
        <v>5416</v>
      </c>
      <c r="R2027" t="s">
        <v>5416</v>
      </c>
    </row>
    <row r="2028" spans="1:18" x14ac:dyDescent="0.3">
      <c r="A2028" s="2" t="str">
        <f>HYPERLINK(B2028,"Oppna PDF")</f>
        <v>Oppna PDF</v>
      </c>
      <c r="B2028" t="s">
        <v>5413</v>
      </c>
      <c r="C2028" t="s">
        <v>5417</v>
      </c>
      <c r="D2028" t="s">
        <v>5397</v>
      </c>
      <c r="E2028" t="s">
        <v>5415</v>
      </c>
      <c r="H2028" t="s">
        <v>61</v>
      </c>
      <c r="I2028" t="s">
        <v>5399</v>
      </c>
      <c r="J2028" t="s">
        <v>27</v>
      </c>
      <c r="K2028" t="s">
        <v>28</v>
      </c>
      <c r="L2028" t="s">
        <v>29</v>
      </c>
      <c r="M2028" t="s">
        <v>30</v>
      </c>
      <c r="N2028" t="s">
        <v>31</v>
      </c>
      <c r="Q2028" t="s">
        <v>5418</v>
      </c>
      <c r="R2028" t="s">
        <v>5418</v>
      </c>
    </row>
    <row r="2029" spans="1:18" x14ac:dyDescent="0.3">
      <c r="A2029" s="2" t="str">
        <f>HYPERLINK(B2029,"Oppna PDF")</f>
        <v>Oppna PDF</v>
      </c>
      <c r="B2029" t="s">
        <v>5413</v>
      </c>
      <c r="C2029" t="s">
        <v>5419</v>
      </c>
      <c r="D2029" t="s">
        <v>5397</v>
      </c>
      <c r="E2029" t="s">
        <v>5415</v>
      </c>
      <c r="H2029" t="s">
        <v>61</v>
      </c>
      <c r="I2029" t="s">
        <v>5399</v>
      </c>
      <c r="J2029" t="s">
        <v>48</v>
      </c>
      <c r="K2029" t="s">
        <v>49</v>
      </c>
      <c r="L2029" t="s">
        <v>29</v>
      </c>
      <c r="M2029" t="s">
        <v>30</v>
      </c>
      <c r="N2029" t="s">
        <v>31</v>
      </c>
      <c r="Q2029" t="s">
        <v>5420</v>
      </c>
      <c r="R2029" t="s">
        <v>5420</v>
      </c>
    </row>
    <row r="2030" spans="1:18" x14ac:dyDescent="0.3">
      <c r="A2030" s="2" t="str">
        <f>HYPERLINK(B2030,"Oppna PDF")</f>
        <v>Oppna PDF</v>
      </c>
      <c r="B2030" t="s">
        <v>5421</v>
      </c>
      <c r="C2030" t="s">
        <v>5422</v>
      </c>
      <c r="D2030" t="s">
        <v>5423</v>
      </c>
      <c r="E2030" t="s">
        <v>5424</v>
      </c>
      <c r="H2030" t="s">
        <v>61</v>
      </c>
      <c r="I2030" t="s">
        <v>5425</v>
      </c>
      <c r="J2030" t="s">
        <v>38</v>
      </c>
      <c r="K2030" t="s">
        <v>39</v>
      </c>
      <c r="L2030" t="s">
        <v>29</v>
      </c>
      <c r="M2030" t="s">
        <v>30</v>
      </c>
      <c r="N2030" t="s">
        <v>31</v>
      </c>
      <c r="Q2030" t="s">
        <v>5326</v>
      </c>
      <c r="R2030" t="s">
        <v>5326</v>
      </c>
    </row>
    <row r="2031" spans="1:18" x14ac:dyDescent="0.3">
      <c r="A2031" s="2" t="str">
        <f>HYPERLINK(B2031,"Oppna PDF")</f>
        <v>Oppna PDF</v>
      </c>
      <c r="B2031" t="s">
        <v>5421</v>
      </c>
      <c r="C2031" t="s">
        <v>5426</v>
      </c>
      <c r="D2031" t="s">
        <v>5423</v>
      </c>
      <c r="E2031" t="s">
        <v>5424</v>
      </c>
      <c r="H2031" t="s">
        <v>61</v>
      </c>
      <c r="I2031" t="s">
        <v>5425</v>
      </c>
      <c r="J2031" t="s">
        <v>27</v>
      </c>
      <c r="K2031" t="s">
        <v>28</v>
      </c>
      <c r="L2031" t="s">
        <v>300</v>
      </c>
      <c r="M2031" t="s">
        <v>30</v>
      </c>
      <c r="N2031" t="s">
        <v>31</v>
      </c>
      <c r="Q2031" t="s">
        <v>5427</v>
      </c>
      <c r="R2031" t="s">
        <v>5427</v>
      </c>
    </row>
    <row r="2032" spans="1:18" x14ac:dyDescent="0.3">
      <c r="A2032" s="2" t="str">
        <f>HYPERLINK(B2032,"Oppna PDF")</f>
        <v>Oppna PDF</v>
      </c>
      <c r="B2032" t="s">
        <v>5421</v>
      </c>
      <c r="C2032" t="s">
        <v>5428</v>
      </c>
      <c r="D2032" t="s">
        <v>5423</v>
      </c>
      <c r="E2032" t="s">
        <v>5424</v>
      </c>
      <c r="H2032" t="s">
        <v>61</v>
      </c>
      <c r="I2032" t="s">
        <v>5425</v>
      </c>
      <c r="J2032" t="s">
        <v>87</v>
      </c>
      <c r="K2032" t="s">
        <v>88</v>
      </c>
      <c r="L2032" t="s">
        <v>29</v>
      </c>
      <c r="M2032" t="s">
        <v>30</v>
      </c>
      <c r="N2032" t="s">
        <v>31</v>
      </c>
      <c r="Q2032" t="s">
        <v>5330</v>
      </c>
      <c r="R2032" t="s">
        <v>5330</v>
      </c>
    </row>
    <row r="2033" spans="1:18" x14ac:dyDescent="0.3">
      <c r="A2033" s="2" t="str">
        <f>HYPERLINK(B2033,"Oppna PDF")</f>
        <v>Oppna PDF</v>
      </c>
      <c r="B2033" t="s">
        <v>5429</v>
      </c>
      <c r="C2033" t="s">
        <v>5430</v>
      </c>
      <c r="D2033" t="s">
        <v>5423</v>
      </c>
      <c r="E2033" t="s">
        <v>5431</v>
      </c>
      <c r="H2033" t="s">
        <v>61</v>
      </c>
      <c r="I2033" t="s">
        <v>5425</v>
      </c>
      <c r="J2033" t="s">
        <v>38</v>
      </c>
      <c r="K2033" t="s">
        <v>39</v>
      </c>
      <c r="L2033" t="s">
        <v>29</v>
      </c>
      <c r="M2033" t="s">
        <v>30</v>
      </c>
      <c r="N2033" t="s">
        <v>31</v>
      </c>
      <c r="Q2033" t="s">
        <v>5326</v>
      </c>
      <c r="R2033" t="s">
        <v>5326</v>
      </c>
    </row>
    <row r="2034" spans="1:18" x14ac:dyDescent="0.3">
      <c r="A2034" s="2" t="str">
        <f>HYPERLINK(B2034,"Oppna PDF")</f>
        <v>Oppna PDF</v>
      </c>
      <c r="B2034" t="s">
        <v>5429</v>
      </c>
      <c r="C2034" t="s">
        <v>5432</v>
      </c>
      <c r="D2034" t="s">
        <v>5423</v>
      </c>
      <c r="E2034" t="s">
        <v>5431</v>
      </c>
      <c r="H2034" t="s">
        <v>61</v>
      </c>
      <c r="I2034" t="s">
        <v>5425</v>
      </c>
      <c r="J2034" t="s">
        <v>27</v>
      </c>
      <c r="K2034" t="s">
        <v>28</v>
      </c>
      <c r="L2034" t="s">
        <v>300</v>
      </c>
      <c r="M2034" t="s">
        <v>30</v>
      </c>
      <c r="N2034" t="s">
        <v>31</v>
      </c>
      <c r="Q2034" t="s">
        <v>5433</v>
      </c>
      <c r="R2034" t="s">
        <v>5433</v>
      </c>
    </row>
    <row r="2035" spans="1:18" x14ac:dyDescent="0.3">
      <c r="A2035" s="2" t="str">
        <f>HYPERLINK(B2035,"Oppna PDF")</f>
        <v>Oppna PDF</v>
      </c>
      <c r="B2035" t="s">
        <v>5429</v>
      </c>
      <c r="C2035" t="s">
        <v>5434</v>
      </c>
      <c r="D2035" t="s">
        <v>5423</v>
      </c>
      <c r="E2035" t="s">
        <v>5431</v>
      </c>
      <c r="H2035" t="s">
        <v>61</v>
      </c>
      <c r="I2035" t="s">
        <v>5425</v>
      </c>
      <c r="J2035" t="s">
        <v>87</v>
      </c>
      <c r="K2035" t="s">
        <v>88</v>
      </c>
      <c r="L2035" t="s">
        <v>29</v>
      </c>
      <c r="M2035" t="s">
        <v>30</v>
      </c>
      <c r="N2035" t="s">
        <v>31</v>
      </c>
      <c r="Q2035" t="s">
        <v>5330</v>
      </c>
      <c r="R2035" t="s">
        <v>5330</v>
      </c>
    </row>
    <row r="2036" spans="1:18" x14ac:dyDescent="0.3">
      <c r="A2036" s="2" t="str">
        <f>HYPERLINK(B2036,"Oppna PDF")</f>
        <v>Oppna PDF</v>
      </c>
      <c r="B2036" t="s">
        <v>5435</v>
      </c>
      <c r="C2036" t="s">
        <v>5436</v>
      </c>
      <c r="D2036" t="s">
        <v>5423</v>
      </c>
      <c r="E2036" t="s">
        <v>5437</v>
      </c>
      <c r="H2036" t="s">
        <v>61</v>
      </c>
      <c r="I2036" t="s">
        <v>5425</v>
      </c>
      <c r="J2036" t="s">
        <v>38</v>
      </c>
      <c r="K2036" t="s">
        <v>39</v>
      </c>
      <c r="L2036" t="s">
        <v>29</v>
      </c>
      <c r="M2036" t="s">
        <v>30</v>
      </c>
      <c r="N2036" t="s">
        <v>31</v>
      </c>
      <c r="Q2036" t="s">
        <v>5326</v>
      </c>
      <c r="R2036" t="s">
        <v>5326</v>
      </c>
    </row>
    <row r="2037" spans="1:18" x14ac:dyDescent="0.3">
      <c r="A2037" s="2" t="str">
        <f>HYPERLINK(B2037,"Oppna PDF")</f>
        <v>Oppna PDF</v>
      </c>
      <c r="B2037" t="s">
        <v>5435</v>
      </c>
      <c r="C2037" t="s">
        <v>5438</v>
      </c>
      <c r="D2037" t="s">
        <v>5423</v>
      </c>
      <c r="E2037" t="s">
        <v>5437</v>
      </c>
      <c r="H2037" t="s">
        <v>61</v>
      </c>
      <c r="I2037" t="s">
        <v>5425</v>
      </c>
      <c r="J2037" t="s">
        <v>91</v>
      </c>
      <c r="K2037" t="s">
        <v>92</v>
      </c>
      <c r="L2037" t="s">
        <v>29</v>
      </c>
      <c r="M2037" t="s">
        <v>30</v>
      </c>
      <c r="N2037" t="s">
        <v>31</v>
      </c>
      <c r="Q2037" t="s">
        <v>5439</v>
      </c>
      <c r="R2037" t="s">
        <v>5440</v>
      </c>
    </row>
    <row r="2038" spans="1:18" x14ac:dyDescent="0.3">
      <c r="A2038" s="2" t="str">
        <f>HYPERLINK(B2038,"Oppna PDF")</f>
        <v>Oppna PDF</v>
      </c>
      <c r="B2038" t="s">
        <v>5435</v>
      </c>
      <c r="C2038" t="s">
        <v>5441</v>
      </c>
      <c r="D2038" t="s">
        <v>5423</v>
      </c>
      <c r="E2038" t="s">
        <v>5437</v>
      </c>
      <c r="H2038" t="s">
        <v>61</v>
      </c>
      <c r="I2038" t="s">
        <v>5425</v>
      </c>
      <c r="J2038" t="s">
        <v>87</v>
      </c>
      <c r="K2038" t="s">
        <v>88</v>
      </c>
      <c r="L2038" t="s">
        <v>29</v>
      </c>
      <c r="M2038" t="s">
        <v>30</v>
      </c>
      <c r="N2038" t="s">
        <v>31</v>
      </c>
      <c r="Q2038" t="s">
        <v>5330</v>
      </c>
      <c r="R2038" t="s">
        <v>5330</v>
      </c>
    </row>
    <row r="2039" spans="1:18" x14ac:dyDescent="0.3">
      <c r="A2039" s="2" t="str">
        <f>HYPERLINK(B2039,"Oppna PDF")</f>
        <v>Oppna PDF</v>
      </c>
      <c r="B2039" t="s">
        <v>5442</v>
      </c>
      <c r="C2039" t="s">
        <v>5443</v>
      </c>
      <c r="D2039" t="s">
        <v>5423</v>
      </c>
      <c r="E2039" t="s">
        <v>5444</v>
      </c>
      <c r="H2039" t="s">
        <v>61</v>
      </c>
      <c r="I2039" t="s">
        <v>5425</v>
      </c>
      <c r="J2039" t="s">
        <v>38</v>
      </c>
      <c r="K2039" t="s">
        <v>39</v>
      </c>
      <c r="L2039" t="s">
        <v>29</v>
      </c>
      <c r="M2039" t="s">
        <v>30</v>
      </c>
      <c r="N2039" t="s">
        <v>31</v>
      </c>
      <c r="Q2039" t="s">
        <v>5326</v>
      </c>
      <c r="R2039" t="s">
        <v>5326</v>
      </c>
    </row>
    <row r="2040" spans="1:18" x14ac:dyDescent="0.3">
      <c r="A2040" s="2" t="str">
        <f>HYPERLINK(B2040,"Oppna PDF")</f>
        <v>Oppna PDF</v>
      </c>
      <c r="B2040" t="s">
        <v>5442</v>
      </c>
      <c r="C2040" t="s">
        <v>5445</v>
      </c>
      <c r="D2040" t="s">
        <v>5423</v>
      </c>
      <c r="E2040" t="s">
        <v>5444</v>
      </c>
      <c r="H2040" t="s">
        <v>61</v>
      </c>
      <c r="I2040" t="s">
        <v>5425</v>
      </c>
      <c r="J2040" t="s">
        <v>27</v>
      </c>
      <c r="K2040" t="s">
        <v>28</v>
      </c>
      <c r="L2040" t="s">
        <v>29</v>
      </c>
      <c r="M2040" t="s">
        <v>30</v>
      </c>
      <c r="N2040" t="s">
        <v>31</v>
      </c>
      <c r="Q2040" t="s">
        <v>5446</v>
      </c>
      <c r="R2040" t="s">
        <v>5446</v>
      </c>
    </row>
    <row r="2041" spans="1:18" x14ac:dyDescent="0.3">
      <c r="A2041" s="2" t="str">
        <f>HYPERLINK(B2041,"Oppna PDF")</f>
        <v>Oppna PDF</v>
      </c>
      <c r="B2041" t="s">
        <v>5442</v>
      </c>
      <c r="C2041" t="s">
        <v>5447</v>
      </c>
      <c r="D2041" t="s">
        <v>5423</v>
      </c>
      <c r="E2041" t="s">
        <v>5444</v>
      </c>
      <c r="H2041" t="s">
        <v>61</v>
      </c>
      <c r="I2041" t="s">
        <v>5425</v>
      </c>
      <c r="J2041" t="s">
        <v>87</v>
      </c>
      <c r="K2041" t="s">
        <v>88</v>
      </c>
      <c r="L2041" t="s">
        <v>29</v>
      </c>
      <c r="M2041" t="s">
        <v>30</v>
      </c>
      <c r="N2041" t="s">
        <v>31</v>
      </c>
      <c r="Q2041" t="s">
        <v>5330</v>
      </c>
      <c r="R2041" t="s">
        <v>5330</v>
      </c>
    </row>
    <row r="2042" spans="1:18" x14ac:dyDescent="0.3">
      <c r="A2042" s="2" t="str">
        <f>HYPERLINK(B2042,"Oppna PDF")</f>
        <v>Oppna PDF</v>
      </c>
      <c r="B2042" t="s">
        <v>5448</v>
      </c>
      <c r="C2042" t="s">
        <v>5449</v>
      </c>
      <c r="D2042" t="s">
        <v>5423</v>
      </c>
      <c r="E2042" t="s">
        <v>5450</v>
      </c>
      <c r="H2042" t="s">
        <v>61</v>
      </c>
      <c r="I2042" t="s">
        <v>5425</v>
      </c>
      <c r="J2042" t="s">
        <v>38</v>
      </c>
      <c r="K2042" t="s">
        <v>39</v>
      </c>
      <c r="L2042" t="s">
        <v>29</v>
      </c>
      <c r="M2042" t="s">
        <v>30</v>
      </c>
      <c r="N2042" t="s">
        <v>31</v>
      </c>
      <c r="Q2042" t="s">
        <v>5326</v>
      </c>
      <c r="R2042" t="s">
        <v>5326</v>
      </c>
    </row>
    <row r="2043" spans="1:18" x14ac:dyDescent="0.3">
      <c r="A2043" s="2" t="str">
        <f>HYPERLINK(B2043,"Oppna PDF")</f>
        <v>Oppna PDF</v>
      </c>
      <c r="B2043" t="s">
        <v>5448</v>
      </c>
      <c r="C2043" t="s">
        <v>5451</v>
      </c>
      <c r="D2043" t="s">
        <v>5423</v>
      </c>
      <c r="E2043" t="s">
        <v>5450</v>
      </c>
      <c r="H2043" t="s">
        <v>61</v>
      </c>
      <c r="I2043" t="s">
        <v>5425</v>
      </c>
      <c r="J2043" t="s">
        <v>87</v>
      </c>
      <c r="K2043" t="s">
        <v>88</v>
      </c>
      <c r="L2043" t="s">
        <v>29</v>
      </c>
      <c r="M2043" t="s">
        <v>30</v>
      </c>
      <c r="N2043" t="s">
        <v>31</v>
      </c>
      <c r="Q2043" t="s">
        <v>5330</v>
      </c>
      <c r="R2043" t="s">
        <v>5330</v>
      </c>
    </row>
    <row r="2044" spans="1:18" x14ac:dyDescent="0.3">
      <c r="A2044" s="2" t="str">
        <f>HYPERLINK(B2044,"Oppna PDF")</f>
        <v>Oppna PDF</v>
      </c>
      <c r="B2044" t="s">
        <v>5452</v>
      </c>
      <c r="C2044" t="s">
        <v>5453</v>
      </c>
      <c r="D2044" t="s">
        <v>5454</v>
      </c>
      <c r="E2044" t="s">
        <v>5455</v>
      </c>
      <c r="H2044" t="s">
        <v>61</v>
      </c>
      <c r="I2044" t="s">
        <v>5456</v>
      </c>
      <c r="J2044" t="s">
        <v>38</v>
      </c>
      <c r="K2044" t="s">
        <v>39</v>
      </c>
      <c r="L2044" t="s">
        <v>29</v>
      </c>
      <c r="M2044" t="s">
        <v>30</v>
      </c>
      <c r="N2044" t="s">
        <v>31</v>
      </c>
      <c r="Q2044" t="s">
        <v>5326</v>
      </c>
      <c r="R2044" t="s">
        <v>5326</v>
      </c>
    </row>
    <row r="2045" spans="1:18" x14ac:dyDescent="0.3">
      <c r="A2045" s="2" t="str">
        <f>HYPERLINK(B2045,"Oppna PDF")</f>
        <v>Oppna PDF</v>
      </c>
      <c r="B2045" t="s">
        <v>5452</v>
      </c>
      <c r="C2045" t="s">
        <v>5457</v>
      </c>
      <c r="D2045" t="s">
        <v>5454</v>
      </c>
      <c r="E2045" t="s">
        <v>5455</v>
      </c>
      <c r="H2045" t="s">
        <v>61</v>
      </c>
      <c r="I2045" t="s">
        <v>5456</v>
      </c>
      <c r="J2045" t="s">
        <v>27</v>
      </c>
      <c r="K2045" t="s">
        <v>28</v>
      </c>
      <c r="L2045" t="s">
        <v>300</v>
      </c>
      <c r="M2045" t="s">
        <v>30</v>
      </c>
      <c r="N2045" t="s">
        <v>31</v>
      </c>
      <c r="Q2045" t="s">
        <v>5458</v>
      </c>
      <c r="R2045" t="s">
        <v>5458</v>
      </c>
    </row>
    <row r="2046" spans="1:18" x14ac:dyDescent="0.3">
      <c r="A2046" s="2" t="str">
        <f>HYPERLINK(B2046,"Oppna PDF")</f>
        <v>Oppna PDF</v>
      </c>
      <c r="B2046" t="s">
        <v>5452</v>
      </c>
      <c r="C2046" t="s">
        <v>5459</v>
      </c>
      <c r="D2046" t="s">
        <v>5454</v>
      </c>
      <c r="E2046" t="s">
        <v>5455</v>
      </c>
      <c r="H2046" t="s">
        <v>61</v>
      </c>
      <c r="I2046" t="s">
        <v>5456</v>
      </c>
      <c r="J2046" t="s">
        <v>87</v>
      </c>
      <c r="K2046" t="s">
        <v>88</v>
      </c>
      <c r="L2046" t="s">
        <v>29</v>
      </c>
      <c r="M2046" t="s">
        <v>30</v>
      </c>
      <c r="N2046" t="s">
        <v>31</v>
      </c>
      <c r="Q2046" t="s">
        <v>5330</v>
      </c>
      <c r="R2046" t="s">
        <v>5330</v>
      </c>
    </row>
    <row r="2047" spans="1:18" x14ac:dyDescent="0.3">
      <c r="A2047" s="2" t="str">
        <f>HYPERLINK(B2047,"Oppna PDF")</f>
        <v>Oppna PDF</v>
      </c>
      <c r="B2047" t="s">
        <v>5460</v>
      </c>
      <c r="C2047" t="s">
        <v>5461</v>
      </c>
      <c r="D2047" t="s">
        <v>5454</v>
      </c>
      <c r="E2047" t="s">
        <v>5462</v>
      </c>
      <c r="H2047" t="s">
        <v>61</v>
      </c>
      <c r="I2047" t="s">
        <v>5456</v>
      </c>
      <c r="J2047" t="s">
        <v>38</v>
      </c>
      <c r="K2047" t="s">
        <v>39</v>
      </c>
      <c r="L2047" t="s">
        <v>29</v>
      </c>
      <c r="M2047" t="s">
        <v>30</v>
      </c>
      <c r="N2047" t="s">
        <v>31</v>
      </c>
      <c r="Q2047" t="s">
        <v>5326</v>
      </c>
      <c r="R2047" t="s">
        <v>5326</v>
      </c>
    </row>
    <row r="2048" spans="1:18" x14ac:dyDescent="0.3">
      <c r="A2048" s="2" t="str">
        <f>HYPERLINK(B2048,"Oppna PDF")</f>
        <v>Oppna PDF</v>
      </c>
      <c r="B2048" t="s">
        <v>5460</v>
      </c>
      <c r="C2048" t="s">
        <v>5463</v>
      </c>
      <c r="D2048" t="s">
        <v>5454</v>
      </c>
      <c r="E2048" t="s">
        <v>5462</v>
      </c>
      <c r="H2048" t="s">
        <v>61</v>
      </c>
      <c r="I2048" t="s">
        <v>5456</v>
      </c>
      <c r="J2048" t="s">
        <v>87</v>
      </c>
      <c r="K2048" t="s">
        <v>88</v>
      </c>
      <c r="L2048" t="s">
        <v>29</v>
      </c>
      <c r="M2048" t="s">
        <v>30</v>
      </c>
      <c r="N2048" t="s">
        <v>31</v>
      </c>
      <c r="Q2048" t="s">
        <v>5330</v>
      </c>
      <c r="R2048" t="s">
        <v>5330</v>
      </c>
    </row>
    <row r="2049" spans="1:18" x14ac:dyDescent="0.3">
      <c r="A2049" s="2" t="str">
        <f>HYPERLINK(B2049,"Oppna PDF")</f>
        <v>Oppna PDF</v>
      </c>
      <c r="B2049" t="s">
        <v>5460</v>
      </c>
      <c r="C2049" t="s">
        <v>5464</v>
      </c>
      <c r="D2049" t="s">
        <v>5454</v>
      </c>
      <c r="E2049" t="s">
        <v>5462</v>
      </c>
      <c r="H2049" t="s">
        <v>61</v>
      </c>
      <c r="I2049" t="s">
        <v>5456</v>
      </c>
      <c r="J2049" t="s">
        <v>34</v>
      </c>
      <c r="K2049" t="s">
        <v>35</v>
      </c>
      <c r="L2049" t="s">
        <v>29</v>
      </c>
      <c r="M2049" t="s">
        <v>30</v>
      </c>
      <c r="N2049" t="s">
        <v>31</v>
      </c>
      <c r="Q2049" t="s">
        <v>5350</v>
      </c>
      <c r="R2049" t="s">
        <v>5350</v>
      </c>
    </row>
    <row r="2050" spans="1:18" x14ac:dyDescent="0.3">
      <c r="A2050" s="2" t="str">
        <f>HYPERLINK(B2050,"Oppna PDF")</f>
        <v>Oppna PDF</v>
      </c>
      <c r="B2050" t="s">
        <v>5465</v>
      </c>
      <c r="C2050" t="s">
        <v>5466</v>
      </c>
      <c r="D2050" t="s">
        <v>5454</v>
      </c>
      <c r="E2050" t="s">
        <v>5467</v>
      </c>
      <c r="H2050" t="s">
        <v>61</v>
      </c>
      <c r="I2050" t="s">
        <v>5456</v>
      </c>
      <c r="J2050" t="s">
        <v>38</v>
      </c>
      <c r="K2050" t="s">
        <v>39</v>
      </c>
      <c r="L2050" t="s">
        <v>29</v>
      </c>
      <c r="M2050" t="s">
        <v>30</v>
      </c>
      <c r="N2050" t="s">
        <v>31</v>
      </c>
      <c r="Q2050" t="s">
        <v>5326</v>
      </c>
      <c r="R2050" t="s">
        <v>5326</v>
      </c>
    </row>
    <row r="2051" spans="1:18" x14ac:dyDescent="0.3">
      <c r="A2051" s="2" t="str">
        <f>HYPERLINK(B2051,"Oppna PDF")</f>
        <v>Oppna PDF</v>
      </c>
      <c r="B2051" t="s">
        <v>5465</v>
      </c>
      <c r="C2051" t="s">
        <v>5468</v>
      </c>
      <c r="D2051" t="s">
        <v>5454</v>
      </c>
      <c r="E2051" t="s">
        <v>5467</v>
      </c>
      <c r="H2051" t="s">
        <v>61</v>
      </c>
      <c r="I2051" t="s">
        <v>5456</v>
      </c>
      <c r="J2051" t="s">
        <v>91</v>
      </c>
      <c r="K2051" t="s">
        <v>92</v>
      </c>
      <c r="L2051" t="s">
        <v>29</v>
      </c>
      <c r="M2051" t="s">
        <v>30</v>
      </c>
      <c r="N2051" t="s">
        <v>31</v>
      </c>
      <c r="Q2051" t="s">
        <v>5469</v>
      </c>
      <c r="R2051" t="s">
        <v>5470</v>
      </c>
    </row>
    <row r="2052" spans="1:18" x14ac:dyDescent="0.3">
      <c r="A2052" s="2" t="str">
        <f>HYPERLINK(B2052,"Oppna PDF")</f>
        <v>Oppna PDF</v>
      </c>
      <c r="B2052" t="s">
        <v>5465</v>
      </c>
      <c r="C2052" t="s">
        <v>5471</v>
      </c>
      <c r="D2052" t="s">
        <v>5454</v>
      </c>
      <c r="E2052" t="s">
        <v>5467</v>
      </c>
      <c r="H2052" t="s">
        <v>61</v>
      </c>
      <c r="I2052" t="s">
        <v>5456</v>
      </c>
      <c r="J2052" t="s">
        <v>87</v>
      </c>
      <c r="K2052" t="s">
        <v>88</v>
      </c>
      <c r="L2052" t="s">
        <v>29</v>
      </c>
      <c r="M2052" t="s">
        <v>30</v>
      </c>
      <c r="N2052" t="s">
        <v>31</v>
      </c>
      <c r="Q2052" t="s">
        <v>5330</v>
      </c>
      <c r="R2052" t="s">
        <v>5330</v>
      </c>
    </row>
    <row r="2053" spans="1:18" x14ac:dyDescent="0.3">
      <c r="A2053" s="2" t="str">
        <f>HYPERLINK(B2053,"Oppna PDF")</f>
        <v>Oppna PDF</v>
      </c>
      <c r="B2053" t="s">
        <v>5472</v>
      </c>
      <c r="C2053" t="s">
        <v>5473</v>
      </c>
      <c r="D2053" t="s">
        <v>5454</v>
      </c>
      <c r="E2053" t="s">
        <v>5474</v>
      </c>
      <c r="H2053" t="s">
        <v>61</v>
      </c>
      <c r="I2053" t="s">
        <v>5456</v>
      </c>
      <c r="J2053" t="s">
        <v>38</v>
      </c>
      <c r="K2053" t="s">
        <v>39</v>
      </c>
      <c r="L2053" t="s">
        <v>29</v>
      </c>
      <c r="M2053" t="s">
        <v>30</v>
      </c>
      <c r="N2053" t="s">
        <v>31</v>
      </c>
      <c r="Q2053" t="s">
        <v>5326</v>
      </c>
      <c r="R2053" t="s">
        <v>5326</v>
      </c>
    </row>
    <row r="2054" spans="1:18" x14ac:dyDescent="0.3">
      <c r="A2054" s="2" t="str">
        <f>HYPERLINK(B2054,"Oppna PDF")</f>
        <v>Oppna PDF</v>
      </c>
      <c r="B2054" t="s">
        <v>5472</v>
      </c>
      <c r="C2054" t="s">
        <v>5475</v>
      </c>
      <c r="D2054" t="s">
        <v>5454</v>
      </c>
      <c r="E2054" t="s">
        <v>5474</v>
      </c>
      <c r="H2054" t="s">
        <v>61</v>
      </c>
      <c r="I2054" t="s">
        <v>5456</v>
      </c>
      <c r="J2054" t="s">
        <v>91</v>
      </c>
      <c r="K2054" t="s">
        <v>92</v>
      </c>
      <c r="L2054" t="s">
        <v>300</v>
      </c>
      <c r="M2054" t="s">
        <v>30</v>
      </c>
      <c r="N2054" t="s">
        <v>31</v>
      </c>
      <c r="Q2054" t="s">
        <v>4708</v>
      </c>
      <c r="R2054" t="s">
        <v>4708</v>
      </c>
    </row>
    <row r="2055" spans="1:18" x14ac:dyDescent="0.3">
      <c r="A2055" s="2" t="str">
        <f>HYPERLINK(B2055,"Oppna PDF")</f>
        <v>Oppna PDF</v>
      </c>
      <c r="B2055" t="s">
        <v>5472</v>
      </c>
      <c r="C2055" t="s">
        <v>5476</v>
      </c>
      <c r="D2055" t="s">
        <v>5454</v>
      </c>
      <c r="E2055" t="s">
        <v>5474</v>
      </c>
      <c r="H2055" t="s">
        <v>61</v>
      </c>
      <c r="I2055" t="s">
        <v>5456</v>
      </c>
      <c r="J2055" t="s">
        <v>87</v>
      </c>
      <c r="K2055" t="s">
        <v>88</v>
      </c>
      <c r="L2055" t="s">
        <v>29</v>
      </c>
      <c r="M2055" t="s">
        <v>30</v>
      </c>
      <c r="N2055" t="s">
        <v>31</v>
      </c>
      <c r="Q2055" t="s">
        <v>5330</v>
      </c>
      <c r="R2055" t="s">
        <v>5330</v>
      </c>
    </row>
    <row r="2056" spans="1:18" x14ac:dyDescent="0.3">
      <c r="A2056" s="2" t="str">
        <f>HYPERLINK(B2056,"Oppna PDF")</f>
        <v>Oppna PDF</v>
      </c>
      <c r="B2056" t="s">
        <v>5477</v>
      </c>
      <c r="C2056" t="s">
        <v>5478</v>
      </c>
      <c r="D2056" t="s">
        <v>5454</v>
      </c>
      <c r="E2056" t="s">
        <v>5479</v>
      </c>
      <c r="H2056" t="s">
        <v>61</v>
      </c>
      <c r="I2056" t="s">
        <v>5456</v>
      </c>
      <c r="J2056" t="s">
        <v>38</v>
      </c>
      <c r="K2056" t="s">
        <v>39</v>
      </c>
      <c r="L2056" t="s">
        <v>29</v>
      </c>
      <c r="M2056" t="s">
        <v>30</v>
      </c>
      <c r="N2056" t="s">
        <v>31</v>
      </c>
      <c r="Q2056" t="s">
        <v>5326</v>
      </c>
      <c r="R2056" t="s">
        <v>5326</v>
      </c>
    </row>
    <row r="2057" spans="1:18" x14ac:dyDescent="0.3">
      <c r="A2057" s="2" t="str">
        <f>HYPERLINK(B2057,"Oppna PDF")</f>
        <v>Oppna PDF</v>
      </c>
      <c r="B2057" t="s">
        <v>5477</v>
      </c>
      <c r="C2057" t="s">
        <v>5480</v>
      </c>
      <c r="D2057" t="s">
        <v>5454</v>
      </c>
      <c r="E2057" t="s">
        <v>5479</v>
      </c>
      <c r="H2057" t="s">
        <v>61</v>
      </c>
      <c r="I2057" t="s">
        <v>5456</v>
      </c>
      <c r="J2057" t="s">
        <v>87</v>
      </c>
      <c r="K2057" t="s">
        <v>88</v>
      </c>
      <c r="L2057" t="s">
        <v>29</v>
      </c>
      <c r="M2057" t="s">
        <v>30</v>
      </c>
      <c r="N2057" t="s">
        <v>31</v>
      </c>
      <c r="Q2057" t="s">
        <v>5330</v>
      </c>
      <c r="R2057" t="s">
        <v>5330</v>
      </c>
    </row>
    <row r="2058" spans="1:18" x14ac:dyDescent="0.3">
      <c r="A2058" s="2" t="str">
        <f>HYPERLINK(B2058,"Oppna PDF")</f>
        <v>Oppna PDF</v>
      </c>
      <c r="B2058" t="s">
        <v>5481</v>
      </c>
      <c r="C2058" t="s">
        <v>5482</v>
      </c>
      <c r="D2058" t="s">
        <v>5483</v>
      </c>
      <c r="E2058" t="s">
        <v>5484</v>
      </c>
      <c r="F2058" t="s">
        <v>5485</v>
      </c>
      <c r="G2058" t="s">
        <v>5486</v>
      </c>
      <c r="H2058" t="s">
        <v>268</v>
      </c>
      <c r="I2058" t="s">
        <v>5487</v>
      </c>
      <c r="J2058" t="s">
        <v>209</v>
      </c>
      <c r="K2058" t="s">
        <v>210</v>
      </c>
      <c r="L2058" t="s">
        <v>29</v>
      </c>
      <c r="M2058" t="s">
        <v>30</v>
      </c>
      <c r="N2058" t="s">
        <v>31</v>
      </c>
      <c r="Q2058" t="s">
        <v>5488</v>
      </c>
      <c r="R2058" t="s">
        <v>5488</v>
      </c>
    </row>
    <row r="2059" spans="1:18" x14ac:dyDescent="0.3">
      <c r="A2059" s="2" t="str">
        <f>HYPERLINK(B2059,"Oppna PDF")</f>
        <v>Oppna PDF</v>
      </c>
      <c r="B2059" t="s">
        <v>5481</v>
      </c>
      <c r="C2059" t="s">
        <v>5489</v>
      </c>
      <c r="D2059" t="s">
        <v>5483</v>
      </c>
      <c r="E2059" t="s">
        <v>5484</v>
      </c>
      <c r="F2059" t="s">
        <v>5485</v>
      </c>
      <c r="G2059" t="s">
        <v>5486</v>
      </c>
      <c r="H2059" t="s">
        <v>268</v>
      </c>
      <c r="I2059" t="s">
        <v>5487</v>
      </c>
      <c r="J2059" t="s">
        <v>91</v>
      </c>
      <c r="K2059" t="s">
        <v>92</v>
      </c>
      <c r="L2059" t="s">
        <v>29</v>
      </c>
      <c r="M2059" t="s">
        <v>30</v>
      </c>
      <c r="N2059" t="s">
        <v>31</v>
      </c>
      <c r="Q2059" t="s">
        <v>5490</v>
      </c>
      <c r="R2059" t="s">
        <v>5490</v>
      </c>
    </row>
    <row r="2060" spans="1:18" x14ac:dyDescent="0.3">
      <c r="A2060" s="2" t="str">
        <f>HYPERLINK(B2060,"Oppna PDF")</f>
        <v>Oppna PDF</v>
      </c>
      <c r="B2060" t="s">
        <v>5481</v>
      </c>
      <c r="C2060" t="s">
        <v>5491</v>
      </c>
      <c r="D2060" t="s">
        <v>5483</v>
      </c>
      <c r="E2060" t="s">
        <v>5484</v>
      </c>
      <c r="F2060" t="s">
        <v>5485</v>
      </c>
      <c r="G2060" t="s">
        <v>5486</v>
      </c>
      <c r="H2060" t="s">
        <v>268</v>
      </c>
      <c r="I2060" t="s">
        <v>5487</v>
      </c>
      <c r="J2060" t="s">
        <v>87</v>
      </c>
      <c r="K2060" t="s">
        <v>88</v>
      </c>
      <c r="L2060" t="s">
        <v>29</v>
      </c>
      <c r="M2060" t="s">
        <v>30</v>
      </c>
      <c r="N2060" t="s">
        <v>31</v>
      </c>
      <c r="Q2060" t="s">
        <v>5492</v>
      </c>
      <c r="R2060" t="s">
        <v>5492</v>
      </c>
    </row>
    <row r="2061" spans="1:18" x14ac:dyDescent="0.3">
      <c r="A2061" s="2" t="str">
        <f>HYPERLINK(B2061,"Oppna PDF")</f>
        <v>Oppna PDF</v>
      </c>
      <c r="B2061" t="s">
        <v>5493</v>
      </c>
      <c r="C2061" t="s">
        <v>5494</v>
      </c>
      <c r="D2061" t="s">
        <v>5495</v>
      </c>
      <c r="E2061" t="s">
        <v>5496</v>
      </c>
      <c r="F2061" t="s">
        <v>5497</v>
      </c>
      <c r="G2061" t="s">
        <v>5498</v>
      </c>
      <c r="H2061" t="s">
        <v>25</v>
      </c>
      <c r="I2061" t="s">
        <v>5499</v>
      </c>
      <c r="J2061" t="s">
        <v>38</v>
      </c>
      <c r="K2061" t="s">
        <v>39</v>
      </c>
      <c r="L2061" t="s">
        <v>29</v>
      </c>
      <c r="M2061" t="s">
        <v>30</v>
      </c>
      <c r="N2061" t="s">
        <v>31</v>
      </c>
      <c r="Q2061" t="s">
        <v>5500</v>
      </c>
      <c r="R2061" t="s">
        <v>5501</v>
      </c>
    </row>
    <row r="2062" spans="1:18" x14ac:dyDescent="0.3">
      <c r="A2062" s="2" t="str">
        <f>HYPERLINK(B2062,"Oppna PDF")</f>
        <v>Oppna PDF</v>
      </c>
      <c r="B2062" t="s">
        <v>5493</v>
      </c>
      <c r="C2062" t="s">
        <v>5502</v>
      </c>
      <c r="D2062" t="s">
        <v>5495</v>
      </c>
      <c r="E2062" t="s">
        <v>5496</v>
      </c>
      <c r="F2062" t="s">
        <v>5497</v>
      </c>
      <c r="G2062" t="s">
        <v>5498</v>
      </c>
      <c r="H2062" t="s">
        <v>25</v>
      </c>
      <c r="I2062" t="s">
        <v>5499</v>
      </c>
      <c r="J2062" t="s">
        <v>38</v>
      </c>
      <c r="K2062" t="s">
        <v>39</v>
      </c>
      <c r="L2062" t="s">
        <v>142</v>
      </c>
      <c r="M2062" t="s">
        <v>30</v>
      </c>
      <c r="N2062" t="s">
        <v>31</v>
      </c>
      <c r="Q2062" t="s">
        <v>5503</v>
      </c>
      <c r="R2062" t="s">
        <v>5504</v>
      </c>
    </row>
    <row r="2063" spans="1:18" x14ac:dyDescent="0.3">
      <c r="A2063" s="2" t="str">
        <f>HYPERLINK(B2063,"Oppna PDF")</f>
        <v>Oppna PDF</v>
      </c>
      <c r="B2063" t="s">
        <v>5493</v>
      </c>
      <c r="C2063" t="s">
        <v>5505</v>
      </c>
      <c r="D2063" t="s">
        <v>5495</v>
      </c>
      <c r="E2063" t="s">
        <v>5496</v>
      </c>
      <c r="F2063" t="s">
        <v>5497</v>
      </c>
      <c r="G2063" t="s">
        <v>5498</v>
      </c>
      <c r="H2063" t="s">
        <v>25</v>
      </c>
      <c r="I2063" t="s">
        <v>5499</v>
      </c>
      <c r="J2063" t="s">
        <v>38</v>
      </c>
      <c r="K2063" t="s">
        <v>39</v>
      </c>
      <c r="L2063" t="s">
        <v>29</v>
      </c>
      <c r="M2063" t="s">
        <v>30</v>
      </c>
      <c r="N2063" t="s">
        <v>31</v>
      </c>
      <c r="Q2063" t="s">
        <v>5506</v>
      </c>
      <c r="R2063" t="s">
        <v>5507</v>
      </c>
    </row>
    <row r="2064" spans="1:18" x14ac:dyDescent="0.3">
      <c r="A2064" s="2" t="str">
        <f>HYPERLINK(B2064,"Oppna PDF")</f>
        <v>Oppna PDF</v>
      </c>
      <c r="B2064" t="s">
        <v>5508</v>
      </c>
      <c r="C2064" t="s">
        <v>5509</v>
      </c>
      <c r="D2064" t="s">
        <v>5495</v>
      </c>
      <c r="E2064" t="s">
        <v>5510</v>
      </c>
      <c r="F2064" t="s">
        <v>5497</v>
      </c>
      <c r="G2064" t="s">
        <v>5498</v>
      </c>
      <c r="H2064" t="s">
        <v>25</v>
      </c>
      <c r="I2064" t="s">
        <v>5499</v>
      </c>
      <c r="J2064" t="s">
        <v>27</v>
      </c>
      <c r="K2064" t="s">
        <v>28</v>
      </c>
      <c r="L2064" t="s">
        <v>29</v>
      </c>
      <c r="M2064" t="s">
        <v>30</v>
      </c>
      <c r="N2064" t="s">
        <v>31</v>
      </c>
      <c r="Q2064" t="s">
        <v>44</v>
      </c>
      <c r="R2064" t="s">
        <v>44</v>
      </c>
    </row>
    <row r="2065" spans="1:18" x14ac:dyDescent="0.3">
      <c r="A2065" s="2" t="str">
        <f>HYPERLINK(B2065,"Oppna PDF")</f>
        <v>Oppna PDF</v>
      </c>
      <c r="B2065" t="s">
        <v>5508</v>
      </c>
      <c r="C2065" t="s">
        <v>5511</v>
      </c>
      <c r="D2065" t="s">
        <v>5495</v>
      </c>
      <c r="E2065" t="s">
        <v>5510</v>
      </c>
      <c r="F2065" t="s">
        <v>5497</v>
      </c>
      <c r="G2065" t="s">
        <v>5498</v>
      </c>
      <c r="H2065" t="s">
        <v>25</v>
      </c>
      <c r="I2065" t="s">
        <v>5499</v>
      </c>
      <c r="J2065" t="s">
        <v>34</v>
      </c>
      <c r="K2065" t="s">
        <v>35</v>
      </c>
      <c r="L2065" t="s">
        <v>29</v>
      </c>
      <c r="M2065" t="s">
        <v>30</v>
      </c>
      <c r="N2065" t="s">
        <v>31</v>
      </c>
      <c r="Q2065" t="s">
        <v>5512</v>
      </c>
      <c r="R2065" t="s">
        <v>5512</v>
      </c>
    </row>
    <row r="2066" spans="1:18" x14ac:dyDescent="0.3">
      <c r="A2066" s="2" t="str">
        <f>HYPERLINK(B2066,"Oppna PDF")</f>
        <v>Oppna PDF</v>
      </c>
      <c r="B2066" t="s">
        <v>5508</v>
      </c>
      <c r="C2066" t="s">
        <v>5513</v>
      </c>
      <c r="D2066" t="s">
        <v>5495</v>
      </c>
      <c r="E2066" t="s">
        <v>5510</v>
      </c>
      <c r="F2066" t="s">
        <v>5497</v>
      </c>
      <c r="G2066" t="s">
        <v>5498</v>
      </c>
      <c r="H2066" t="s">
        <v>25</v>
      </c>
      <c r="I2066" t="s">
        <v>5499</v>
      </c>
      <c r="J2066" t="s">
        <v>34</v>
      </c>
      <c r="K2066" t="s">
        <v>35</v>
      </c>
      <c r="L2066" t="s">
        <v>29</v>
      </c>
      <c r="M2066" t="s">
        <v>30</v>
      </c>
      <c r="N2066" t="s">
        <v>31</v>
      </c>
      <c r="Q2066" t="s">
        <v>5514</v>
      </c>
      <c r="R2066" t="s">
        <v>5514</v>
      </c>
    </row>
    <row r="2067" spans="1:18" x14ac:dyDescent="0.3">
      <c r="A2067" s="2" t="str">
        <f>HYPERLINK(B2067,"Oppna PDF")</f>
        <v>Oppna PDF</v>
      </c>
      <c r="B2067" t="s">
        <v>5515</v>
      </c>
      <c r="C2067" t="s">
        <v>5516</v>
      </c>
      <c r="D2067" t="s">
        <v>5495</v>
      </c>
      <c r="E2067" t="s">
        <v>5517</v>
      </c>
      <c r="F2067" t="s">
        <v>5497</v>
      </c>
      <c r="G2067" t="s">
        <v>5498</v>
      </c>
      <c r="H2067" t="s">
        <v>25</v>
      </c>
      <c r="I2067" t="s">
        <v>5499</v>
      </c>
      <c r="J2067" t="s">
        <v>38</v>
      </c>
      <c r="K2067" t="s">
        <v>39</v>
      </c>
      <c r="L2067" t="s">
        <v>29</v>
      </c>
      <c r="M2067" t="s">
        <v>30</v>
      </c>
      <c r="N2067" t="s">
        <v>31</v>
      </c>
      <c r="Q2067" t="s">
        <v>5518</v>
      </c>
      <c r="R2067" t="s">
        <v>5518</v>
      </c>
    </row>
    <row r="2068" spans="1:18" x14ac:dyDescent="0.3">
      <c r="A2068" s="2" t="str">
        <f>HYPERLINK(B2068,"Oppna PDF")</f>
        <v>Oppna PDF</v>
      </c>
      <c r="B2068" t="s">
        <v>5515</v>
      </c>
      <c r="C2068" t="s">
        <v>5519</v>
      </c>
      <c r="D2068" t="s">
        <v>5495</v>
      </c>
      <c r="E2068" t="s">
        <v>5517</v>
      </c>
      <c r="F2068" t="s">
        <v>5497</v>
      </c>
      <c r="G2068" t="s">
        <v>5498</v>
      </c>
      <c r="H2068" t="s">
        <v>25</v>
      </c>
      <c r="I2068" t="s">
        <v>5499</v>
      </c>
      <c r="J2068" t="s">
        <v>27</v>
      </c>
      <c r="K2068" t="s">
        <v>28</v>
      </c>
      <c r="L2068" t="s">
        <v>300</v>
      </c>
      <c r="M2068" t="s">
        <v>30</v>
      </c>
      <c r="N2068" t="s">
        <v>31</v>
      </c>
      <c r="Q2068" t="s">
        <v>890</v>
      </c>
      <c r="R2068" t="s">
        <v>890</v>
      </c>
    </row>
    <row r="2069" spans="1:18" x14ac:dyDescent="0.3">
      <c r="A2069" s="2" t="str">
        <f>HYPERLINK(B2069,"Oppna PDF")</f>
        <v>Oppna PDF</v>
      </c>
      <c r="B2069" t="s">
        <v>5515</v>
      </c>
      <c r="C2069" t="s">
        <v>5520</v>
      </c>
      <c r="D2069" t="s">
        <v>5495</v>
      </c>
      <c r="E2069" t="s">
        <v>5517</v>
      </c>
      <c r="F2069" t="s">
        <v>5497</v>
      </c>
      <c r="G2069" t="s">
        <v>5498</v>
      </c>
      <c r="H2069" t="s">
        <v>25</v>
      </c>
      <c r="I2069" t="s">
        <v>5499</v>
      </c>
      <c r="J2069" t="s">
        <v>27</v>
      </c>
      <c r="K2069" t="s">
        <v>28</v>
      </c>
      <c r="L2069" t="s">
        <v>29</v>
      </c>
      <c r="M2069" t="s">
        <v>30</v>
      </c>
      <c r="N2069" t="s">
        <v>31</v>
      </c>
      <c r="Q2069" t="s">
        <v>5521</v>
      </c>
      <c r="R2069" t="s">
        <v>5521</v>
      </c>
    </row>
    <row r="2070" spans="1:18" x14ac:dyDescent="0.3">
      <c r="A2070" s="2" t="str">
        <f>HYPERLINK(B2070,"Oppna PDF")</f>
        <v>Oppna PDF</v>
      </c>
      <c r="B2070" t="s">
        <v>5522</v>
      </c>
      <c r="C2070" t="s">
        <v>5523</v>
      </c>
      <c r="D2070" t="s">
        <v>5524</v>
      </c>
      <c r="E2070" t="s">
        <v>5525</v>
      </c>
      <c r="H2070" t="s">
        <v>61</v>
      </c>
      <c r="I2070" t="s">
        <v>5526</v>
      </c>
      <c r="J2070" t="s">
        <v>91</v>
      </c>
      <c r="K2070" t="s">
        <v>92</v>
      </c>
      <c r="L2070" t="s">
        <v>29</v>
      </c>
      <c r="M2070" t="s">
        <v>30</v>
      </c>
      <c r="N2070" t="s">
        <v>31</v>
      </c>
      <c r="Q2070" t="s">
        <v>5527</v>
      </c>
      <c r="R2070" t="s">
        <v>5528</v>
      </c>
    </row>
    <row r="2071" spans="1:18" x14ac:dyDescent="0.3">
      <c r="A2071" s="2" t="str">
        <f>HYPERLINK(B2071,"Oppna PDF")</f>
        <v>Oppna PDF</v>
      </c>
      <c r="B2071" t="s">
        <v>5522</v>
      </c>
      <c r="C2071" t="s">
        <v>5529</v>
      </c>
      <c r="D2071" t="s">
        <v>5524</v>
      </c>
      <c r="E2071" t="s">
        <v>5525</v>
      </c>
      <c r="H2071" t="s">
        <v>61</v>
      </c>
      <c r="I2071" t="s">
        <v>5526</v>
      </c>
      <c r="J2071" t="s">
        <v>48</v>
      </c>
      <c r="K2071" t="s">
        <v>49</v>
      </c>
      <c r="L2071" t="s">
        <v>29</v>
      </c>
      <c r="M2071" t="s">
        <v>30</v>
      </c>
      <c r="N2071" t="s">
        <v>31</v>
      </c>
      <c r="Q2071" t="s">
        <v>5530</v>
      </c>
      <c r="R2071" t="s">
        <v>5530</v>
      </c>
    </row>
    <row r="2072" spans="1:18" x14ac:dyDescent="0.3">
      <c r="A2072" s="2" t="str">
        <f>HYPERLINK(B2072,"Oppna PDF")</f>
        <v>Oppna PDF</v>
      </c>
      <c r="B2072" t="s">
        <v>5522</v>
      </c>
      <c r="C2072" t="s">
        <v>5531</v>
      </c>
      <c r="D2072" t="s">
        <v>5524</v>
      </c>
      <c r="E2072" t="s">
        <v>5525</v>
      </c>
      <c r="H2072" t="s">
        <v>61</v>
      </c>
      <c r="I2072" t="s">
        <v>5526</v>
      </c>
      <c r="J2072" t="s">
        <v>34</v>
      </c>
      <c r="K2072" t="s">
        <v>35</v>
      </c>
      <c r="L2072" t="s">
        <v>29</v>
      </c>
      <c r="M2072" t="s">
        <v>30</v>
      </c>
      <c r="N2072" t="s">
        <v>31</v>
      </c>
      <c r="Q2072" t="s">
        <v>5532</v>
      </c>
      <c r="R2072" t="s">
        <v>5532</v>
      </c>
    </row>
    <row r="2073" spans="1:18" x14ac:dyDescent="0.3">
      <c r="A2073" s="2" t="str">
        <f>HYPERLINK(B2073,"Oppna PDF")</f>
        <v>Oppna PDF</v>
      </c>
      <c r="B2073" t="s">
        <v>5533</v>
      </c>
      <c r="C2073" t="s">
        <v>5534</v>
      </c>
      <c r="D2073" t="s">
        <v>5535</v>
      </c>
      <c r="E2073" t="s">
        <v>5536</v>
      </c>
      <c r="F2073" t="s">
        <v>5537</v>
      </c>
      <c r="G2073" t="s">
        <v>5538</v>
      </c>
      <c r="H2073" t="s">
        <v>61</v>
      </c>
      <c r="I2073" t="s">
        <v>5539</v>
      </c>
      <c r="J2073" t="s">
        <v>34</v>
      </c>
      <c r="K2073" t="s">
        <v>35</v>
      </c>
      <c r="L2073" t="s">
        <v>29</v>
      </c>
      <c r="M2073" t="s">
        <v>30</v>
      </c>
      <c r="N2073" t="s">
        <v>31</v>
      </c>
      <c r="Q2073" t="s">
        <v>5540</v>
      </c>
      <c r="R2073" t="s">
        <v>5540</v>
      </c>
    </row>
    <row r="2074" spans="1:18" x14ac:dyDescent="0.3">
      <c r="A2074" s="2" t="str">
        <f>HYPERLINK(B2074,"Oppna PDF")</f>
        <v>Oppna PDF</v>
      </c>
      <c r="B2074" t="s">
        <v>5533</v>
      </c>
      <c r="C2074" t="s">
        <v>5541</v>
      </c>
      <c r="D2074" t="s">
        <v>5535</v>
      </c>
      <c r="E2074" t="s">
        <v>5536</v>
      </c>
      <c r="F2074" t="s">
        <v>5537</v>
      </c>
      <c r="G2074" t="s">
        <v>5538</v>
      </c>
      <c r="H2074" t="s">
        <v>61</v>
      </c>
      <c r="I2074" t="s">
        <v>5539</v>
      </c>
      <c r="J2074" t="s">
        <v>38</v>
      </c>
      <c r="K2074" t="s">
        <v>39</v>
      </c>
      <c r="L2074" t="s">
        <v>29</v>
      </c>
      <c r="M2074" t="s">
        <v>30</v>
      </c>
      <c r="N2074" t="s">
        <v>31</v>
      </c>
      <c r="Q2074" t="s">
        <v>5542</v>
      </c>
      <c r="R2074" t="s">
        <v>5542</v>
      </c>
    </row>
    <row r="2075" spans="1:18" x14ac:dyDescent="0.3">
      <c r="A2075" s="2" t="str">
        <f>HYPERLINK(B2075,"Oppna PDF")</f>
        <v>Oppna PDF</v>
      </c>
      <c r="B2075" t="s">
        <v>5533</v>
      </c>
      <c r="C2075" t="s">
        <v>5543</v>
      </c>
      <c r="D2075" t="s">
        <v>5535</v>
      </c>
      <c r="E2075" t="s">
        <v>5536</v>
      </c>
      <c r="F2075" t="s">
        <v>5537</v>
      </c>
      <c r="G2075" t="s">
        <v>5538</v>
      </c>
      <c r="H2075" t="s">
        <v>61</v>
      </c>
      <c r="I2075" t="s">
        <v>5539</v>
      </c>
      <c r="J2075" t="s">
        <v>34</v>
      </c>
      <c r="K2075" t="s">
        <v>35</v>
      </c>
      <c r="L2075" t="s">
        <v>29</v>
      </c>
      <c r="M2075" t="s">
        <v>30</v>
      </c>
      <c r="N2075" t="s">
        <v>31</v>
      </c>
      <c r="Q2075" t="s">
        <v>5544</v>
      </c>
      <c r="R2075" t="s">
        <v>5544</v>
      </c>
    </row>
    <row r="2076" spans="1:18" x14ac:dyDescent="0.3">
      <c r="A2076" s="2" t="str">
        <f>HYPERLINK(B2076,"Oppna PDF")</f>
        <v>Oppna PDF</v>
      </c>
      <c r="B2076" t="s">
        <v>5545</v>
      </c>
      <c r="C2076" t="s">
        <v>5546</v>
      </c>
      <c r="D2076" t="s">
        <v>5535</v>
      </c>
      <c r="E2076" t="s">
        <v>5547</v>
      </c>
      <c r="F2076" t="s">
        <v>5537</v>
      </c>
      <c r="G2076" t="s">
        <v>5538</v>
      </c>
      <c r="H2076" t="s">
        <v>61</v>
      </c>
      <c r="I2076" t="s">
        <v>5539</v>
      </c>
      <c r="J2076" t="s">
        <v>34</v>
      </c>
      <c r="K2076" t="s">
        <v>35</v>
      </c>
      <c r="L2076" t="s">
        <v>29</v>
      </c>
      <c r="M2076" t="s">
        <v>30</v>
      </c>
      <c r="N2076" t="s">
        <v>31</v>
      </c>
      <c r="Q2076" t="s">
        <v>5548</v>
      </c>
      <c r="R2076" t="s">
        <v>5548</v>
      </c>
    </row>
    <row r="2077" spans="1:18" x14ac:dyDescent="0.3">
      <c r="A2077" s="2" t="str">
        <f>HYPERLINK(B2077,"Oppna PDF")</f>
        <v>Oppna PDF</v>
      </c>
      <c r="B2077" t="s">
        <v>5545</v>
      </c>
      <c r="C2077" t="s">
        <v>5549</v>
      </c>
      <c r="D2077" t="s">
        <v>5535</v>
      </c>
      <c r="E2077" t="s">
        <v>5547</v>
      </c>
      <c r="F2077" t="s">
        <v>5537</v>
      </c>
      <c r="G2077" t="s">
        <v>5538</v>
      </c>
      <c r="H2077" t="s">
        <v>61</v>
      </c>
      <c r="I2077" t="s">
        <v>5539</v>
      </c>
      <c r="J2077" t="s">
        <v>34</v>
      </c>
      <c r="K2077" t="s">
        <v>35</v>
      </c>
      <c r="L2077" t="s">
        <v>29</v>
      </c>
      <c r="M2077" t="s">
        <v>30</v>
      </c>
      <c r="N2077" t="s">
        <v>31</v>
      </c>
      <c r="Q2077" t="s">
        <v>5550</v>
      </c>
      <c r="R2077" t="s">
        <v>5550</v>
      </c>
    </row>
    <row r="2078" spans="1:18" x14ac:dyDescent="0.3">
      <c r="A2078" s="2" t="str">
        <f>HYPERLINK(B2078,"Oppna PDF")</f>
        <v>Oppna PDF</v>
      </c>
      <c r="B2078" t="s">
        <v>5551</v>
      </c>
      <c r="C2078" t="s">
        <v>5552</v>
      </c>
      <c r="D2078" t="s">
        <v>5535</v>
      </c>
      <c r="E2078" t="s">
        <v>5553</v>
      </c>
      <c r="F2078" t="s">
        <v>5537</v>
      </c>
      <c r="G2078" t="s">
        <v>5538</v>
      </c>
      <c r="H2078" t="s">
        <v>61</v>
      </c>
      <c r="I2078" t="s">
        <v>5539</v>
      </c>
      <c r="J2078" t="s">
        <v>38</v>
      </c>
      <c r="K2078" t="s">
        <v>39</v>
      </c>
      <c r="L2078" t="s">
        <v>29</v>
      </c>
      <c r="M2078" t="s">
        <v>30</v>
      </c>
      <c r="N2078" t="s">
        <v>31</v>
      </c>
      <c r="Q2078" t="s">
        <v>5554</v>
      </c>
      <c r="R2078" t="s">
        <v>5554</v>
      </c>
    </row>
    <row r="2079" spans="1:18" x14ac:dyDescent="0.3">
      <c r="A2079" s="2" t="str">
        <f>HYPERLINK(B2079,"Oppna PDF")</f>
        <v>Oppna PDF</v>
      </c>
      <c r="B2079" t="s">
        <v>5551</v>
      </c>
      <c r="C2079" t="s">
        <v>5555</v>
      </c>
      <c r="D2079" t="s">
        <v>5535</v>
      </c>
      <c r="E2079" t="s">
        <v>5553</v>
      </c>
      <c r="F2079" t="s">
        <v>5537</v>
      </c>
      <c r="G2079" t="s">
        <v>5538</v>
      </c>
      <c r="H2079" t="s">
        <v>61</v>
      </c>
      <c r="I2079" t="s">
        <v>5539</v>
      </c>
      <c r="J2079" t="s">
        <v>48</v>
      </c>
      <c r="K2079" t="s">
        <v>49</v>
      </c>
      <c r="L2079" t="s">
        <v>29</v>
      </c>
      <c r="M2079" t="s">
        <v>30</v>
      </c>
      <c r="N2079" t="s">
        <v>31</v>
      </c>
      <c r="Q2079" t="s">
        <v>5556</v>
      </c>
      <c r="R2079" t="s">
        <v>5556</v>
      </c>
    </row>
    <row r="2080" spans="1:18" x14ac:dyDescent="0.3">
      <c r="A2080" s="2" t="str">
        <f>HYPERLINK(B2080,"Oppna PDF")</f>
        <v>Oppna PDF</v>
      </c>
      <c r="B2080" t="s">
        <v>5551</v>
      </c>
      <c r="C2080" t="s">
        <v>5557</v>
      </c>
      <c r="D2080" t="s">
        <v>5535</v>
      </c>
      <c r="E2080" t="s">
        <v>5553</v>
      </c>
      <c r="F2080" t="s">
        <v>5537</v>
      </c>
      <c r="G2080" t="s">
        <v>5538</v>
      </c>
      <c r="H2080" t="s">
        <v>61</v>
      </c>
      <c r="I2080" t="s">
        <v>5539</v>
      </c>
      <c r="J2080" t="s">
        <v>87</v>
      </c>
      <c r="K2080" t="s">
        <v>88</v>
      </c>
      <c r="L2080" t="s">
        <v>29</v>
      </c>
      <c r="M2080" t="s">
        <v>30</v>
      </c>
      <c r="N2080" t="s">
        <v>31</v>
      </c>
      <c r="Q2080" t="s">
        <v>5558</v>
      </c>
      <c r="R2080" t="s">
        <v>5558</v>
      </c>
    </row>
    <row r="2081" spans="1:18" x14ac:dyDescent="0.3">
      <c r="A2081" s="2" t="str">
        <f>HYPERLINK(B2081,"Oppna PDF")</f>
        <v>Oppna PDF</v>
      </c>
      <c r="B2081" t="s">
        <v>5559</v>
      </c>
      <c r="C2081" t="s">
        <v>5560</v>
      </c>
      <c r="D2081" t="s">
        <v>5535</v>
      </c>
      <c r="E2081" t="s">
        <v>5561</v>
      </c>
      <c r="F2081" t="s">
        <v>5537</v>
      </c>
      <c r="G2081" t="s">
        <v>5538</v>
      </c>
      <c r="H2081" t="s">
        <v>61</v>
      </c>
      <c r="I2081" t="s">
        <v>5539</v>
      </c>
      <c r="J2081" t="s">
        <v>27</v>
      </c>
      <c r="K2081" t="s">
        <v>28</v>
      </c>
      <c r="L2081" t="s">
        <v>29</v>
      </c>
      <c r="M2081" t="s">
        <v>30</v>
      </c>
      <c r="N2081" t="s">
        <v>31</v>
      </c>
      <c r="Q2081" t="s">
        <v>5562</v>
      </c>
      <c r="R2081" t="s">
        <v>5562</v>
      </c>
    </row>
    <row r="2082" spans="1:18" x14ac:dyDescent="0.3">
      <c r="A2082" s="2" t="str">
        <f>HYPERLINK(B2082,"Oppna PDF")</f>
        <v>Oppna PDF</v>
      </c>
      <c r="B2082" t="s">
        <v>5559</v>
      </c>
      <c r="C2082" t="s">
        <v>5563</v>
      </c>
      <c r="D2082" t="s">
        <v>5535</v>
      </c>
      <c r="E2082" t="s">
        <v>5561</v>
      </c>
      <c r="F2082" t="s">
        <v>5537</v>
      </c>
      <c r="G2082" t="s">
        <v>5538</v>
      </c>
      <c r="H2082" t="s">
        <v>61</v>
      </c>
      <c r="I2082" t="s">
        <v>5539</v>
      </c>
      <c r="J2082" t="s">
        <v>27</v>
      </c>
      <c r="K2082" t="s">
        <v>28</v>
      </c>
      <c r="L2082" t="s">
        <v>29</v>
      </c>
      <c r="M2082" t="s">
        <v>30</v>
      </c>
      <c r="N2082" t="s">
        <v>31</v>
      </c>
      <c r="Q2082" t="s">
        <v>5564</v>
      </c>
      <c r="R2082" t="s">
        <v>5564</v>
      </c>
    </row>
    <row r="2083" spans="1:18" x14ac:dyDescent="0.3">
      <c r="A2083" s="2" t="str">
        <f>HYPERLINK(B2083,"Oppna PDF")</f>
        <v>Oppna PDF</v>
      </c>
      <c r="B2083" t="s">
        <v>5559</v>
      </c>
      <c r="C2083" t="s">
        <v>5565</v>
      </c>
      <c r="D2083" t="s">
        <v>5535</v>
      </c>
      <c r="E2083" t="s">
        <v>5561</v>
      </c>
      <c r="F2083" t="s">
        <v>5537</v>
      </c>
      <c r="G2083" t="s">
        <v>5538</v>
      </c>
      <c r="H2083" t="s">
        <v>61</v>
      </c>
      <c r="I2083" t="s">
        <v>5539</v>
      </c>
      <c r="J2083" t="s">
        <v>48</v>
      </c>
      <c r="K2083" t="s">
        <v>49</v>
      </c>
      <c r="L2083" t="s">
        <v>29</v>
      </c>
      <c r="M2083" t="s">
        <v>30</v>
      </c>
      <c r="N2083" t="s">
        <v>31</v>
      </c>
      <c r="Q2083" t="s">
        <v>5566</v>
      </c>
      <c r="R2083" t="s">
        <v>5566</v>
      </c>
    </row>
    <row r="2084" spans="1:18" x14ac:dyDescent="0.3">
      <c r="A2084" s="2" t="str">
        <f>HYPERLINK(B2084,"Oppna PDF")</f>
        <v>Oppna PDF</v>
      </c>
      <c r="B2084" t="s">
        <v>5567</v>
      </c>
      <c r="C2084" t="s">
        <v>5568</v>
      </c>
      <c r="D2084" t="s">
        <v>5535</v>
      </c>
      <c r="E2084" t="s">
        <v>5569</v>
      </c>
      <c r="F2084" t="s">
        <v>5537</v>
      </c>
      <c r="G2084" t="s">
        <v>5538</v>
      </c>
      <c r="H2084" t="s">
        <v>61</v>
      </c>
      <c r="I2084" t="s">
        <v>5539</v>
      </c>
      <c r="J2084" t="s">
        <v>34</v>
      </c>
      <c r="K2084" t="s">
        <v>35</v>
      </c>
      <c r="L2084" t="s">
        <v>300</v>
      </c>
      <c r="M2084" t="s">
        <v>30</v>
      </c>
      <c r="N2084" t="s">
        <v>31</v>
      </c>
      <c r="Q2084" t="s">
        <v>5570</v>
      </c>
      <c r="R2084" t="s">
        <v>5570</v>
      </c>
    </row>
    <row r="2085" spans="1:18" x14ac:dyDescent="0.3">
      <c r="A2085" s="2" t="str">
        <f>HYPERLINK(B2085,"Oppna PDF")</f>
        <v>Oppna PDF</v>
      </c>
      <c r="B2085" t="s">
        <v>5567</v>
      </c>
      <c r="C2085" t="s">
        <v>5571</v>
      </c>
      <c r="D2085" t="s">
        <v>5535</v>
      </c>
      <c r="E2085" t="s">
        <v>5569</v>
      </c>
      <c r="F2085" t="s">
        <v>5537</v>
      </c>
      <c r="G2085" t="s">
        <v>5538</v>
      </c>
      <c r="H2085" t="s">
        <v>61</v>
      </c>
      <c r="I2085" t="s">
        <v>5539</v>
      </c>
      <c r="J2085" t="s">
        <v>34</v>
      </c>
      <c r="K2085" t="s">
        <v>35</v>
      </c>
      <c r="L2085" t="s">
        <v>300</v>
      </c>
      <c r="M2085" t="s">
        <v>30</v>
      </c>
      <c r="N2085" t="s">
        <v>31</v>
      </c>
      <c r="Q2085" t="s">
        <v>5572</v>
      </c>
      <c r="R2085" t="s">
        <v>5572</v>
      </c>
    </row>
    <row r="2086" spans="1:18" x14ac:dyDescent="0.3">
      <c r="A2086" s="2" t="str">
        <f>HYPERLINK(B2086,"Oppna PDF")</f>
        <v>Oppna PDF</v>
      </c>
      <c r="B2086" t="s">
        <v>5573</v>
      </c>
      <c r="C2086" t="s">
        <v>5574</v>
      </c>
      <c r="D2086" t="s">
        <v>5535</v>
      </c>
      <c r="E2086" t="s">
        <v>5575</v>
      </c>
      <c r="F2086" t="s">
        <v>5537</v>
      </c>
      <c r="G2086" t="s">
        <v>5538</v>
      </c>
      <c r="H2086" t="s">
        <v>61</v>
      </c>
      <c r="I2086" t="s">
        <v>5539</v>
      </c>
      <c r="J2086" t="s">
        <v>87</v>
      </c>
      <c r="K2086" t="s">
        <v>88</v>
      </c>
      <c r="L2086" t="s">
        <v>29</v>
      </c>
      <c r="M2086" t="s">
        <v>30</v>
      </c>
      <c r="N2086" t="s">
        <v>31</v>
      </c>
      <c r="Q2086" t="s">
        <v>5576</v>
      </c>
      <c r="R2086" t="s">
        <v>5577</v>
      </c>
    </row>
    <row r="2087" spans="1:18" x14ac:dyDescent="0.3">
      <c r="A2087" s="2" t="str">
        <f>HYPERLINK(B2087,"Oppna PDF")</f>
        <v>Oppna PDF</v>
      </c>
      <c r="B2087" t="s">
        <v>5573</v>
      </c>
      <c r="C2087" t="s">
        <v>5578</v>
      </c>
      <c r="D2087" t="s">
        <v>5535</v>
      </c>
      <c r="E2087" t="s">
        <v>5575</v>
      </c>
      <c r="F2087" t="s">
        <v>5537</v>
      </c>
      <c r="G2087" t="s">
        <v>5538</v>
      </c>
      <c r="H2087" t="s">
        <v>61</v>
      </c>
      <c r="I2087" t="s">
        <v>5539</v>
      </c>
      <c r="J2087" t="s">
        <v>38</v>
      </c>
      <c r="K2087" t="s">
        <v>39</v>
      </c>
      <c r="L2087" t="s">
        <v>29</v>
      </c>
      <c r="M2087" t="s">
        <v>30</v>
      </c>
      <c r="N2087" t="s">
        <v>31</v>
      </c>
      <c r="Q2087" t="s">
        <v>5579</v>
      </c>
      <c r="R2087" t="s">
        <v>5579</v>
      </c>
    </row>
    <row r="2088" spans="1:18" x14ac:dyDescent="0.3">
      <c r="A2088" s="2" t="str">
        <f>HYPERLINK(B2088,"Oppna PDF")</f>
        <v>Oppna PDF</v>
      </c>
      <c r="B2088" t="s">
        <v>5573</v>
      </c>
      <c r="C2088" t="s">
        <v>5580</v>
      </c>
      <c r="D2088" t="s">
        <v>5535</v>
      </c>
      <c r="E2088" t="s">
        <v>5575</v>
      </c>
      <c r="F2088" t="s">
        <v>5537</v>
      </c>
      <c r="G2088" t="s">
        <v>5538</v>
      </c>
      <c r="H2088" t="s">
        <v>61</v>
      </c>
      <c r="I2088" t="s">
        <v>5539</v>
      </c>
      <c r="J2088" t="s">
        <v>209</v>
      </c>
      <c r="K2088" t="s">
        <v>210</v>
      </c>
      <c r="L2088" t="s">
        <v>29</v>
      </c>
      <c r="M2088" t="s">
        <v>30</v>
      </c>
      <c r="N2088" t="s">
        <v>31</v>
      </c>
      <c r="Q2088" t="s">
        <v>5581</v>
      </c>
      <c r="R2088" t="s">
        <v>5581</v>
      </c>
    </row>
    <row r="2089" spans="1:18" x14ac:dyDescent="0.3">
      <c r="A2089" s="2" t="str">
        <f>HYPERLINK(B2089,"Oppna PDF")</f>
        <v>Oppna PDF</v>
      </c>
      <c r="B2089" t="s">
        <v>5582</v>
      </c>
      <c r="C2089" t="s">
        <v>5583</v>
      </c>
      <c r="D2089" t="s">
        <v>5584</v>
      </c>
      <c r="E2089" t="s">
        <v>5585</v>
      </c>
      <c r="H2089" t="s">
        <v>61</v>
      </c>
      <c r="I2089" t="s">
        <v>5586</v>
      </c>
      <c r="J2089" t="s">
        <v>38</v>
      </c>
      <c r="K2089" t="s">
        <v>39</v>
      </c>
      <c r="L2089" t="s">
        <v>29</v>
      </c>
      <c r="M2089" t="s">
        <v>30</v>
      </c>
      <c r="N2089" t="s">
        <v>31</v>
      </c>
      <c r="Q2089" t="s">
        <v>5326</v>
      </c>
      <c r="R2089" t="s">
        <v>5326</v>
      </c>
    </row>
    <row r="2090" spans="1:18" x14ac:dyDescent="0.3">
      <c r="A2090" s="2" t="str">
        <f>HYPERLINK(B2090,"Oppna PDF")</f>
        <v>Oppna PDF</v>
      </c>
      <c r="B2090" t="s">
        <v>5582</v>
      </c>
      <c r="C2090" t="s">
        <v>5587</v>
      </c>
      <c r="D2090" t="s">
        <v>5584</v>
      </c>
      <c r="E2090" t="s">
        <v>5585</v>
      </c>
      <c r="H2090" t="s">
        <v>61</v>
      </c>
      <c r="I2090" t="s">
        <v>5586</v>
      </c>
      <c r="J2090" t="s">
        <v>87</v>
      </c>
      <c r="K2090" t="s">
        <v>88</v>
      </c>
      <c r="L2090" t="s">
        <v>29</v>
      </c>
      <c r="M2090" t="s">
        <v>30</v>
      </c>
      <c r="N2090" t="s">
        <v>31</v>
      </c>
      <c r="Q2090" t="s">
        <v>5330</v>
      </c>
      <c r="R2090" t="s">
        <v>5330</v>
      </c>
    </row>
    <row r="2091" spans="1:18" x14ac:dyDescent="0.3">
      <c r="A2091" s="2" t="str">
        <f>HYPERLINK(B2091,"Oppna PDF")</f>
        <v>Oppna PDF</v>
      </c>
      <c r="B2091" t="s">
        <v>5588</v>
      </c>
      <c r="C2091" t="s">
        <v>5589</v>
      </c>
      <c r="D2091" t="s">
        <v>5584</v>
      </c>
      <c r="E2091" t="s">
        <v>5590</v>
      </c>
      <c r="H2091" t="s">
        <v>61</v>
      </c>
      <c r="I2091" t="s">
        <v>5586</v>
      </c>
      <c r="J2091" t="s">
        <v>38</v>
      </c>
      <c r="K2091" t="s">
        <v>39</v>
      </c>
      <c r="L2091" t="s">
        <v>29</v>
      </c>
      <c r="M2091" t="s">
        <v>30</v>
      </c>
      <c r="N2091" t="s">
        <v>31</v>
      </c>
      <c r="Q2091" t="s">
        <v>5326</v>
      </c>
      <c r="R2091" t="s">
        <v>5326</v>
      </c>
    </row>
    <row r="2092" spans="1:18" x14ac:dyDescent="0.3">
      <c r="A2092" s="2" t="str">
        <f>HYPERLINK(B2092,"Oppna PDF")</f>
        <v>Oppna PDF</v>
      </c>
      <c r="B2092" t="s">
        <v>5588</v>
      </c>
      <c r="C2092" t="s">
        <v>5591</v>
      </c>
      <c r="D2092" t="s">
        <v>5584</v>
      </c>
      <c r="E2092" t="s">
        <v>5590</v>
      </c>
      <c r="H2092" t="s">
        <v>61</v>
      </c>
      <c r="I2092" t="s">
        <v>5586</v>
      </c>
      <c r="J2092" t="s">
        <v>27</v>
      </c>
      <c r="K2092" t="s">
        <v>28</v>
      </c>
      <c r="L2092" t="s">
        <v>300</v>
      </c>
      <c r="M2092" t="s">
        <v>30</v>
      </c>
      <c r="N2092" t="s">
        <v>31</v>
      </c>
      <c r="Q2092" t="s">
        <v>5592</v>
      </c>
      <c r="R2092" t="s">
        <v>5592</v>
      </c>
    </row>
    <row r="2093" spans="1:18" x14ac:dyDescent="0.3">
      <c r="A2093" s="2" t="str">
        <f>HYPERLINK(B2093,"Oppna PDF")</f>
        <v>Oppna PDF</v>
      </c>
      <c r="B2093" t="s">
        <v>5588</v>
      </c>
      <c r="C2093" t="s">
        <v>5593</v>
      </c>
      <c r="D2093" t="s">
        <v>5584</v>
      </c>
      <c r="E2093" t="s">
        <v>5590</v>
      </c>
      <c r="H2093" t="s">
        <v>61</v>
      </c>
      <c r="I2093" t="s">
        <v>5586</v>
      </c>
      <c r="J2093" t="s">
        <v>87</v>
      </c>
      <c r="K2093" t="s">
        <v>88</v>
      </c>
      <c r="L2093" t="s">
        <v>29</v>
      </c>
      <c r="M2093" t="s">
        <v>30</v>
      </c>
      <c r="N2093" t="s">
        <v>31</v>
      </c>
      <c r="Q2093" t="s">
        <v>5330</v>
      </c>
      <c r="R2093" t="s">
        <v>5330</v>
      </c>
    </row>
    <row r="2094" spans="1:18" x14ac:dyDescent="0.3">
      <c r="A2094" s="2" t="str">
        <f>HYPERLINK(B2094,"Oppna PDF")</f>
        <v>Oppna PDF</v>
      </c>
      <c r="B2094" t="s">
        <v>5594</v>
      </c>
      <c r="C2094" t="s">
        <v>5595</v>
      </c>
      <c r="D2094" t="s">
        <v>5584</v>
      </c>
      <c r="E2094" t="s">
        <v>5596</v>
      </c>
      <c r="H2094" t="s">
        <v>61</v>
      </c>
      <c r="I2094" t="s">
        <v>5586</v>
      </c>
      <c r="J2094" t="s">
        <v>38</v>
      </c>
      <c r="K2094" t="s">
        <v>39</v>
      </c>
      <c r="L2094" t="s">
        <v>29</v>
      </c>
      <c r="M2094" t="s">
        <v>30</v>
      </c>
      <c r="N2094" t="s">
        <v>31</v>
      </c>
      <c r="Q2094" t="s">
        <v>5326</v>
      </c>
      <c r="R2094" t="s">
        <v>5326</v>
      </c>
    </row>
    <row r="2095" spans="1:18" x14ac:dyDescent="0.3">
      <c r="A2095" s="2" t="str">
        <f>HYPERLINK(B2095,"Oppna PDF")</f>
        <v>Oppna PDF</v>
      </c>
      <c r="B2095" t="s">
        <v>5594</v>
      </c>
      <c r="C2095" t="s">
        <v>5597</v>
      </c>
      <c r="D2095" t="s">
        <v>5584</v>
      </c>
      <c r="E2095" t="s">
        <v>5596</v>
      </c>
      <c r="H2095" t="s">
        <v>61</v>
      </c>
      <c r="I2095" t="s">
        <v>5586</v>
      </c>
      <c r="J2095" t="s">
        <v>27</v>
      </c>
      <c r="K2095" t="s">
        <v>28</v>
      </c>
      <c r="L2095" t="s">
        <v>300</v>
      </c>
      <c r="M2095" t="s">
        <v>30</v>
      </c>
      <c r="N2095" t="s">
        <v>31</v>
      </c>
      <c r="Q2095" t="s">
        <v>5598</v>
      </c>
      <c r="R2095" t="s">
        <v>5598</v>
      </c>
    </row>
    <row r="2096" spans="1:18" x14ac:dyDescent="0.3">
      <c r="A2096" s="2" t="str">
        <f>HYPERLINK(B2096,"Oppna PDF")</f>
        <v>Oppna PDF</v>
      </c>
      <c r="B2096" t="s">
        <v>5594</v>
      </c>
      <c r="C2096" t="s">
        <v>5599</v>
      </c>
      <c r="D2096" t="s">
        <v>5584</v>
      </c>
      <c r="E2096" t="s">
        <v>5596</v>
      </c>
      <c r="H2096" t="s">
        <v>61</v>
      </c>
      <c r="I2096" t="s">
        <v>5586</v>
      </c>
      <c r="J2096" t="s">
        <v>87</v>
      </c>
      <c r="K2096" t="s">
        <v>88</v>
      </c>
      <c r="L2096" t="s">
        <v>29</v>
      </c>
      <c r="M2096" t="s">
        <v>30</v>
      </c>
      <c r="N2096" t="s">
        <v>31</v>
      </c>
      <c r="Q2096" t="s">
        <v>5330</v>
      </c>
      <c r="R2096" t="s">
        <v>5330</v>
      </c>
    </row>
    <row r="2097" spans="1:18" x14ac:dyDescent="0.3">
      <c r="A2097" s="2" t="str">
        <f>HYPERLINK(B2097,"Oppna PDF")</f>
        <v>Oppna PDF</v>
      </c>
      <c r="B2097" t="s">
        <v>5600</v>
      </c>
      <c r="C2097" t="s">
        <v>5601</v>
      </c>
      <c r="D2097" t="s">
        <v>5584</v>
      </c>
      <c r="E2097" t="s">
        <v>5602</v>
      </c>
      <c r="H2097" t="s">
        <v>61</v>
      </c>
      <c r="I2097" t="s">
        <v>5586</v>
      </c>
      <c r="J2097" t="s">
        <v>38</v>
      </c>
      <c r="K2097" t="s">
        <v>39</v>
      </c>
      <c r="L2097" t="s">
        <v>29</v>
      </c>
      <c r="M2097" t="s">
        <v>30</v>
      </c>
      <c r="N2097" t="s">
        <v>31</v>
      </c>
      <c r="Q2097" t="s">
        <v>5326</v>
      </c>
      <c r="R2097" t="s">
        <v>5326</v>
      </c>
    </row>
    <row r="2098" spans="1:18" x14ac:dyDescent="0.3">
      <c r="A2098" s="2" t="str">
        <f>HYPERLINK(B2098,"Oppna PDF")</f>
        <v>Oppna PDF</v>
      </c>
      <c r="B2098" t="s">
        <v>5600</v>
      </c>
      <c r="C2098" t="s">
        <v>5603</v>
      </c>
      <c r="D2098" t="s">
        <v>5584</v>
      </c>
      <c r="E2098" t="s">
        <v>5602</v>
      </c>
      <c r="H2098" t="s">
        <v>61</v>
      </c>
      <c r="I2098" t="s">
        <v>5586</v>
      </c>
      <c r="J2098" t="s">
        <v>34</v>
      </c>
      <c r="K2098" t="s">
        <v>35</v>
      </c>
      <c r="L2098" t="s">
        <v>29</v>
      </c>
      <c r="M2098" t="s">
        <v>30</v>
      </c>
      <c r="N2098" t="s">
        <v>31</v>
      </c>
      <c r="Q2098" t="s">
        <v>5604</v>
      </c>
      <c r="R2098" t="s">
        <v>5605</v>
      </c>
    </row>
    <row r="2099" spans="1:18" x14ac:dyDescent="0.3">
      <c r="A2099" s="2" t="str">
        <f>HYPERLINK(B2099,"Oppna PDF")</f>
        <v>Oppna PDF</v>
      </c>
      <c r="B2099" t="s">
        <v>5600</v>
      </c>
      <c r="C2099" t="s">
        <v>5606</v>
      </c>
      <c r="D2099" t="s">
        <v>5584</v>
      </c>
      <c r="E2099" t="s">
        <v>5602</v>
      </c>
      <c r="H2099" t="s">
        <v>61</v>
      </c>
      <c r="I2099" t="s">
        <v>5586</v>
      </c>
      <c r="J2099" t="s">
        <v>27</v>
      </c>
      <c r="K2099" t="s">
        <v>28</v>
      </c>
      <c r="L2099" t="s">
        <v>300</v>
      </c>
      <c r="M2099" t="s">
        <v>30</v>
      </c>
      <c r="N2099" t="s">
        <v>31</v>
      </c>
      <c r="Q2099" t="s">
        <v>5607</v>
      </c>
      <c r="R2099" t="s">
        <v>5607</v>
      </c>
    </row>
    <row r="2100" spans="1:18" x14ac:dyDescent="0.3">
      <c r="A2100" s="2" t="str">
        <f>HYPERLINK(B2100,"Oppna PDF")</f>
        <v>Oppna PDF</v>
      </c>
      <c r="B2100" t="s">
        <v>5608</v>
      </c>
      <c r="C2100" t="s">
        <v>5609</v>
      </c>
      <c r="D2100" t="s">
        <v>5584</v>
      </c>
      <c r="E2100" t="s">
        <v>5610</v>
      </c>
      <c r="H2100" t="s">
        <v>61</v>
      </c>
      <c r="I2100" t="s">
        <v>5586</v>
      </c>
      <c r="J2100" t="s">
        <v>38</v>
      </c>
      <c r="K2100" t="s">
        <v>39</v>
      </c>
      <c r="L2100" t="s">
        <v>29</v>
      </c>
      <c r="M2100" t="s">
        <v>30</v>
      </c>
      <c r="N2100" t="s">
        <v>31</v>
      </c>
      <c r="Q2100" t="s">
        <v>5326</v>
      </c>
      <c r="R2100" t="s">
        <v>5326</v>
      </c>
    </row>
    <row r="2101" spans="1:18" x14ac:dyDescent="0.3">
      <c r="A2101" s="2" t="str">
        <f>HYPERLINK(B2101,"Oppna PDF")</f>
        <v>Oppna PDF</v>
      </c>
      <c r="B2101" t="s">
        <v>5608</v>
      </c>
      <c r="C2101" t="s">
        <v>5611</v>
      </c>
      <c r="D2101" t="s">
        <v>5584</v>
      </c>
      <c r="E2101" t="s">
        <v>5610</v>
      </c>
      <c r="H2101" t="s">
        <v>61</v>
      </c>
      <c r="I2101" t="s">
        <v>5586</v>
      </c>
      <c r="J2101" t="s">
        <v>87</v>
      </c>
      <c r="K2101" t="s">
        <v>88</v>
      </c>
      <c r="L2101" t="s">
        <v>29</v>
      </c>
      <c r="M2101" t="s">
        <v>30</v>
      </c>
      <c r="N2101" t="s">
        <v>31</v>
      </c>
      <c r="Q2101" t="s">
        <v>5330</v>
      </c>
      <c r="R2101" t="s">
        <v>5330</v>
      </c>
    </row>
    <row r="2102" spans="1:18" x14ac:dyDescent="0.3">
      <c r="A2102" s="2" t="str">
        <f>HYPERLINK(B2102,"Oppna PDF")</f>
        <v>Oppna PDF</v>
      </c>
      <c r="B2102" t="s">
        <v>5612</v>
      </c>
      <c r="C2102" t="s">
        <v>5613</v>
      </c>
      <c r="D2102" t="s">
        <v>5614</v>
      </c>
      <c r="E2102" t="s">
        <v>5615</v>
      </c>
      <c r="H2102" t="s">
        <v>61</v>
      </c>
      <c r="I2102" t="s">
        <v>5616</v>
      </c>
      <c r="J2102" t="s">
        <v>38</v>
      </c>
      <c r="K2102" t="s">
        <v>39</v>
      </c>
      <c r="L2102" t="s">
        <v>29</v>
      </c>
      <c r="M2102" t="s">
        <v>30</v>
      </c>
      <c r="N2102" t="s">
        <v>31</v>
      </c>
      <c r="Q2102" t="s">
        <v>5326</v>
      </c>
      <c r="R2102" t="s">
        <v>5326</v>
      </c>
    </row>
    <row r="2103" spans="1:18" x14ac:dyDescent="0.3">
      <c r="A2103" s="2" t="str">
        <f>HYPERLINK(B2103,"Oppna PDF")</f>
        <v>Oppna PDF</v>
      </c>
      <c r="B2103" t="s">
        <v>5612</v>
      </c>
      <c r="C2103" t="s">
        <v>5617</v>
      </c>
      <c r="D2103" t="s">
        <v>5614</v>
      </c>
      <c r="E2103" t="s">
        <v>5615</v>
      </c>
      <c r="H2103" t="s">
        <v>61</v>
      </c>
      <c r="I2103" t="s">
        <v>5616</v>
      </c>
      <c r="J2103" t="s">
        <v>87</v>
      </c>
      <c r="K2103" t="s">
        <v>88</v>
      </c>
      <c r="L2103" t="s">
        <v>29</v>
      </c>
      <c r="M2103" t="s">
        <v>30</v>
      </c>
      <c r="N2103" t="s">
        <v>31</v>
      </c>
      <c r="Q2103" t="s">
        <v>5330</v>
      </c>
      <c r="R2103" t="s">
        <v>5330</v>
      </c>
    </row>
    <row r="2104" spans="1:18" x14ac:dyDescent="0.3">
      <c r="A2104" s="2" t="str">
        <f>HYPERLINK(B2104,"Oppna PDF")</f>
        <v>Oppna PDF</v>
      </c>
      <c r="B2104" t="s">
        <v>5612</v>
      </c>
      <c r="C2104" t="s">
        <v>5618</v>
      </c>
      <c r="D2104" t="s">
        <v>5614</v>
      </c>
      <c r="E2104" t="s">
        <v>5615</v>
      </c>
      <c r="H2104" t="s">
        <v>61</v>
      </c>
      <c r="I2104" t="s">
        <v>5616</v>
      </c>
      <c r="J2104" t="s">
        <v>34</v>
      </c>
      <c r="K2104" t="s">
        <v>35</v>
      </c>
      <c r="L2104" t="s">
        <v>29</v>
      </c>
      <c r="M2104" t="s">
        <v>30</v>
      </c>
      <c r="N2104" t="s">
        <v>31</v>
      </c>
      <c r="Q2104" t="s">
        <v>5350</v>
      </c>
      <c r="R2104" t="s">
        <v>5350</v>
      </c>
    </row>
    <row r="2105" spans="1:18" x14ac:dyDescent="0.3">
      <c r="A2105" s="2" t="str">
        <f>HYPERLINK(B2105,"Oppna PDF")</f>
        <v>Oppna PDF</v>
      </c>
      <c r="B2105" t="s">
        <v>5619</v>
      </c>
      <c r="C2105" t="s">
        <v>5620</v>
      </c>
      <c r="D2105" t="s">
        <v>5614</v>
      </c>
      <c r="E2105" t="s">
        <v>5621</v>
      </c>
      <c r="H2105" t="s">
        <v>61</v>
      </c>
      <c r="I2105" t="s">
        <v>5616</v>
      </c>
      <c r="J2105" t="s">
        <v>38</v>
      </c>
      <c r="K2105" t="s">
        <v>39</v>
      </c>
      <c r="L2105" t="s">
        <v>29</v>
      </c>
      <c r="M2105" t="s">
        <v>30</v>
      </c>
      <c r="N2105" t="s">
        <v>31</v>
      </c>
      <c r="Q2105" t="s">
        <v>5326</v>
      </c>
      <c r="R2105" t="s">
        <v>5326</v>
      </c>
    </row>
    <row r="2106" spans="1:18" x14ac:dyDescent="0.3">
      <c r="A2106" s="2" t="str">
        <f>HYPERLINK(B2106,"Oppna PDF")</f>
        <v>Oppna PDF</v>
      </c>
      <c r="B2106" t="s">
        <v>5619</v>
      </c>
      <c r="C2106" t="s">
        <v>5622</v>
      </c>
      <c r="D2106" t="s">
        <v>5614</v>
      </c>
      <c r="E2106" t="s">
        <v>5621</v>
      </c>
      <c r="H2106" t="s">
        <v>61</v>
      </c>
      <c r="I2106" t="s">
        <v>5616</v>
      </c>
      <c r="J2106" t="s">
        <v>87</v>
      </c>
      <c r="K2106" t="s">
        <v>88</v>
      </c>
      <c r="L2106" t="s">
        <v>29</v>
      </c>
      <c r="M2106" t="s">
        <v>30</v>
      </c>
      <c r="N2106" t="s">
        <v>31</v>
      </c>
      <c r="Q2106" t="s">
        <v>5330</v>
      </c>
      <c r="R2106" t="s">
        <v>5330</v>
      </c>
    </row>
    <row r="2107" spans="1:18" x14ac:dyDescent="0.3">
      <c r="A2107" s="2" t="str">
        <f>HYPERLINK(B2107,"Oppna PDF")</f>
        <v>Oppna PDF</v>
      </c>
      <c r="B2107" t="s">
        <v>5619</v>
      </c>
      <c r="C2107" t="s">
        <v>5623</v>
      </c>
      <c r="D2107" t="s">
        <v>5614</v>
      </c>
      <c r="E2107" t="s">
        <v>5621</v>
      </c>
      <c r="H2107" t="s">
        <v>61</v>
      </c>
      <c r="I2107" t="s">
        <v>5616</v>
      </c>
      <c r="J2107" t="s">
        <v>34</v>
      </c>
      <c r="K2107" t="s">
        <v>35</v>
      </c>
      <c r="L2107" t="s">
        <v>29</v>
      </c>
      <c r="M2107" t="s">
        <v>30</v>
      </c>
      <c r="N2107" t="s">
        <v>31</v>
      </c>
      <c r="Q2107" t="s">
        <v>5624</v>
      </c>
      <c r="R2107" t="s">
        <v>5624</v>
      </c>
    </row>
    <row r="2108" spans="1:18" x14ac:dyDescent="0.3">
      <c r="A2108" s="2" t="str">
        <f>HYPERLINK(B2108,"Oppna PDF")</f>
        <v>Oppna PDF</v>
      </c>
      <c r="B2108" t="s">
        <v>5625</v>
      </c>
      <c r="C2108" t="s">
        <v>5626</v>
      </c>
      <c r="D2108" t="s">
        <v>5614</v>
      </c>
      <c r="E2108" t="s">
        <v>5627</v>
      </c>
      <c r="H2108" t="s">
        <v>61</v>
      </c>
      <c r="I2108" t="s">
        <v>5616</v>
      </c>
      <c r="J2108" t="s">
        <v>38</v>
      </c>
      <c r="K2108" t="s">
        <v>39</v>
      </c>
      <c r="L2108" t="s">
        <v>29</v>
      </c>
      <c r="M2108" t="s">
        <v>30</v>
      </c>
      <c r="N2108" t="s">
        <v>31</v>
      </c>
      <c r="Q2108" t="s">
        <v>5326</v>
      </c>
      <c r="R2108" t="s">
        <v>5326</v>
      </c>
    </row>
    <row r="2109" spans="1:18" x14ac:dyDescent="0.3">
      <c r="A2109" s="2" t="str">
        <f>HYPERLINK(B2109,"Oppna PDF")</f>
        <v>Oppna PDF</v>
      </c>
      <c r="B2109" t="s">
        <v>5625</v>
      </c>
      <c r="C2109" t="s">
        <v>5628</v>
      </c>
      <c r="D2109" t="s">
        <v>5614</v>
      </c>
      <c r="E2109" t="s">
        <v>5627</v>
      </c>
      <c r="H2109" t="s">
        <v>61</v>
      </c>
      <c r="I2109" t="s">
        <v>5616</v>
      </c>
      <c r="J2109" t="s">
        <v>87</v>
      </c>
      <c r="K2109" t="s">
        <v>88</v>
      </c>
      <c r="L2109" t="s">
        <v>29</v>
      </c>
      <c r="M2109" t="s">
        <v>30</v>
      </c>
      <c r="N2109" t="s">
        <v>31</v>
      </c>
      <c r="Q2109" t="s">
        <v>5330</v>
      </c>
      <c r="R2109" t="s">
        <v>5330</v>
      </c>
    </row>
    <row r="2110" spans="1:18" x14ac:dyDescent="0.3">
      <c r="A2110" s="2" t="str">
        <f>HYPERLINK(B2110,"Oppna PDF")</f>
        <v>Oppna PDF</v>
      </c>
      <c r="B2110" t="s">
        <v>5625</v>
      </c>
      <c r="C2110" t="s">
        <v>5629</v>
      </c>
      <c r="D2110" t="s">
        <v>5614</v>
      </c>
      <c r="E2110" t="s">
        <v>5627</v>
      </c>
      <c r="H2110" t="s">
        <v>61</v>
      </c>
      <c r="I2110" t="s">
        <v>5616</v>
      </c>
      <c r="J2110" t="s">
        <v>34</v>
      </c>
      <c r="K2110" t="s">
        <v>35</v>
      </c>
      <c r="L2110" t="s">
        <v>29</v>
      </c>
      <c r="M2110" t="s">
        <v>30</v>
      </c>
      <c r="N2110" t="s">
        <v>31</v>
      </c>
      <c r="Q2110" t="s">
        <v>5624</v>
      </c>
      <c r="R2110" t="s">
        <v>5624</v>
      </c>
    </row>
    <row r="2111" spans="1:18" x14ac:dyDescent="0.3">
      <c r="A2111" s="2" t="str">
        <f>HYPERLINK(B2111,"Oppna PDF")</f>
        <v>Oppna PDF</v>
      </c>
      <c r="B2111" t="s">
        <v>5630</v>
      </c>
      <c r="C2111" t="s">
        <v>5631</v>
      </c>
      <c r="D2111" t="s">
        <v>5614</v>
      </c>
      <c r="E2111" t="s">
        <v>5632</v>
      </c>
      <c r="H2111" t="s">
        <v>61</v>
      </c>
      <c r="I2111" t="s">
        <v>5616</v>
      </c>
      <c r="J2111" t="s">
        <v>38</v>
      </c>
      <c r="K2111" t="s">
        <v>39</v>
      </c>
      <c r="L2111" t="s">
        <v>29</v>
      </c>
      <c r="M2111" t="s">
        <v>30</v>
      </c>
      <c r="N2111" t="s">
        <v>31</v>
      </c>
      <c r="Q2111" t="s">
        <v>5326</v>
      </c>
      <c r="R2111" t="s">
        <v>5326</v>
      </c>
    </row>
    <row r="2112" spans="1:18" x14ac:dyDescent="0.3">
      <c r="A2112" s="2" t="str">
        <f>HYPERLINK(B2112,"Oppna PDF")</f>
        <v>Oppna PDF</v>
      </c>
      <c r="B2112" t="s">
        <v>5630</v>
      </c>
      <c r="C2112" t="s">
        <v>5633</v>
      </c>
      <c r="D2112" t="s">
        <v>5614</v>
      </c>
      <c r="E2112" t="s">
        <v>5632</v>
      </c>
      <c r="H2112" t="s">
        <v>61</v>
      </c>
      <c r="I2112" t="s">
        <v>5616</v>
      </c>
      <c r="J2112" t="s">
        <v>87</v>
      </c>
      <c r="K2112" t="s">
        <v>88</v>
      </c>
      <c r="L2112" t="s">
        <v>29</v>
      </c>
      <c r="M2112" t="s">
        <v>30</v>
      </c>
      <c r="N2112" t="s">
        <v>31</v>
      </c>
      <c r="Q2112" t="s">
        <v>5330</v>
      </c>
      <c r="R2112" t="s">
        <v>5330</v>
      </c>
    </row>
    <row r="2113" spans="1:18" x14ac:dyDescent="0.3">
      <c r="A2113" s="2" t="str">
        <f>HYPERLINK(B2113,"Oppna PDF")</f>
        <v>Oppna PDF</v>
      </c>
      <c r="B2113" t="s">
        <v>5630</v>
      </c>
      <c r="C2113" t="s">
        <v>5634</v>
      </c>
      <c r="D2113" t="s">
        <v>5614</v>
      </c>
      <c r="E2113" t="s">
        <v>5632</v>
      </c>
      <c r="H2113" t="s">
        <v>61</v>
      </c>
      <c r="I2113" t="s">
        <v>5616</v>
      </c>
      <c r="J2113" t="s">
        <v>34</v>
      </c>
      <c r="K2113" t="s">
        <v>35</v>
      </c>
      <c r="L2113" t="s">
        <v>29</v>
      </c>
      <c r="M2113" t="s">
        <v>30</v>
      </c>
      <c r="N2113" t="s">
        <v>31</v>
      </c>
      <c r="Q2113" t="s">
        <v>5350</v>
      </c>
      <c r="R2113" t="s">
        <v>5350</v>
      </c>
    </row>
    <row r="2114" spans="1:18" x14ac:dyDescent="0.3">
      <c r="A2114" s="2" t="str">
        <f>HYPERLINK(B2114,"Oppna PDF")</f>
        <v>Oppna PDF</v>
      </c>
      <c r="B2114" t="s">
        <v>5635</v>
      </c>
      <c r="C2114" t="s">
        <v>5636</v>
      </c>
      <c r="D2114" t="s">
        <v>5614</v>
      </c>
      <c r="E2114" t="s">
        <v>5637</v>
      </c>
      <c r="H2114" t="s">
        <v>61</v>
      </c>
      <c r="I2114" t="s">
        <v>5616</v>
      </c>
      <c r="J2114" t="s">
        <v>38</v>
      </c>
      <c r="K2114" t="s">
        <v>39</v>
      </c>
      <c r="L2114" t="s">
        <v>29</v>
      </c>
      <c r="M2114" t="s">
        <v>30</v>
      </c>
      <c r="N2114" t="s">
        <v>31</v>
      </c>
      <c r="Q2114" t="s">
        <v>5326</v>
      </c>
      <c r="R2114" t="s">
        <v>5326</v>
      </c>
    </row>
    <row r="2115" spans="1:18" x14ac:dyDescent="0.3">
      <c r="A2115" s="2" t="str">
        <f>HYPERLINK(B2115,"Oppna PDF")</f>
        <v>Oppna PDF</v>
      </c>
      <c r="B2115" t="s">
        <v>5635</v>
      </c>
      <c r="C2115" t="s">
        <v>5638</v>
      </c>
      <c r="D2115" t="s">
        <v>5614</v>
      </c>
      <c r="E2115" t="s">
        <v>5637</v>
      </c>
      <c r="H2115" t="s">
        <v>61</v>
      </c>
      <c r="I2115" t="s">
        <v>5616</v>
      </c>
      <c r="J2115" t="s">
        <v>27</v>
      </c>
      <c r="K2115" t="s">
        <v>28</v>
      </c>
      <c r="L2115" t="s">
        <v>300</v>
      </c>
      <c r="M2115" t="s">
        <v>30</v>
      </c>
      <c r="N2115" t="s">
        <v>31</v>
      </c>
      <c r="Q2115" t="s">
        <v>5639</v>
      </c>
      <c r="R2115" t="s">
        <v>5639</v>
      </c>
    </row>
    <row r="2116" spans="1:18" x14ac:dyDescent="0.3">
      <c r="A2116" s="2" t="str">
        <f>HYPERLINK(B2116,"Oppna PDF")</f>
        <v>Oppna PDF</v>
      </c>
      <c r="B2116" t="s">
        <v>5635</v>
      </c>
      <c r="C2116" t="s">
        <v>5640</v>
      </c>
      <c r="D2116" t="s">
        <v>5614</v>
      </c>
      <c r="E2116" t="s">
        <v>5637</v>
      </c>
      <c r="H2116" t="s">
        <v>61</v>
      </c>
      <c r="I2116" t="s">
        <v>5616</v>
      </c>
      <c r="J2116" t="s">
        <v>87</v>
      </c>
      <c r="K2116" t="s">
        <v>88</v>
      </c>
      <c r="L2116" t="s">
        <v>29</v>
      </c>
      <c r="M2116" t="s">
        <v>30</v>
      </c>
      <c r="N2116" t="s">
        <v>31</v>
      </c>
      <c r="Q2116" t="s">
        <v>5330</v>
      </c>
      <c r="R2116" t="s">
        <v>5330</v>
      </c>
    </row>
    <row r="2117" spans="1:18" x14ac:dyDescent="0.3">
      <c r="A2117" s="2" t="str">
        <f>HYPERLINK(B2117,"Oppna PDF")</f>
        <v>Oppna PDF</v>
      </c>
      <c r="B2117" t="s">
        <v>5641</v>
      </c>
      <c r="C2117" t="s">
        <v>5642</v>
      </c>
      <c r="D2117" t="s">
        <v>5643</v>
      </c>
      <c r="E2117" t="s">
        <v>5644</v>
      </c>
      <c r="H2117" t="s">
        <v>61</v>
      </c>
      <c r="I2117" t="s">
        <v>5645</v>
      </c>
      <c r="J2117" t="s">
        <v>38</v>
      </c>
      <c r="K2117" t="s">
        <v>39</v>
      </c>
      <c r="L2117" t="s">
        <v>29</v>
      </c>
      <c r="M2117" t="s">
        <v>30</v>
      </c>
      <c r="N2117" t="s">
        <v>31</v>
      </c>
      <c r="Q2117" t="s">
        <v>5326</v>
      </c>
      <c r="R2117" t="s">
        <v>5326</v>
      </c>
    </row>
    <row r="2118" spans="1:18" x14ac:dyDescent="0.3">
      <c r="A2118" s="2" t="str">
        <f>HYPERLINK(B2118,"Oppna PDF")</f>
        <v>Oppna PDF</v>
      </c>
      <c r="B2118" t="s">
        <v>5641</v>
      </c>
      <c r="C2118" t="s">
        <v>5646</v>
      </c>
      <c r="D2118" t="s">
        <v>5643</v>
      </c>
      <c r="E2118" t="s">
        <v>5644</v>
      </c>
      <c r="H2118" t="s">
        <v>61</v>
      </c>
      <c r="I2118" t="s">
        <v>5645</v>
      </c>
      <c r="J2118" t="s">
        <v>87</v>
      </c>
      <c r="K2118" t="s">
        <v>88</v>
      </c>
      <c r="L2118" t="s">
        <v>29</v>
      </c>
      <c r="M2118" t="s">
        <v>30</v>
      </c>
      <c r="N2118" t="s">
        <v>31</v>
      </c>
      <c r="Q2118" t="s">
        <v>5330</v>
      </c>
      <c r="R2118" t="s">
        <v>5330</v>
      </c>
    </row>
    <row r="2119" spans="1:18" x14ac:dyDescent="0.3">
      <c r="A2119" s="2" t="str">
        <f>HYPERLINK(B2119,"Oppna PDF")</f>
        <v>Oppna PDF</v>
      </c>
      <c r="B2119" t="s">
        <v>5641</v>
      </c>
      <c r="C2119" t="s">
        <v>5647</v>
      </c>
      <c r="D2119" t="s">
        <v>5643</v>
      </c>
      <c r="E2119" t="s">
        <v>5644</v>
      </c>
      <c r="H2119" t="s">
        <v>61</v>
      </c>
      <c r="I2119" t="s">
        <v>5645</v>
      </c>
      <c r="J2119" t="s">
        <v>34</v>
      </c>
      <c r="K2119" t="s">
        <v>35</v>
      </c>
      <c r="L2119" t="s">
        <v>29</v>
      </c>
      <c r="M2119" t="s">
        <v>30</v>
      </c>
      <c r="N2119" t="s">
        <v>31</v>
      </c>
      <c r="Q2119" t="s">
        <v>5350</v>
      </c>
      <c r="R2119" t="s">
        <v>5350</v>
      </c>
    </row>
    <row r="2120" spans="1:18" x14ac:dyDescent="0.3">
      <c r="A2120" s="2" t="str">
        <f>HYPERLINK(B2120,"Oppna PDF")</f>
        <v>Oppna PDF</v>
      </c>
      <c r="B2120" t="s">
        <v>5648</v>
      </c>
      <c r="C2120" t="s">
        <v>5649</v>
      </c>
      <c r="D2120" t="s">
        <v>5643</v>
      </c>
      <c r="E2120" t="s">
        <v>5650</v>
      </c>
      <c r="H2120" t="s">
        <v>61</v>
      </c>
      <c r="I2120" t="s">
        <v>5645</v>
      </c>
      <c r="J2120" t="s">
        <v>38</v>
      </c>
      <c r="K2120" t="s">
        <v>39</v>
      </c>
      <c r="L2120" t="s">
        <v>29</v>
      </c>
      <c r="M2120" t="s">
        <v>30</v>
      </c>
      <c r="N2120" t="s">
        <v>31</v>
      </c>
      <c r="Q2120" t="s">
        <v>5326</v>
      </c>
      <c r="R2120" t="s">
        <v>5326</v>
      </c>
    </row>
    <row r="2121" spans="1:18" x14ac:dyDescent="0.3">
      <c r="A2121" s="2" t="str">
        <f>HYPERLINK(B2121,"Oppna PDF")</f>
        <v>Oppna PDF</v>
      </c>
      <c r="B2121" t="s">
        <v>5648</v>
      </c>
      <c r="C2121" t="s">
        <v>5651</v>
      </c>
      <c r="D2121" t="s">
        <v>5643</v>
      </c>
      <c r="E2121" t="s">
        <v>5650</v>
      </c>
      <c r="H2121" t="s">
        <v>61</v>
      </c>
      <c r="I2121" t="s">
        <v>5645</v>
      </c>
      <c r="J2121" t="s">
        <v>91</v>
      </c>
      <c r="K2121" t="s">
        <v>92</v>
      </c>
      <c r="L2121" t="s">
        <v>300</v>
      </c>
      <c r="M2121" t="s">
        <v>30</v>
      </c>
      <c r="N2121" t="s">
        <v>31</v>
      </c>
      <c r="Q2121" t="s">
        <v>4708</v>
      </c>
      <c r="R2121" t="s">
        <v>4708</v>
      </c>
    </row>
    <row r="2122" spans="1:18" x14ac:dyDescent="0.3">
      <c r="A2122" s="2" t="str">
        <f>HYPERLINK(B2122,"Oppna PDF")</f>
        <v>Oppna PDF</v>
      </c>
      <c r="B2122" t="s">
        <v>5648</v>
      </c>
      <c r="C2122" t="s">
        <v>5652</v>
      </c>
      <c r="D2122" t="s">
        <v>5643</v>
      </c>
      <c r="E2122" t="s">
        <v>5650</v>
      </c>
      <c r="H2122" t="s">
        <v>61</v>
      </c>
      <c r="I2122" t="s">
        <v>5645</v>
      </c>
      <c r="J2122" t="s">
        <v>87</v>
      </c>
      <c r="K2122" t="s">
        <v>88</v>
      </c>
      <c r="L2122" t="s">
        <v>29</v>
      </c>
      <c r="M2122" t="s">
        <v>30</v>
      </c>
      <c r="N2122" t="s">
        <v>31</v>
      </c>
      <c r="Q2122" t="s">
        <v>5330</v>
      </c>
      <c r="R2122" t="s">
        <v>5330</v>
      </c>
    </row>
    <row r="2123" spans="1:18" x14ac:dyDescent="0.3">
      <c r="A2123" s="2" t="str">
        <f>HYPERLINK(B2123,"Oppna PDF")</f>
        <v>Oppna PDF</v>
      </c>
      <c r="B2123" t="s">
        <v>5653</v>
      </c>
      <c r="C2123" t="s">
        <v>5654</v>
      </c>
      <c r="D2123" t="s">
        <v>5643</v>
      </c>
      <c r="E2123" t="s">
        <v>5655</v>
      </c>
      <c r="H2123" t="s">
        <v>61</v>
      </c>
      <c r="I2123" t="s">
        <v>5645</v>
      </c>
      <c r="J2123" t="s">
        <v>38</v>
      </c>
      <c r="K2123" t="s">
        <v>39</v>
      </c>
      <c r="L2123" t="s">
        <v>29</v>
      </c>
      <c r="M2123" t="s">
        <v>30</v>
      </c>
      <c r="N2123" t="s">
        <v>31</v>
      </c>
      <c r="Q2123" t="s">
        <v>5326</v>
      </c>
      <c r="R2123" t="s">
        <v>5326</v>
      </c>
    </row>
    <row r="2124" spans="1:18" x14ac:dyDescent="0.3">
      <c r="A2124" s="2" t="str">
        <f>HYPERLINK(B2124,"Oppna PDF")</f>
        <v>Oppna PDF</v>
      </c>
      <c r="B2124" t="s">
        <v>5653</v>
      </c>
      <c r="C2124" t="s">
        <v>5656</v>
      </c>
      <c r="D2124" t="s">
        <v>5643</v>
      </c>
      <c r="E2124" t="s">
        <v>5655</v>
      </c>
      <c r="H2124" t="s">
        <v>61</v>
      </c>
      <c r="I2124" t="s">
        <v>5645</v>
      </c>
      <c r="J2124" t="s">
        <v>91</v>
      </c>
      <c r="K2124" t="s">
        <v>92</v>
      </c>
      <c r="L2124" t="s">
        <v>300</v>
      </c>
      <c r="M2124" t="s">
        <v>30</v>
      </c>
      <c r="N2124" t="s">
        <v>31</v>
      </c>
      <c r="Q2124" t="s">
        <v>4708</v>
      </c>
      <c r="R2124" t="s">
        <v>4708</v>
      </c>
    </row>
    <row r="2125" spans="1:18" x14ac:dyDescent="0.3">
      <c r="A2125" s="2" t="str">
        <f>HYPERLINK(B2125,"Oppna PDF")</f>
        <v>Oppna PDF</v>
      </c>
      <c r="B2125" t="s">
        <v>5653</v>
      </c>
      <c r="C2125" t="s">
        <v>5657</v>
      </c>
      <c r="D2125" t="s">
        <v>5643</v>
      </c>
      <c r="E2125" t="s">
        <v>5655</v>
      </c>
      <c r="H2125" t="s">
        <v>61</v>
      </c>
      <c r="I2125" t="s">
        <v>5645</v>
      </c>
      <c r="J2125" t="s">
        <v>87</v>
      </c>
      <c r="K2125" t="s">
        <v>88</v>
      </c>
      <c r="L2125" t="s">
        <v>29</v>
      </c>
      <c r="M2125" t="s">
        <v>30</v>
      </c>
      <c r="N2125" t="s">
        <v>31</v>
      </c>
      <c r="Q2125" t="s">
        <v>5330</v>
      </c>
      <c r="R2125" t="s">
        <v>5330</v>
      </c>
    </row>
    <row r="2126" spans="1:18" x14ac:dyDescent="0.3">
      <c r="A2126" s="2" t="str">
        <f>HYPERLINK(B2126,"Oppna PDF")</f>
        <v>Oppna PDF</v>
      </c>
      <c r="B2126" t="s">
        <v>5658</v>
      </c>
      <c r="C2126" t="s">
        <v>5659</v>
      </c>
      <c r="D2126" t="s">
        <v>5643</v>
      </c>
      <c r="E2126" t="s">
        <v>5660</v>
      </c>
      <c r="H2126" t="s">
        <v>61</v>
      </c>
      <c r="I2126" t="s">
        <v>5645</v>
      </c>
      <c r="J2126" t="s">
        <v>38</v>
      </c>
      <c r="K2126" t="s">
        <v>39</v>
      </c>
      <c r="L2126" t="s">
        <v>29</v>
      </c>
      <c r="M2126" t="s">
        <v>30</v>
      </c>
      <c r="N2126" t="s">
        <v>31</v>
      </c>
      <c r="Q2126" t="s">
        <v>5326</v>
      </c>
      <c r="R2126" t="s">
        <v>5326</v>
      </c>
    </row>
    <row r="2127" spans="1:18" x14ac:dyDescent="0.3">
      <c r="A2127" s="2" t="str">
        <f>HYPERLINK(B2127,"Oppna PDF")</f>
        <v>Oppna PDF</v>
      </c>
      <c r="B2127" t="s">
        <v>5658</v>
      </c>
      <c r="C2127" t="s">
        <v>5661</v>
      </c>
      <c r="D2127" t="s">
        <v>5643</v>
      </c>
      <c r="E2127" t="s">
        <v>5660</v>
      </c>
      <c r="H2127" t="s">
        <v>61</v>
      </c>
      <c r="I2127" t="s">
        <v>5645</v>
      </c>
      <c r="J2127" t="s">
        <v>91</v>
      </c>
      <c r="K2127" t="s">
        <v>92</v>
      </c>
      <c r="L2127" t="s">
        <v>29</v>
      </c>
      <c r="M2127" t="s">
        <v>30</v>
      </c>
      <c r="N2127" t="s">
        <v>31</v>
      </c>
      <c r="Q2127" t="s">
        <v>5662</v>
      </c>
      <c r="R2127" t="s">
        <v>5663</v>
      </c>
    </row>
    <row r="2128" spans="1:18" x14ac:dyDescent="0.3">
      <c r="A2128" s="2" t="str">
        <f>HYPERLINK(B2128,"Oppna PDF")</f>
        <v>Oppna PDF</v>
      </c>
      <c r="B2128" t="s">
        <v>5658</v>
      </c>
      <c r="C2128" t="s">
        <v>5664</v>
      </c>
      <c r="D2128" t="s">
        <v>5643</v>
      </c>
      <c r="E2128" t="s">
        <v>5660</v>
      </c>
      <c r="H2128" t="s">
        <v>61</v>
      </c>
      <c r="I2128" t="s">
        <v>5645</v>
      </c>
      <c r="J2128" t="s">
        <v>91</v>
      </c>
      <c r="K2128" t="s">
        <v>92</v>
      </c>
      <c r="L2128" t="s">
        <v>300</v>
      </c>
      <c r="M2128" t="s">
        <v>30</v>
      </c>
      <c r="N2128" t="s">
        <v>31</v>
      </c>
      <c r="Q2128" t="s">
        <v>4708</v>
      </c>
      <c r="R2128" t="s">
        <v>4708</v>
      </c>
    </row>
    <row r="2129" spans="1:18" x14ac:dyDescent="0.3">
      <c r="A2129" s="2" t="str">
        <f>HYPERLINK(B2129,"Oppna PDF")</f>
        <v>Oppna PDF</v>
      </c>
      <c r="B2129" t="s">
        <v>5665</v>
      </c>
      <c r="C2129" t="s">
        <v>5666</v>
      </c>
      <c r="D2129" t="s">
        <v>5643</v>
      </c>
      <c r="E2129" t="s">
        <v>5667</v>
      </c>
      <c r="H2129" t="s">
        <v>61</v>
      </c>
      <c r="I2129" t="s">
        <v>5645</v>
      </c>
      <c r="J2129" t="s">
        <v>38</v>
      </c>
      <c r="K2129" t="s">
        <v>39</v>
      </c>
      <c r="L2129" t="s">
        <v>29</v>
      </c>
      <c r="M2129" t="s">
        <v>30</v>
      </c>
      <c r="N2129" t="s">
        <v>31</v>
      </c>
      <c r="Q2129" t="s">
        <v>5326</v>
      </c>
      <c r="R2129" t="s">
        <v>5326</v>
      </c>
    </row>
    <row r="2130" spans="1:18" x14ac:dyDescent="0.3">
      <c r="A2130" s="2" t="str">
        <f>HYPERLINK(B2130,"Oppna PDF")</f>
        <v>Oppna PDF</v>
      </c>
      <c r="B2130" t="s">
        <v>5665</v>
      </c>
      <c r="C2130" t="s">
        <v>5668</v>
      </c>
      <c r="D2130" t="s">
        <v>5643</v>
      </c>
      <c r="E2130" t="s">
        <v>5667</v>
      </c>
      <c r="H2130" t="s">
        <v>61</v>
      </c>
      <c r="I2130" t="s">
        <v>5645</v>
      </c>
      <c r="J2130" t="s">
        <v>91</v>
      </c>
      <c r="K2130" t="s">
        <v>92</v>
      </c>
      <c r="L2130" t="s">
        <v>29</v>
      </c>
      <c r="M2130" t="s">
        <v>30</v>
      </c>
      <c r="N2130" t="s">
        <v>31</v>
      </c>
      <c r="Q2130" t="s">
        <v>5669</v>
      </c>
      <c r="R2130" t="s">
        <v>5670</v>
      </c>
    </row>
    <row r="2131" spans="1:18" x14ac:dyDescent="0.3">
      <c r="A2131" s="2" t="str">
        <f>HYPERLINK(B2131,"Oppna PDF")</f>
        <v>Oppna PDF</v>
      </c>
      <c r="B2131" t="s">
        <v>5665</v>
      </c>
      <c r="C2131" t="s">
        <v>5671</v>
      </c>
      <c r="D2131" t="s">
        <v>5643</v>
      </c>
      <c r="E2131" t="s">
        <v>5667</v>
      </c>
      <c r="H2131" t="s">
        <v>61</v>
      </c>
      <c r="I2131" t="s">
        <v>5645</v>
      </c>
      <c r="J2131" t="s">
        <v>87</v>
      </c>
      <c r="K2131" t="s">
        <v>88</v>
      </c>
      <c r="L2131" t="s">
        <v>29</v>
      </c>
      <c r="M2131" t="s">
        <v>30</v>
      </c>
      <c r="N2131" t="s">
        <v>31</v>
      </c>
      <c r="Q2131" t="s">
        <v>5330</v>
      </c>
      <c r="R2131" t="s">
        <v>5330</v>
      </c>
    </row>
    <row r="2132" spans="1:18" x14ac:dyDescent="0.3">
      <c r="A2132" s="2" t="str">
        <f>HYPERLINK(B2132,"Oppna PDF")</f>
        <v>Oppna PDF</v>
      </c>
      <c r="B2132" t="s">
        <v>5672</v>
      </c>
      <c r="C2132" t="s">
        <v>5673</v>
      </c>
      <c r="D2132" t="s">
        <v>5674</v>
      </c>
      <c r="E2132" t="s">
        <v>5675</v>
      </c>
      <c r="H2132" t="s">
        <v>61</v>
      </c>
      <c r="I2132" t="s">
        <v>5676</v>
      </c>
      <c r="J2132" t="s">
        <v>38</v>
      </c>
      <c r="K2132" t="s">
        <v>39</v>
      </c>
      <c r="L2132" t="s">
        <v>29</v>
      </c>
      <c r="M2132" t="s">
        <v>30</v>
      </c>
      <c r="N2132" t="s">
        <v>31</v>
      </c>
      <c r="Q2132" t="s">
        <v>5326</v>
      </c>
      <c r="R2132" t="s">
        <v>5326</v>
      </c>
    </row>
    <row r="2133" spans="1:18" x14ac:dyDescent="0.3">
      <c r="A2133" s="2" t="str">
        <f>HYPERLINK(B2133,"Oppna PDF")</f>
        <v>Oppna PDF</v>
      </c>
      <c r="B2133" t="s">
        <v>5672</v>
      </c>
      <c r="C2133" t="s">
        <v>5677</v>
      </c>
      <c r="D2133" t="s">
        <v>5674</v>
      </c>
      <c r="E2133" t="s">
        <v>5675</v>
      </c>
      <c r="H2133" t="s">
        <v>61</v>
      </c>
      <c r="I2133" t="s">
        <v>5676</v>
      </c>
      <c r="J2133" t="s">
        <v>91</v>
      </c>
      <c r="K2133" t="s">
        <v>92</v>
      </c>
      <c r="L2133" t="s">
        <v>300</v>
      </c>
      <c r="M2133" t="s">
        <v>30</v>
      </c>
      <c r="N2133" t="s">
        <v>31</v>
      </c>
      <c r="Q2133" t="s">
        <v>4708</v>
      </c>
      <c r="R2133" t="s">
        <v>4708</v>
      </c>
    </row>
    <row r="2134" spans="1:18" x14ac:dyDescent="0.3">
      <c r="A2134" s="2" t="str">
        <f>HYPERLINK(B2134,"Oppna PDF")</f>
        <v>Oppna PDF</v>
      </c>
      <c r="B2134" t="s">
        <v>5672</v>
      </c>
      <c r="C2134" t="s">
        <v>5678</v>
      </c>
      <c r="D2134" t="s">
        <v>5674</v>
      </c>
      <c r="E2134" t="s">
        <v>5675</v>
      </c>
      <c r="H2134" t="s">
        <v>61</v>
      </c>
      <c r="I2134" t="s">
        <v>5676</v>
      </c>
      <c r="J2134" t="s">
        <v>87</v>
      </c>
      <c r="K2134" t="s">
        <v>88</v>
      </c>
      <c r="L2134" t="s">
        <v>29</v>
      </c>
      <c r="M2134" t="s">
        <v>30</v>
      </c>
      <c r="N2134" t="s">
        <v>31</v>
      </c>
      <c r="Q2134" t="s">
        <v>5330</v>
      </c>
      <c r="R2134" t="s">
        <v>5330</v>
      </c>
    </row>
    <row r="2135" spans="1:18" x14ac:dyDescent="0.3">
      <c r="A2135" s="2" t="str">
        <f>HYPERLINK(B2135,"Oppna PDF")</f>
        <v>Oppna PDF</v>
      </c>
      <c r="B2135" t="s">
        <v>5679</v>
      </c>
      <c r="C2135" t="s">
        <v>5680</v>
      </c>
      <c r="D2135" t="s">
        <v>5674</v>
      </c>
      <c r="E2135" t="s">
        <v>5681</v>
      </c>
      <c r="H2135" t="s">
        <v>61</v>
      </c>
      <c r="I2135" t="s">
        <v>5676</v>
      </c>
      <c r="J2135" t="s">
        <v>38</v>
      </c>
      <c r="K2135" t="s">
        <v>39</v>
      </c>
      <c r="L2135" t="s">
        <v>29</v>
      </c>
      <c r="M2135" t="s">
        <v>30</v>
      </c>
      <c r="N2135" t="s">
        <v>31</v>
      </c>
      <c r="Q2135" t="s">
        <v>5326</v>
      </c>
      <c r="R2135" t="s">
        <v>5326</v>
      </c>
    </row>
    <row r="2136" spans="1:18" x14ac:dyDescent="0.3">
      <c r="A2136" s="2" t="str">
        <f>HYPERLINK(B2136,"Oppna PDF")</f>
        <v>Oppna PDF</v>
      </c>
      <c r="B2136" t="s">
        <v>5679</v>
      </c>
      <c r="C2136" t="s">
        <v>5682</v>
      </c>
      <c r="D2136" t="s">
        <v>5674</v>
      </c>
      <c r="E2136" t="s">
        <v>5681</v>
      </c>
      <c r="H2136" t="s">
        <v>61</v>
      </c>
      <c r="I2136" t="s">
        <v>5676</v>
      </c>
      <c r="J2136" t="s">
        <v>91</v>
      </c>
      <c r="K2136" t="s">
        <v>92</v>
      </c>
      <c r="L2136" t="s">
        <v>29</v>
      </c>
      <c r="M2136" t="s">
        <v>30</v>
      </c>
      <c r="N2136" t="s">
        <v>31</v>
      </c>
      <c r="Q2136" t="s">
        <v>5683</v>
      </c>
      <c r="R2136" t="s">
        <v>5684</v>
      </c>
    </row>
    <row r="2137" spans="1:18" x14ac:dyDescent="0.3">
      <c r="A2137" s="2" t="str">
        <f>HYPERLINK(B2137,"Oppna PDF")</f>
        <v>Oppna PDF</v>
      </c>
      <c r="B2137" t="s">
        <v>5679</v>
      </c>
      <c r="C2137" t="s">
        <v>5685</v>
      </c>
      <c r="D2137" t="s">
        <v>5674</v>
      </c>
      <c r="E2137" t="s">
        <v>5681</v>
      </c>
      <c r="H2137" t="s">
        <v>61</v>
      </c>
      <c r="I2137" t="s">
        <v>5676</v>
      </c>
      <c r="J2137" t="s">
        <v>91</v>
      </c>
      <c r="K2137" t="s">
        <v>92</v>
      </c>
      <c r="L2137" t="s">
        <v>29</v>
      </c>
      <c r="M2137" t="s">
        <v>30</v>
      </c>
      <c r="N2137" t="s">
        <v>31</v>
      </c>
      <c r="Q2137" t="s">
        <v>5686</v>
      </c>
      <c r="R2137" t="s">
        <v>5687</v>
      </c>
    </row>
    <row r="2138" spans="1:18" x14ac:dyDescent="0.3">
      <c r="A2138" s="2" t="str">
        <f>HYPERLINK(B2138,"Oppna PDF")</f>
        <v>Oppna PDF</v>
      </c>
      <c r="B2138" t="s">
        <v>5688</v>
      </c>
      <c r="C2138" t="s">
        <v>5689</v>
      </c>
      <c r="D2138" t="s">
        <v>5674</v>
      </c>
      <c r="E2138" t="s">
        <v>5690</v>
      </c>
      <c r="H2138" t="s">
        <v>61</v>
      </c>
      <c r="I2138" t="s">
        <v>5676</v>
      </c>
      <c r="J2138" t="s">
        <v>38</v>
      </c>
      <c r="K2138" t="s">
        <v>39</v>
      </c>
      <c r="L2138" t="s">
        <v>29</v>
      </c>
      <c r="M2138" t="s">
        <v>30</v>
      </c>
      <c r="N2138" t="s">
        <v>31</v>
      </c>
      <c r="Q2138" t="s">
        <v>5326</v>
      </c>
      <c r="R2138" t="s">
        <v>5326</v>
      </c>
    </row>
    <row r="2139" spans="1:18" x14ac:dyDescent="0.3">
      <c r="A2139" s="2" t="str">
        <f>HYPERLINK(B2139,"Oppna PDF")</f>
        <v>Oppna PDF</v>
      </c>
      <c r="B2139" t="s">
        <v>5688</v>
      </c>
      <c r="C2139" t="s">
        <v>5691</v>
      </c>
      <c r="D2139" t="s">
        <v>5674</v>
      </c>
      <c r="E2139" t="s">
        <v>5690</v>
      </c>
      <c r="H2139" t="s">
        <v>61</v>
      </c>
      <c r="I2139" t="s">
        <v>5676</v>
      </c>
      <c r="J2139" t="s">
        <v>27</v>
      </c>
      <c r="K2139" t="s">
        <v>28</v>
      </c>
      <c r="L2139" t="s">
        <v>29</v>
      </c>
      <c r="M2139" t="s">
        <v>30</v>
      </c>
      <c r="N2139" t="s">
        <v>31</v>
      </c>
      <c r="Q2139" t="s">
        <v>5692</v>
      </c>
      <c r="R2139" t="s">
        <v>5692</v>
      </c>
    </row>
    <row r="2140" spans="1:18" x14ac:dyDescent="0.3">
      <c r="A2140" s="2" t="str">
        <f>HYPERLINK(B2140,"Oppna PDF")</f>
        <v>Oppna PDF</v>
      </c>
      <c r="B2140" t="s">
        <v>5688</v>
      </c>
      <c r="C2140" t="s">
        <v>5693</v>
      </c>
      <c r="D2140" t="s">
        <v>5674</v>
      </c>
      <c r="E2140" t="s">
        <v>5690</v>
      </c>
      <c r="H2140" t="s">
        <v>61</v>
      </c>
      <c r="I2140" t="s">
        <v>5676</v>
      </c>
      <c r="J2140" t="s">
        <v>87</v>
      </c>
      <c r="K2140" t="s">
        <v>88</v>
      </c>
      <c r="L2140" t="s">
        <v>29</v>
      </c>
      <c r="M2140" t="s">
        <v>30</v>
      </c>
      <c r="N2140" t="s">
        <v>31</v>
      </c>
      <c r="Q2140" t="s">
        <v>5330</v>
      </c>
      <c r="R2140" t="s">
        <v>5330</v>
      </c>
    </row>
    <row r="2141" spans="1:18" x14ac:dyDescent="0.3">
      <c r="A2141" s="2" t="str">
        <f>HYPERLINK(B2141,"Oppna PDF")</f>
        <v>Oppna PDF</v>
      </c>
      <c r="B2141" t="s">
        <v>5694</v>
      </c>
      <c r="C2141" t="s">
        <v>5695</v>
      </c>
      <c r="D2141" t="s">
        <v>5674</v>
      </c>
      <c r="E2141" t="s">
        <v>5696</v>
      </c>
      <c r="H2141" t="s">
        <v>61</v>
      </c>
      <c r="I2141" t="s">
        <v>5676</v>
      </c>
      <c r="J2141" t="s">
        <v>38</v>
      </c>
      <c r="K2141" t="s">
        <v>39</v>
      </c>
      <c r="L2141" t="s">
        <v>29</v>
      </c>
      <c r="M2141" t="s">
        <v>30</v>
      </c>
      <c r="N2141" t="s">
        <v>31</v>
      </c>
      <c r="Q2141" t="s">
        <v>5326</v>
      </c>
      <c r="R2141" t="s">
        <v>5326</v>
      </c>
    </row>
    <row r="2142" spans="1:18" x14ac:dyDescent="0.3">
      <c r="A2142" s="2" t="str">
        <f>HYPERLINK(B2142,"Oppna PDF")</f>
        <v>Oppna PDF</v>
      </c>
      <c r="B2142" t="s">
        <v>5694</v>
      </c>
      <c r="C2142" t="s">
        <v>5697</v>
      </c>
      <c r="D2142" t="s">
        <v>5674</v>
      </c>
      <c r="E2142" t="s">
        <v>5696</v>
      </c>
      <c r="H2142" t="s">
        <v>61</v>
      </c>
      <c r="I2142" t="s">
        <v>5676</v>
      </c>
      <c r="J2142" t="s">
        <v>34</v>
      </c>
      <c r="K2142" t="s">
        <v>35</v>
      </c>
      <c r="L2142" t="s">
        <v>29</v>
      </c>
      <c r="M2142" t="s">
        <v>30</v>
      </c>
      <c r="N2142" t="s">
        <v>31</v>
      </c>
      <c r="Q2142" t="s">
        <v>5698</v>
      </c>
      <c r="R2142" t="s">
        <v>5699</v>
      </c>
    </row>
    <row r="2143" spans="1:18" x14ac:dyDescent="0.3">
      <c r="A2143" s="2" t="str">
        <f>HYPERLINK(B2143,"Oppna PDF")</f>
        <v>Oppna PDF</v>
      </c>
      <c r="B2143" t="s">
        <v>5694</v>
      </c>
      <c r="C2143" t="s">
        <v>5700</v>
      </c>
      <c r="D2143" t="s">
        <v>5674</v>
      </c>
      <c r="E2143" t="s">
        <v>5696</v>
      </c>
      <c r="H2143" t="s">
        <v>61</v>
      </c>
      <c r="I2143" t="s">
        <v>5676</v>
      </c>
      <c r="J2143" t="s">
        <v>27</v>
      </c>
      <c r="K2143" t="s">
        <v>28</v>
      </c>
      <c r="L2143" t="s">
        <v>300</v>
      </c>
      <c r="M2143" t="s">
        <v>30</v>
      </c>
      <c r="N2143" t="s">
        <v>31</v>
      </c>
      <c r="Q2143" t="s">
        <v>5701</v>
      </c>
      <c r="R2143" t="s">
        <v>5701</v>
      </c>
    </row>
    <row r="2144" spans="1:18" x14ac:dyDescent="0.3">
      <c r="A2144" s="2" t="str">
        <f>HYPERLINK(B2144,"Oppna PDF")</f>
        <v>Oppna PDF</v>
      </c>
      <c r="B2144" t="s">
        <v>5702</v>
      </c>
      <c r="C2144" t="s">
        <v>5703</v>
      </c>
      <c r="D2144" t="s">
        <v>5674</v>
      </c>
      <c r="E2144" t="s">
        <v>5704</v>
      </c>
      <c r="H2144" t="s">
        <v>61</v>
      </c>
      <c r="I2144" t="s">
        <v>5676</v>
      </c>
      <c r="J2144" t="s">
        <v>38</v>
      </c>
      <c r="K2144" t="s">
        <v>39</v>
      </c>
      <c r="L2144" t="s">
        <v>29</v>
      </c>
      <c r="M2144" t="s">
        <v>30</v>
      </c>
      <c r="N2144" t="s">
        <v>31</v>
      </c>
      <c r="Q2144" t="s">
        <v>5326</v>
      </c>
      <c r="R2144" t="s">
        <v>5326</v>
      </c>
    </row>
    <row r="2145" spans="1:18" x14ac:dyDescent="0.3">
      <c r="A2145" s="2" t="str">
        <f>HYPERLINK(B2145,"Oppna PDF")</f>
        <v>Oppna PDF</v>
      </c>
      <c r="B2145" t="s">
        <v>5702</v>
      </c>
      <c r="C2145" t="s">
        <v>5705</v>
      </c>
      <c r="D2145" t="s">
        <v>5674</v>
      </c>
      <c r="E2145" t="s">
        <v>5704</v>
      </c>
      <c r="H2145" t="s">
        <v>61</v>
      </c>
      <c r="I2145" t="s">
        <v>5676</v>
      </c>
      <c r="J2145" t="s">
        <v>91</v>
      </c>
      <c r="K2145" t="s">
        <v>92</v>
      </c>
      <c r="L2145" t="s">
        <v>300</v>
      </c>
      <c r="M2145" t="s">
        <v>30</v>
      </c>
      <c r="N2145" t="s">
        <v>31</v>
      </c>
      <c r="Q2145" t="s">
        <v>4708</v>
      </c>
      <c r="R2145" t="s">
        <v>4708</v>
      </c>
    </row>
    <row r="2146" spans="1:18" x14ac:dyDescent="0.3">
      <c r="A2146" s="2" t="str">
        <f>HYPERLINK(B2146,"Oppna PDF")</f>
        <v>Oppna PDF</v>
      </c>
      <c r="B2146" t="s">
        <v>5702</v>
      </c>
      <c r="C2146" t="s">
        <v>5706</v>
      </c>
      <c r="D2146" t="s">
        <v>5674</v>
      </c>
      <c r="E2146" t="s">
        <v>5704</v>
      </c>
      <c r="H2146" t="s">
        <v>61</v>
      </c>
      <c r="I2146" t="s">
        <v>5676</v>
      </c>
      <c r="J2146" t="s">
        <v>87</v>
      </c>
      <c r="K2146" t="s">
        <v>88</v>
      </c>
      <c r="L2146" t="s">
        <v>29</v>
      </c>
      <c r="M2146" t="s">
        <v>30</v>
      </c>
      <c r="N2146" t="s">
        <v>31</v>
      </c>
      <c r="Q2146" t="s">
        <v>5330</v>
      </c>
      <c r="R2146" t="s">
        <v>5330</v>
      </c>
    </row>
    <row r="2147" spans="1:18" x14ac:dyDescent="0.3">
      <c r="A2147" s="2" t="str">
        <f>HYPERLINK(B2147,"Oppna PDF")</f>
        <v>Oppna PDF</v>
      </c>
      <c r="B2147" t="s">
        <v>5707</v>
      </c>
      <c r="C2147" t="s">
        <v>5708</v>
      </c>
      <c r="D2147" t="s">
        <v>5709</v>
      </c>
      <c r="E2147" t="s">
        <v>5710</v>
      </c>
      <c r="H2147" t="s">
        <v>61</v>
      </c>
      <c r="I2147" t="s">
        <v>5711</v>
      </c>
      <c r="J2147" t="s">
        <v>34</v>
      </c>
      <c r="K2147" t="s">
        <v>35</v>
      </c>
      <c r="L2147" t="s">
        <v>29</v>
      </c>
      <c r="M2147" t="s">
        <v>30</v>
      </c>
      <c r="N2147" t="s">
        <v>31</v>
      </c>
      <c r="Q2147" t="s">
        <v>5712</v>
      </c>
      <c r="R2147" t="s">
        <v>5712</v>
      </c>
    </row>
    <row r="2148" spans="1:18" x14ac:dyDescent="0.3">
      <c r="A2148" s="2" t="str">
        <f>HYPERLINK(B2148,"Oppna PDF")</f>
        <v>Oppna PDF</v>
      </c>
      <c r="B2148" t="s">
        <v>5707</v>
      </c>
      <c r="C2148" t="s">
        <v>5713</v>
      </c>
      <c r="D2148" t="s">
        <v>5709</v>
      </c>
      <c r="E2148" t="s">
        <v>5710</v>
      </c>
      <c r="H2148" t="s">
        <v>61</v>
      </c>
      <c r="I2148" t="s">
        <v>5711</v>
      </c>
      <c r="J2148" t="s">
        <v>27</v>
      </c>
      <c r="K2148" t="s">
        <v>28</v>
      </c>
      <c r="L2148" t="s">
        <v>29</v>
      </c>
      <c r="M2148" t="s">
        <v>30</v>
      </c>
      <c r="N2148" t="s">
        <v>31</v>
      </c>
      <c r="Q2148" t="s">
        <v>5714</v>
      </c>
      <c r="R2148" t="s">
        <v>5714</v>
      </c>
    </row>
    <row r="2149" spans="1:18" x14ac:dyDescent="0.3">
      <c r="A2149" s="2" t="str">
        <f>HYPERLINK(B2149,"Oppna PDF")</f>
        <v>Oppna PDF</v>
      </c>
      <c r="B2149" t="s">
        <v>5707</v>
      </c>
      <c r="C2149" t="s">
        <v>5715</v>
      </c>
      <c r="D2149" t="s">
        <v>5709</v>
      </c>
      <c r="E2149" t="s">
        <v>5710</v>
      </c>
      <c r="H2149" t="s">
        <v>61</v>
      </c>
      <c r="I2149" t="s">
        <v>5711</v>
      </c>
      <c r="J2149" t="s">
        <v>34</v>
      </c>
      <c r="K2149" t="s">
        <v>35</v>
      </c>
      <c r="L2149" t="s">
        <v>29</v>
      </c>
      <c r="M2149" t="s">
        <v>30</v>
      </c>
      <c r="N2149" t="s">
        <v>31</v>
      </c>
      <c r="Q2149" t="s">
        <v>5716</v>
      </c>
      <c r="R2149" t="s">
        <v>5716</v>
      </c>
    </row>
    <row r="2150" spans="1:18" x14ac:dyDescent="0.3">
      <c r="A2150" s="2" t="str">
        <f>HYPERLINK(B2150,"Oppna PDF")</f>
        <v>Oppna PDF</v>
      </c>
      <c r="B2150" t="s">
        <v>5717</v>
      </c>
      <c r="C2150" t="s">
        <v>5718</v>
      </c>
      <c r="D2150" t="s">
        <v>5709</v>
      </c>
      <c r="E2150" t="s">
        <v>5719</v>
      </c>
      <c r="H2150" t="s">
        <v>61</v>
      </c>
      <c r="I2150" t="s">
        <v>5711</v>
      </c>
      <c r="J2150" t="s">
        <v>87</v>
      </c>
      <c r="K2150" t="s">
        <v>88</v>
      </c>
      <c r="L2150" t="s">
        <v>29</v>
      </c>
      <c r="M2150" t="s">
        <v>30</v>
      </c>
      <c r="N2150" t="s">
        <v>31</v>
      </c>
      <c r="Q2150" t="s">
        <v>5720</v>
      </c>
      <c r="R2150" t="s">
        <v>5720</v>
      </c>
    </row>
    <row r="2151" spans="1:18" x14ac:dyDescent="0.3">
      <c r="A2151" s="2" t="str">
        <f>HYPERLINK(B2151,"Oppna PDF")</f>
        <v>Oppna PDF</v>
      </c>
      <c r="B2151" t="s">
        <v>5721</v>
      </c>
      <c r="C2151" t="s">
        <v>5722</v>
      </c>
      <c r="D2151" t="s">
        <v>5723</v>
      </c>
      <c r="E2151" t="s">
        <v>5724</v>
      </c>
      <c r="H2151" t="s">
        <v>61</v>
      </c>
      <c r="I2151" t="s">
        <v>5725</v>
      </c>
      <c r="J2151" t="s">
        <v>38</v>
      </c>
      <c r="K2151" t="s">
        <v>39</v>
      </c>
      <c r="L2151" t="s">
        <v>29</v>
      </c>
      <c r="M2151" t="s">
        <v>30</v>
      </c>
      <c r="N2151" t="s">
        <v>31</v>
      </c>
      <c r="Q2151" t="s">
        <v>5326</v>
      </c>
      <c r="R2151" t="s">
        <v>5326</v>
      </c>
    </row>
    <row r="2152" spans="1:18" x14ac:dyDescent="0.3">
      <c r="A2152" s="2" t="str">
        <f>HYPERLINK(B2152,"Oppna PDF")</f>
        <v>Oppna PDF</v>
      </c>
      <c r="B2152" t="s">
        <v>5721</v>
      </c>
      <c r="C2152" t="s">
        <v>5726</v>
      </c>
      <c r="D2152" t="s">
        <v>5723</v>
      </c>
      <c r="E2152" t="s">
        <v>5724</v>
      </c>
      <c r="H2152" t="s">
        <v>61</v>
      </c>
      <c r="I2152" t="s">
        <v>5725</v>
      </c>
      <c r="J2152" t="s">
        <v>91</v>
      </c>
      <c r="K2152" t="s">
        <v>92</v>
      </c>
      <c r="L2152" t="s">
        <v>300</v>
      </c>
      <c r="M2152" t="s">
        <v>30</v>
      </c>
      <c r="N2152" t="s">
        <v>31</v>
      </c>
      <c r="Q2152" t="s">
        <v>4708</v>
      </c>
      <c r="R2152" t="s">
        <v>4708</v>
      </c>
    </row>
    <row r="2153" spans="1:18" x14ac:dyDescent="0.3">
      <c r="A2153" s="2" t="str">
        <f>HYPERLINK(B2153,"Oppna PDF")</f>
        <v>Oppna PDF</v>
      </c>
      <c r="B2153" t="s">
        <v>5721</v>
      </c>
      <c r="C2153" t="s">
        <v>5727</v>
      </c>
      <c r="D2153" t="s">
        <v>5723</v>
      </c>
      <c r="E2153" t="s">
        <v>5724</v>
      </c>
      <c r="H2153" t="s">
        <v>61</v>
      </c>
      <c r="I2153" t="s">
        <v>5725</v>
      </c>
      <c r="J2153" t="s">
        <v>87</v>
      </c>
      <c r="K2153" t="s">
        <v>88</v>
      </c>
      <c r="L2153" t="s">
        <v>29</v>
      </c>
      <c r="M2153" t="s">
        <v>30</v>
      </c>
      <c r="N2153" t="s">
        <v>31</v>
      </c>
      <c r="Q2153" t="s">
        <v>5330</v>
      </c>
      <c r="R2153" t="s">
        <v>5330</v>
      </c>
    </row>
    <row r="2154" spans="1:18" x14ac:dyDescent="0.3">
      <c r="A2154" s="2" t="str">
        <f>HYPERLINK(B2154,"Oppna PDF")</f>
        <v>Oppna PDF</v>
      </c>
      <c r="B2154" t="s">
        <v>5728</v>
      </c>
      <c r="C2154" t="s">
        <v>5729</v>
      </c>
      <c r="D2154" t="s">
        <v>5723</v>
      </c>
      <c r="E2154" t="s">
        <v>5730</v>
      </c>
      <c r="H2154" t="s">
        <v>61</v>
      </c>
      <c r="I2154" t="s">
        <v>5725</v>
      </c>
      <c r="J2154" t="s">
        <v>38</v>
      </c>
      <c r="K2154" t="s">
        <v>39</v>
      </c>
      <c r="L2154" t="s">
        <v>29</v>
      </c>
      <c r="M2154" t="s">
        <v>30</v>
      </c>
      <c r="N2154" t="s">
        <v>31</v>
      </c>
      <c r="Q2154" t="s">
        <v>5326</v>
      </c>
      <c r="R2154" t="s">
        <v>5326</v>
      </c>
    </row>
    <row r="2155" spans="1:18" x14ac:dyDescent="0.3">
      <c r="A2155" s="2" t="str">
        <f>HYPERLINK(B2155,"Oppna PDF")</f>
        <v>Oppna PDF</v>
      </c>
      <c r="B2155" t="s">
        <v>5728</v>
      </c>
      <c r="C2155" t="s">
        <v>5731</v>
      </c>
      <c r="D2155" t="s">
        <v>5723</v>
      </c>
      <c r="E2155" t="s">
        <v>5730</v>
      </c>
      <c r="H2155" t="s">
        <v>61</v>
      </c>
      <c r="I2155" t="s">
        <v>5725</v>
      </c>
      <c r="J2155" t="s">
        <v>91</v>
      </c>
      <c r="K2155" t="s">
        <v>92</v>
      </c>
      <c r="L2155" t="s">
        <v>29</v>
      </c>
      <c r="M2155" t="s">
        <v>30</v>
      </c>
      <c r="N2155" t="s">
        <v>31</v>
      </c>
      <c r="Q2155" t="s">
        <v>5732</v>
      </c>
      <c r="R2155" t="s">
        <v>5733</v>
      </c>
    </row>
    <row r="2156" spans="1:18" x14ac:dyDescent="0.3">
      <c r="A2156" s="2" t="str">
        <f>HYPERLINK(B2156,"Oppna PDF")</f>
        <v>Oppna PDF</v>
      </c>
      <c r="B2156" t="s">
        <v>5728</v>
      </c>
      <c r="C2156" t="s">
        <v>5734</v>
      </c>
      <c r="D2156" t="s">
        <v>5723</v>
      </c>
      <c r="E2156" t="s">
        <v>5730</v>
      </c>
      <c r="H2156" t="s">
        <v>61</v>
      </c>
      <c r="I2156" t="s">
        <v>5725</v>
      </c>
      <c r="J2156" t="s">
        <v>91</v>
      </c>
      <c r="K2156" t="s">
        <v>92</v>
      </c>
      <c r="L2156" t="s">
        <v>300</v>
      </c>
      <c r="M2156" t="s">
        <v>30</v>
      </c>
      <c r="N2156" t="s">
        <v>31</v>
      </c>
      <c r="Q2156" t="s">
        <v>4708</v>
      </c>
      <c r="R2156" t="s">
        <v>4708</v>
      </c>
    </row>
    <row r="2157" spans="1:18" x14ac:dyDescent="0.3">
      <c r="A2157" s="2" t="str">
        <f>HYPERLINK(B2157,"Oppna PDF")</f>
        <v>Oppna PDF</v>
      </c>
      <c r="B2157" t="s">
        <v>5735</v>
      </c>
      <c r="C2157" t="s">
        <v>5736</v>
      </c>
      <c r="D2157" t="s">
        <v>5723</v>
      </c>
      <c r="E2157" t="s">
        <v>5737</v>
      </c>
      <c r="H2157" t="s">
        <v>61</v>
      </c>
      <c r="I2157" t="s">
        <v>5725</v>
      </c>
      <c r="J2157" t="s">
        <v>38</v>
      </c>
      <c r="K2157" t="s">
        <v>39</v>
      </c>
      <c r="L2157" t="s">
        <v>29</v>
      </c>
      <c r="M2157" t="s">
        <v>30</v>
      </c>
      <c r="N2157" t="s">
        <v>31</v>
      </c>
      <c r="Q2157" t="s">
        <v>5326</v>
      </c>
      <c r="R2157" t="s">
        <v>5326</v>
      </c>
    </row>
    <row r="2158" spans="1:18" x14ac:dyDescent="0.3">
      <c r="A2158" s="2" t="str">
        <f>HYPERLINK(B2158,"Oppna PDF")</f>
        <v>Oppna PDF</v>
      </c>
      <c r="B2158" t="s">
        <v>5735</v>
      </c>
      <c r="C2158" t="s">
        <v>5738</v>
      </c>
      <c r="D2158" t="s">
        <v>5723</v>
      </c>
      <c r="E2158" t="s">
        <v>5737</v>
      </c>
      <c r="H2158" t="s">
        <v>61</v>
      </c>
      <c r="I2158" t="s">
        <v>5725</v>
      </c>
      <c r="J2158" t="s">
        <v>91</v>
      </c>
      <c r="K2158" t="s">
        <v>92</v>
      </c>
      <c r="L2158" t="s">
        <v>300</v>
      </c>
      <c r="M2158" t="s">
        <v>30</v>
      </c>
      <c r="N2158" t="s">
        <v>31</v>
      </c>
      <c r="Q2158" t="s">
        <v>4708</v>
      </c>
      <c r="R2158" t="s">
        <v>4708</v>
      </c>
    </row>
    <row r="2159" spans="1:18" x14ac:dyDescent="0.3">
      <c r="A2159" s="2" t="str">
        <f>HYPERLINK(B2159,"Oppna PDF")</f>
        <v>Oppna PDF</v>
      </c>
      <c r="B2159" t="s">
        <v>5735</v>
      </c>
      <c r="C2159" t="s">
        <v>5739</v>
      </c>
      <c r="D2159" t="s">
        <v>5723</v>
      </c>
      <c r="E2159" t="s">
        <v>5737</v>
      </c>
      <c r="H2159" t="s">
        <v>61</v>
      </c>
      <c r="I2159" t="s">
        <v>5725</v>
      </c>
      <c r="J2159" t="s">
        <v>87</v>
      </c>
      <c r="K2159" t="s">
        <v>88</v>
      </c>
      <c r="L2159" t="s">
        <v>29</v>
      </c>
      <c r="M2159" t="s">
        <v>30</v>
      </c>
      <c r="N2159" t="s">
        <v>31</v>
      </c>
      <c r="Q2159" t="s">
        <v>5330</v>
      </c>
      <c r="R2159" t="s">
        <v>5330</v>
      </c>
    </row>
    <row r="2160" spans="1:18" x14ac:dyDescent="0.3">
      <c r="A2160" s="2" t="str">
        <f>HYPERLINK(B2160,"Oppna PDF")</f>
        <v>Oppna PDF</v>
      </c>
      <c r="B2160" t="s">
        <v>5740</v>
      </c>
      <c r="C2160" t="s">
        <v>5741</v>
      </c>
      <c r="D2160" t="s">
        <v>5723</v>
      </c>
      <c r="E2160" t="s">
        <v>5742</v>
      </c>
      <c r="H2160" t="s">
        <v>61</v>
      </c>
      <c r="I2160" t="s">
        <v>5725</v>
      </c>
      <c r="J2160" t="s">
        <v>38</v>
      </c>
      <c r="K2160" t="s">
        <v>39</v>
      </c>
      <c r="L2160" t="s">
        <v>29</v>
      </c>
      <c r="M2160" t="s">
        <v>30</v>
      </c>
      <c r="N2160" t="s">
        <v>31</v>
      </c>
      <c r="Q2160" t="s">
        <v>5326</v>
      </c>
      <c r="R2160" t="s">
        <v>5326</v>
      </c>
    </row>
    <row r="2161" spans="1:18" x14ac:dyDescent="0.3">
      <c r="A2161" s="2" t="str">
        <f>HYPERLINK(B2161,"Oppna PDF")</f>
        <v>Oppna PDF</v>
      </c>
      <c r="B2161" t="s">
        <v>5740</v>
      </c>
      <c r="C2161" t="s">
        <v>5743</v>
      </c>
      <c r="D2161" t="s">
        <v>5723</v>
      </c>
      <c r="E2161" t="s">
        <v>5742</v>
      </c>
      <c r="H2161" t="s">
        <v>61</v>
      </c>
      <c r="I2161" t="s">
        <v>5725</v>
      </c>
      <c r="J2161" t="s">
        <v>91</v>
      </c>
      <c r="K2161" t="s">
        <v>92</v>
      </c>
      <c r="L2161" t="s">
        <v>300</v>
      </c>
      <c r="M2161" t="s">
        <v>30</v>
      </c>
      <c r="N2161" t="s">
        <v>31</v>
      </c>
      <c r="Q2161" t="s">
        <v>4708</v>
      </c>
      <c r="R2161" t="s">
        <v>4708</v>
      </c>
    </row>
    <row r="2162" spans="1:18" x14ac:dyDescent="0.3">
      <c r="A2162" s="2" t="str">
        <f>HYPERLINK(B2162,"Oppna PDF")</f>
        <v>Oppna PDF</v>
      </c>
      <c r="B2162" t="s">
        <v>5740</v>
      </c>
      <c r="C2162" t="s">
        <v>5744</v>
      </c>
      <c r="D2162" t="s">
        <v>5723</v>
      </c>
      <c r="E2162" t="s">
        <v>5742</v>
      </c>
      <c r="H2162" t="s">
        <v>61</v>
      </c>
      <c r="I2162" t="s">
        <v>5725</v>
      </c>
      <c r="J2162" t="s">
        <v>87</v>
      </c>
      <c r="K2162" t="s">
        <v>88</v>
      </c>
      <c r="L2162" t="s">
        <v>29</v>
      </c>
      <c r="M2162" t="s">
        <v>30</v>
      </c>
      <c r="N2162" t="s">
        <v>31</v>
      </c>
      <c r="Q2162" t="s">
        <v>5330</v>
      </c>
      <c r="R2162" t="s">
        <v>5330</v>
      </c>
    </row>
    <row r="2163" spans="1:18" x14ac:dyDescent="0.3">
      <c r="A2163" s="2" t="str">
        <f>HYPERLINK(B2163,"Oppna PDF")</f>
        <v>Oppna PDF</v>
      </c>
      <c r="B2163" t="s">
        <v>5745</v>
      </c>
      <c r="C2163" t="s">
        <v>5746</v>
      </c>
      <c r="D2163" t="s">
        <v>5723</v>
      </c>
      <c r="E2163" t="s">
        <v>5747</v>
      </c>
      <c r="H2163" t="s">
        <v>61</v>
      </c>
      <c r="I2163" t="s">
        <v>5725</v>
      </c>
      <c r="J2163" t="s">
        <v>38</v>
      </c>
      <c r="K2163" t="s">
        <v>39</v>
      </c>
      <c r="L2163" t="s">
        <v>29</v>
      </c>
      <c r="M2163" t="s">
        <v>30</v>
      </c>
      <c r="N2163" t="s">
        <v>31</v>
      </c>
      <c r="Q2163" t="s">
        <v>5326</v>
      </c>
      <c r="R2163" t="s">
        <v>5326</v>
      </c>
    </row>
    <row r="2164" spans="1:18" x14ac:dyDescent="0.3">
      <c r="A2164" s="2" t="str">
        <f>HYPERLINK(B2164,"Oppna PDF")</f>
        <v>Oppna PDF</v>
      </c>
      <c r="B2164" t="s">
        <v>5745</v>
      </c>
      <c r="C2164" t="s">
        <v>5748</v>
      </c>
      <c r="D2164" t="s">
        <v>5723</v>
      </c>
      <c r="E2164" t="s">
        <v>5747</v>
      </c>
      <c r="H2164" t="s">
        <v>61</v>
      </c>
      <c r="I2164" t="s">
        <v>5725</v>
      </c>
      <c r="J2164" t="s">
        <v>91</v>
      </c>
      <c r="K2164" t="s">
        <v>92</v>
      </c>
      <c r="L2164" t="s">
        <v>300</v>
      </c>
      <c r="M2164" t="s">
        <v>30</v>
      </c>
      <c r="N2164" t="s">
        <v>31</v>
      </c>
      <c r="Q2164" t="s">
        <v>4708</v>
      </c>
      <c r="R2164" t="s">
        <v>4708</v>
      </c>
    </row>
    <row r="2165" spans="1:18" x14ac:dyDescent="0.3">
      <c r="A2165" s="2" t="str">
        <f>HYPERLINK(B2165,"Oppna PDF")</f>
        <v>Oppna PDF</v>
      </c>
      <c r="B2165" t="s">
        <v>5745</v>
      </c>
      <c r="C2165" t="s">
        <v>5749</v>
      </c>
      <c r="D2165" t="s">
        <v>5723</v>
      </c>
      <c r="E2165" t="s">
        <v>5747</v>
      </c>
      <c r="H2165" t="s">
        <v>61</v>
      </c>
      <c r="I2165" t="s">
        <v>5725</v>
      </c>
      <c r="J2165" t="s">
        <v>87</v>
      </c>
      <c r="K2165" t="s">
        <v>88</v>
      </c>
      <c r="L2165" t="s">
        <v>29</v>
      </c>
      <c r="M2165" t="s">
        <v>30</v>
      </c>
      <c r="N2165" t="s">
        <v>31</v>
      </c>
      <c r="Q2165" t="s">
        <v>5330</v>
      </c>
      <c r="R2165" t="s">
        <v>5330</v>
      </c>
    </row>
    <row r="2166" spans="1:18" x14ac:dyDescent="0.3">
      <c r="A2166" s="2" t="str">
        <f>HYPERLINK(B2166,"Oppna PDF")</f>
        <v>Oppna PDF</v>
      </c>
      <c r="B2166" t="s">
        <v>5750</v>
      </c>
      <c r="C2166" t="s">
        <v>5751</v>
      </c>
      <c r="D2166" t="s">
        <v>5752</v>
      </c>
      <c r="E2166" t="s">
        <v>5753</v>
      </c>
      <c r="H2166" t="s">
        <v>61</v>
      </c>
      <c r="I2166" t="s">
        <v>5754</v>
      </c>
      <c r="J2166" t="s">
        <v>38</v>
      </c>
      <c r="K2166" t="s">
        <v>39</v>
      </c>
      <c r="L2166" t="s">
        <v>29</v>
      </c>
      <c r="M2166" t="s">
        <v>30</v>
      </c>
      <c r="N2166" t="s">
        <v>31</v>
      </c>
      <c r="Q2166" t="s">
        <v>5326</v>
      </c>
      <c r="R2166" t="s">
        <v>5326</v>
      </c>
    </row>
    <row r="2167" spans="1:18" x14ac:dyDescent="0.3">
      <c r="A2167" s="2" t="str">
        <f>HYPERLINK(B2167,"Oppna PDF")</f>
        <v>Oppna PDF</v>
      </c>
      <c r="B2167" t="s">
        <v>5750</v>
      </c>
      <c r="C2167" t="s">
        <v>5755</v>
      </c>
      <c r="D2167" t="s">
        <v>5752</v>
      </c>
      <c r="E2167" t="s">
        <v>5753</v>
      </c>
      <c r="H2167" t="s">
        <v>61</v>
      </c>
      <c r="I2167" t="s">
        <v>5754</v>
      </c>
      <c r="J2167" t="s">
        <v>27</v>
      </c>
      <c r="K2167" t="s">
        <v>28</v>
      </c>
      <c r="L2167" t="s">
        <v>300</v>
      </c>
      <c r="M2167" t="s">
        <v>30</v>
      </c>
      <c r="N2167" t="s">
        <v>31</v>
      </c>
      <c r="Q2167" t="s">
        <v>5756</v>
      </c>
      <c r="R2167" t="s">
        <v>5756</v>
      </c>
    </row>
    <row r="2168" spans="1:18" x14ac:dyDescent="0.3">
      <c r="A2168" s="2" t="str">
        <f>HYPERLINK(B2168,"Oppna PDF")</f>
        <v>Oppna PDF</v>
      </c>
      <c r="B2168" t="s">
        <v>5750</v>
      </c>
      <c r="C2168" t="s">
        <v>5757</v>
      </c>
      <c r="D2168" t="s">
        <v>5752</v>
      </c>
      <c r="E2168" t="s">
        <v>5753</v>
      </c>
      <c r="H2168" t="s">
        <v>61</v>
      </c>
      <c r="I2168" t="s">
        <v>5754</v>
      </c>
      <c r="J2168" t="s">
        <v>87</v>
      </c>
      <c r="K2168" t="s">
        <v>88</v>
      </c>
      <c r="L2168" t="s">
        <v>29</v>
      </c>
      <c r="M2168" t="s">
        <v>30</v>
      </c>
      <c r="N2168" t="s">
        <v>31</v>
      </c>
      <c r="Q2168" t="s">
        <v>5330</v>
      </c>
      <c r="R2168" t="s">
        <v>5330</v>
      </c>
    </row>
    <row r="2169" spans="1:18" x14ac:dyDescent="0.3">
      <c r="A2169" s="2" t="str">
        <f>HYPERLINK(B2169,"Oppna PDF")</f>
        <v>Oppna PDF</v>
      </c>
      <c r="B2169" t="s">
        <v>5758</v>
      </c>
      <c r="C2169" t="s">
        <v>5759</v>
      </c>
      <c r="D2169" t="s">
        <v>5752</v>
      </c>
      <c r="E2169" t="s">
        <v>5760</v>
      </c>
      <c r="H2169" t="s">
        <v>61</v>
      </c>
      <c r="I2169" t="s">
        <v>5754</v>
      </c>
      <c r="J2169" t="s">
        <v>38</v>
      </c>
      <c r="K2169" t="s">
        <v>39</v>
      </c>
      <c r="L2169" t="s">
        <v>29</v>
      </c>
      <c r="M2169" t="s">
        <v>30</v>
      </c>
      <c r="N2169" t="s">
        <v>31</v>
      </c>
      <c r="Q2169" t="s">
        <v>5326</v>
      </c>
      <c r="R2169" t="s">
        <v>5326</v>
      </c>
    </row>
    <row r="2170" spans="1:18" x14ac:dyDescent="0.3">
      <c r="A2170" s="2" t="str">
        <f>HYPERLINK(B2170,"Oppna PDF")</f>
        <v>Oppna PDF</v>
      </c>
      <c r="B2170" t="s">
        <v>5758</v>
      </c>
      <c r="C2170" t="s">
        <v>5761</v>
      </c>
      <c r="D2170" t="s">
        <v>5752</v>
      </c>
      <c r="E2170" t="s">
        <v>5760</v>
      </c>
      <c r="H2170" t="s">
        <v>61</v>
      </c>
      <c r="I2170" t="s">
        <v>5754</v>
      </c>
      <c r="J2170" t="s">
        <v>91</v>
      </c>
      <c r="K2170" t="s">
        <v>92</v>
      </c>
      <c r="L2170" t="s">
        <v>29</v>
      </c>
      <c r="M2170" t="s">
        <v>30</v>
      </c>
      <c r="N2170" t="s">
        <v>31</v>
      </c>
      <c r="Q2170" t="s">
        <v>5732</v>
      </c>
      <c r="R2170" t="s">
        <v>5733</v>
      </c>
    </row>
    <row r="2171" spans="1:18" x14ac:dyDescent="0.3">
      <c r="A2171" s="2" t="str">
        <f>HYPERLINK(B2171,"Oppna PDF")</f>
        <v>Oppna PDF</v>
      </c>
      <c r="B2171" t="s">
        <v>5758</v>
      </c>
      <c r="C2171" t="s">
        <v>5762</v>
      </c>
      <c r="D2171" t="s">
        <v>5752</v>
      </c>
      <c r="E2171" t="s">
        <v>5760</v>
      </c>
      <c r="H2171" t="s">
        <v>61</v>
      </c>
      <c r="I2171" t="s">
        <v>5754</v>
      </c>
      <c r="J2171" t="s">
        <v>91</v>
      </c>
      <c r="K2171" t="s">
        <v>92</v>
      </c>
      <c r="L2171" t="s">
        <v>300</v>
      </c>
      <c r="M2171" t="s">
        <v>30</v>
      </c>
      <c r="N2171" t="s">
        <v>31</v>
      </c>
      <c r="Q2171" t="s">
        <v>4708</v>
      </c>
      <c r="R2171" t="s">
        <v>4708</v>
      </c>
    </row>
    <row r="2172" spans="1:18" x14ac:dyDescent="0.3">
      <c r="A2172" s="2" t="str">
        <f>HYPERLINK(B2172,"Oppna PDF")</f>
        <v>Oppna PDF</v>
      </c>
      <c r="B2172" t="s">
        <v>5763</v>
      </c>
      <c r="C2172" t="s">
        <v>5764</v>
      </c>
      <c r="D2172" t="s">
        <v>5752</v>
      </c>
      <c r="E2172" t="s">
        <v>5765</v>
      </c>
      <c r="H2172" t="s">
        <v>61</v>
      </c>
      <c r="I2172" t="s">
        <v>5754</v>
      </c>
      <c r="J2172" t="s">
        <v>38</v>
      </c>
      <c r="K2172" t="s">
        <v>39</v>
      </c>
      <c r="L2172" t="s">
        <v>29</v>
      </c>
      <c r="M2172" t="s">
        <v>30</v>
      </c>
      <c r="N2172" t="s">
        <v>31</v>
      </c>
      <c r="Q2172" t="s">
        <v>5326</v>
      </c>
      <c r="R2172" t="s">
        <v>5326</v>
      </c>
    </row>
    <row r="2173" spans="1:18" x14ac:dyDescent="0.3">
      <c r="A2173" s="2" t="str">
        <f>HYPERLINK(B2173,"Oppna PDF")</f>
        <v>Oppna PDF</v>
      </c>
      <c r="B2173" t="s">
        <v>5763</v>
      </c>
      <c r="C2173" t="s">
        <v>5766</v>
      </c>
      <c r="D2173" t="s">
        <v>5752</v>
      </c>
      <c r="E2173" t="s">
        <v>5765</v>
      </c>
      <c r="H2173" t="s">
        <v>61</v>
      </c>
      <c r="I2173" t="s">
        <v>5754</v>
      </c>
      <c r="J2173" t="s">
        <v>27</v>
      </c>
      <c r="K2173" t="s">
        <v>28</v>
      </c>
      <c r="L2173" t="s">
        <v>300</v>
      </c>
      <c r="M2173" t="s">
        <v>30</v>
      </c>
      <c r="N2173" t="s">
        <v>31</v>
      </c>
      <c r="Q2173" t="s">
        <v>5767</v>
      </c>
      <c r="R2173" t="s">
        <v>5767</v>
      </c>
    </row>
    <row r="2174" spans="1:18" x14ac:dyDescent="0.3">
      <c r="A2174" s="2" t="str">
        <f>HYPERLINK(B2174,"Oppna PDF")</f>
        <v>Oppna PDF</v>
      </c>
      <c r="B2174" t="s">
        <v>5763</v>
      </c>
      <c r="C2174" t="s">
        <v>5768</v>
      </c>
      <c r="D2174" t="s">
        <v>5752</v>
      </c>
      <c r="E2174" t="s">
        <v>5765</v>
      </c>
      <c r="H2174" t="s">
        <v>61</v>
      </c>
      <c r="I2174" t="s">
        <v>5754</v>
      </c>
      <c r="J2174" t="s">
        <v>87</v>
      </c>
      <c r="K2174" t="s">
        <v>88</v>
      </c>
      <c r="L2174" t="s">
        <v>29</v>
      </c>
      <c r="M2174" t="s">
        <v>30</v>
      </c>
      <c r="N2174" t="s">
        <v>31</v>
      </c>
      <c r="Q2174" t="s">
        <v>5330</v>
      </c>
      <c r="R2174" t="s">
        <v>5330</v>
      </c>
    </row>
    <row r="2175" spans="1:18" x14ac:dyDescent="0.3">
      <c r="A2175" s="2" t="str">
        <f>HYPERLINK(B2175,"Oppna PDF")</f>
        <v>Oppna PDF</v>
      </c>
      <c r="B2175" t="s">
        <v>5769</v>
      </c>
      <c r="C2175" t="s">
        <v>5770</v>
      </c>
      <c r="D2175" t="s">
        <v>5752</v>
      </c>
      <c r="E2175" t="s">
        <v>5771</v>
      </c>
      <c r="H2175" t="s">
        <v>61</v>
      </c>
      <c r="I2175" t="s">
        <v>5754</v>
      </c>
      <c r="J2175" t="s">
        <v>38</v>
      </c>
      <c r="K2175" t="s">
        <v>39</v>
      </c>
      <c r="L2175" t="s">
        <v>29</v>
      </c>
      <c r="M2175" t="s">
        <v>30</v>
      </c>
      <c r="N2175" t="s">
        <v>31</v>
      </c>
      <c r="Q2175" t="s">
        <v>5326</v>
      </c>
      <c r="R2175" t="s">
        <v>5326</v>
      </c>
    </row>
    <row r="2176" spans="1:18" x14ac:dyDescent="0.3">
      <c r="A2176" s="2" t="str">
        <f>HYPERLINK(B2176,"Oppna PDF")</f>
        <v>Oppna PDF</v>
      </c>
      <c r="B2176" t="s">
        <v>5769</v>
      </c>
      <c r="C2176" t="s">
        <v>5772</v>
      </c>
      <c r="D2176" t="s">
        <v>5752</v>
      </c>
      <c r="E2176" t="s">
        <v>5771</v>
      </c>
      <c r="H2176" t="s">
        <v>61</v>
      </c>
      <c r="I2176" t="s">
        <v>5754</v>
      </c>
      <c r="J2176" t="s">
        <v>91</v>
      </c>
      <c r="K2176" t="s">
        <v>92</v>
      </c>
      <c r="L2176" t="s">
        <v>29</v>
      </c>
      <c r="M2176" t="s">
        <v>30</v>
      </c>
      <c r="N2176" t="s">
        <v>31</v>
      </c>
      <c r="Q2176" t="s">
        <v>5439</v>
      </c>
      <c r="R2176" t="s">
        <v>5440</v>
      </c>
    </row>
    <row r="2177" spans="1:18" x14ac:dyDescent="0.3">
      <c r="A2177" s="2" t="str">
        <f>HYPERLINK(B2177,"Oppna PDF")</f>
        <v>Oppna PDF</v>
      </c>
      <c r="B2177" t="s">
        <v>5769</v>
      </c>
      <c r="C2177" t="s">
        <v>5773</v>
      </c>
      <c r="D2177" t="s">
        <v>5752</v>
      </c>
      <c r="E2177" t="s">
        <v>5771</v>
      </c>
      <c r="H2177" t="s">
        <v>61</v>
      </c>
      <c r="I2177" t="s">
        <v>5754</v>
      </c>
      <c r="J2177" t="s">
        <v>91</v>
      </c>
      <c r="K2177" t="s">
        <v>92</v>
      </c>
      <c r="L2177" t="s">
        <v>300</v>
      </c>
      <c r="M2177" t="s">
        <v>30</v>
      </c>
      <c r="N2177" t="s">
        <v>31</v>
      </c>
      <c r="Q2177" t="s">
        <v>4708</v>
      </c>
      <c r="R2177" t="s">
        <v>4708</v>
      </c>
    </row>
    <row r="2178" spans="1:18" x14ac:dyDescent="0.3">
      <c r="A2178" s="2" t="str">
        <f>HYPERLINK(B2178,"Oppna PDF")</f>
        <v>Oppna PDF</v>
      </c>
      <c r="B2178" t="s">
        <v>5774</v>
      </c>
      <c r="C2178" t="s">
        <v>5775</v>
      </c>
      <c r="D2178" t="s">
        <v>5752</v>
      </c>
      <c r="E2178" t="s">
        <v>5776</v>
      </c>
      <c r="H2178" t="s">
        <v>61</v>
      </c>
      <c r="I2178" t="s">
        <v>5754</v>
      </c>
      <c r="J2178" t="s">
        <v>38</v>
      </c>
      <c r="K2178" t="s">
        <v>39</v>
      </c>
      <c r="L2178" t="s">
        <v>29</v>
      </c>
      <c r="M2178" t="s">
        <v>30</v>
      </c>
      <c r="N2178" t="s">
        <v>31</v>
      </c>
      <c r="Q2178" t="s">
        <v>5326</v>
      </c>
      <c r="R2178" t="s">
        <v>5326</v>
      </c>
    </row>
    <row r="2179" spans="1:18" x14ac:dyDescent="0.3">
      <c r="A2179" s="2" t="str">
        <f>HYPERLINK(B2179,"Oppna PDF")</f>
        <v>Oppna PDF</v>
      </c>
      <c r="B2179" t="s">
        <v>5774</v>
      </c>
      <c r="C2179" t="s">
        <v>5777</v>
      </c>
      <c r="D2179" t="s">
        <v>5752</v>
      </c>
      <c r="E2179" t="s">
        <v>5776</v>
      </c>
      <c r="H2179" t="s">
        <v>61</v>
      </c>
      <c r="I2179" t="s">
        <v>5754</v>
      </c>
      <c r="J2179" t="s">
        <v>91</v>
      </c>
      <c r="K2179" t="s">
        <v>92</v>
      </c>
      <c r="L2179" t="s">
        <v>300</v>
      </c>
      <c r="M2179" t="s">
        <v>30</v>
      </c>
      <c r="N2179" t="s">
        <v>31</v>
      </c>
      <c r="Q2179" t="s">
        <v>4708</v>
      </c>
      <c r="R2179" t="s">
        <v>4708</v>
      </c>
    </row>
    <row r="2180" spans="1:18" x14ac:dyDescent="0.3">
      <c r="A2180" s="2" t="str">
        <f>HYPERLINK(B2180,"Oppna PDF")</f>
        <v>Oppna PDF</v>
      </c>
      <c r="B2180" t="s">
        <v>5774</v>
      </c>
      <c r="C2180" t="s">
        <v>5778</v>
      </c>
      <c r="D2180" t="s">
        <v>5752</v>
      </c>
      <c r="E2180" t="s">
        <v>5776</v>
      </c>
      <c r="H2180" t="s">
        <v>61</v>
      </c>
      <c r="I2180" t="s">
        <v>5754</v>
      </c>
      <c r="J2180" t="s">
        <v>87</v>
      </c>
      <c r="K2180" t="s">
        <v>88</v>
      </c>
      <c r="L2180" t="s">
        <v>29</v>
      </c>
      <c r="M2180" t="s">
        <v>30</v>
      </c>
      <c r="N2180" t="s">
        <v>31</v>
      </c>
      <c r="Q2180" t="s">
        <v>5330</v>
      </c>
      <c r="R2180" t="s">
        <v>5330</v>
      </c>
    </row>
    <row r="2181" spans="1:18" x14ac:dyDescent="0.3">
      <c r="A2181" s="2" t="str">
        <f>HYPERLINK(B2181,"Oppna PDF")</f>
        <v>Oppna PDF</v>
      </c>
      <c r="B2181" t="s">
        <v>5779</v>
      </c>
      <c r="C2181" t="s">
        <v>5780</v>
      </c>
      <c r="D2181" t="s">
        <v>5781</v>
      </c>
      <c r="E2181" t="s">
        <v>5782</v>
      </c>
      <c r="F2181" t="s">
        <v>5783</v>
      </c>
      <c r="G2181" t="s">
        <v>5784</v>
      </c>
      <c r="H2181" t="s">
        <v>25</v>
      </c>
      <c r="I2181" t="s">
        <v>5785</v>
      </c>
      <c r="J2181" t="s">
        <v>38</v>
      </c>
      <c r="K2181" t="s">
        <v>39</v>
      </c>
      <c r="L2181" t="s">
        <v>29</v>
      </c>
      <c r="M2181" t="s">
        <v>30</v>
      </c>
      <c r="N2181" t="s">
        <v>31</v>
      </c>
      <c r="Q2181" t="s">
        <v>5786</v>
      </c>
      <c r="R2181" t="s">
        <v>5787</v>
      </c>
    </row>
    <row r="2182" spans="1:18" x14ac:dyDescent="0.3">
      <c r="A2182" s="2" t="str">
        <f>HYPERLINK(B2182,"Oppna PDF")</f>
        <v>Oppna PDF</v>
      </c>
      <c r="B2182" t="s">
        <v>5788</v>
      </c>
      <c r="C2182" t="s">
        <v>5789</v>
      </c>
      <c r="D2182" t="s">
        <v>5781</v>
      </c>
      <c r="E2182" t="s">
        <v>5790</v>
      </c>
      <c r="F2182" t="s">
        <v>5783</v>
      </c>
      <c r="G2182" t="s">
        <v>5784</v>
      </c>
      <c r="H2182" t="s">
        <v>25</v>
      </c>
      <c r="I2182" t="s">
        <v>5785</v>
      </c>
      <c r="J2182" t="s">
        <v>38</v>
      </c>
      <c r="K2182" t="s">
        <v>39</v>
      </c>
      <c r="L2182" t="s">
        <v>29</v>
      </c>
      <c r="M2182" t="s">
        <v>30</v>
      </c>
      <c r="N2182" t="s">
        <v>31</v>
      </c>
      <c r="Q2182" t="s">
        <v>5791</v>
      </c>
      <c r="R2182" t="s">
        <v>5792</v>
      </c>
    </row>
    <row r="2183" spans="1:18" x14ac:dyDescent="0.3">
      <c r="A2183" s="2" t="str">
        <f>HYPERLINK(B2183,"Oppna PDF")</f>
        <v>Oppna PDF</v>
      </c>
      <c r="B2183" t="s">
        <v>5788</v>
      </c>
      <c r="C2183" t="s">
        <v>5793</v>
      </c>
      <c r="D2183" t="s">
        <v>5781</v>
      </c>
      <c r="E2183" t="s">
        <v>5790</v>
      </c>
      <c r="F2183" t="s">
        <v>5783</v>
      </c>
      <c r="G2183" t="s">
        <v>5784</v>
      </c>
      <c r="H2183" t="s">
        <v>25</v>
      </c>
      <c r="I2183" t="s">
        <v>5785</v>
      </c>
      <c r="J2183" t="s">
        <v>34</v>
      </c>
      <c r="K2183" t="s">
        <v>35</v>
      </c>
      <c r="L2183" t="s">
        <v>29</v>
      </c>
      <c r="M2183" t="s">
        <v>30</v>
      </c>
      <c r="N2183" t="s">
        <v>31</v>
      </c>
      <c r="Q2183" t="s">
        <v>5794</v>
      </c>
      <c r="R2183" t="s">
        <v>5794</v>
      </c>
    </row>
    <row r="2184" spans="1:18" x14ac:dyDescent="0.3">
      <c r="A2184" s="2" t="str">
        <f>HYPERLINK(B2184,"Oppna PDF")</f>
        <v>Oppna PDF</v>
      </c>
      <c r="B2184" t="s">
        <v>5795</v>
      </c>
      <c r="C2184" t="s">
        <v>5796</v>
      </c>
      <c r="D2184" t="s">
        <v>5781</v>
      </c>
      <c r="E2184" t="s">
        <v>5797</v>
      </c>
      <c r="F2184" t="s">
        <v>5783</v>
      </c>
      <c r="G2184" t="s">
        <v>5784</v>
      </c>
      <c r="H2184" t="s">
        <v>25</v>
      </c>
      <c r="I2184" t="s">
        <v>5785</v>
      </c>
      <c r="J2184" t="s">
        <v>38</v>
      </c>
      <c r="K2184" t="s">
        <v>39</v>
      </c>
      <c r="L2184" t="s">
        <v>29</v>
      </c>
      <c r="M2184" t="s">
        <v>30</v>
      </c>
      <c r="N2184" t="s">
        <v>31</v>
      </c>
      <c r="Q2184" t="s">
        <v>5798</v>
      </c>
      <c r="R2184" t="s">
        <v>5799</v>
      </c>
    </row>
    <row r="2185" spans="1:18" x14ac:dyDescent="0.3">
      <c r="A2185" s="2" t="str">
        <f>HYPERLINK(B2185,"Oppna PDF")</f>
        <v>Oppna PDF</v>
      </c>
      <c r="B2185" t="s">
        <v>5795</v>
      </c>
      <c r="C2185" t="s">
        <v>5800</v>
      </c>
      <c r="D2185" t="s">
        <v>5781</v>
      </c>
      <c r="E2185" t="s">
        <v>5797</v>
      </c>
      <c r="F2185" t="s">
        <v>5783</v>
      </c>
      <c r="G2185" t="s">
        <v>5784</v>
      </c>
      <c r="H2185" t="s">
        <v>25</v>
      </c>
      <c r="I2185" t="s">
        <v>5785</v>
      </c>
      <c r="J2185" t="s">
        <v>38</v>
      </c>
      <c r="K2185" t="s">
        <v>39</v>
      </c>
      <c r="L2185" t="s">
        <v>29</v>
      </c>
      <c r="M2185" t="s">
        <v>30</v>
      </c>
      <c r="N2185" t="s">
        <v>31</v>
      </c>
      <c r="Q2185" t="s">
        <v>5801</v>
      </c>
      <c r="R2185" t="s">
        <v>5802</v>
      </c>
    </row>
    <row r="2186" spans="1:18" x14ac:dyDescent="0.3">
      <c r="A2186" s="2" t="str">
        <f>HYPERLINK(B2186,"Oppna PDF")</f>
        <v>Oppna PDF</v>
      </c>
      <c r="B2186" t="s">
        <v>5795</v>
      </c>
      <c r="C2186" t="s">
        <v>5803</v>
      </c>
      <c r="D2186" t="s">
        <v>5781</v>
      </c>
      <c r="E2186" t="s">
        <v>5797</v>
      </c>
      <c r="F2186" t="s">
        <v>5783</v>
      </c>
      <c r="G2186" t="s">
        <v>5784</v>
      </c>
      <c r="H2186" t="s">
        <v>25</v>
      </c>
      <c r="I2186" t="s">
        <v>5785</v>
      </c>
      <c r="J2186" t="s">
        <v>91</v>
      </c>
      <c r="K2186" t="s">
        <v>92</v>
      </c>
      <c r="L2186" t="s">
        <v>29</v>
      </c>
      <c r="M2186" t="s">
        <v>30</v>
      </c>
      <c r="N2186" t="s">
        <v>31</v>
      </c>
      <c r="Q2186" t="s">
        <v>5804</v>
      </c>
      <c r="R2186" t="s">
        <v>5804</v>
      </c>
    </row>
    <row r="2187" spans="1:18" x14ac:dyDescent="0.3">
      <c r="A2187" s="2" t="str">
        <f>HYPERLINK(B2187,"Oppna PDF")</f>
        <v>Oppna PDF</v>
      </c>
      <c r="B2187" t="s">
        <v>5805</v>
      </c>
      <c r="C2187" t="s">
        <v>5806</v>
      </c>
      <c r="D2187" t="s">
        <v>5781</v>
      </c>
      <c r="E2187" t="s">
        <v>5807</v>
      </c>
      <c r="F2187" t="s">
        <v>5783</v>
      </c>
      <c r="G2187" t="s">
        <v>5784</v>
      </c>
      <c r="H2187" t="s">
        <v>25</v>
      </c>
      <c r="I2187" t="s">
        <v>5785</v>
      </c>
      <c r="J2187" t="s">
        <v>38</v>
      </c>
      <c r="K2187" t="s">
        <v>39</v>
      </c>
      <c r="L2187" t="s">
        <v>29</v>
      </c>
      <c r="M2187" t="s">
        <v>30</v>
      </c>
      <c r="N2187" t="s">
        <v>31</v>
      </c>
      <c r="Q2187" t="s">
        <v>5808</v>
      </c>
      <c r="R2187" t="s">
        <v>5809</v>
      </c>
    </row>
    <row r="2188" spans="1:18" x14ac:dyDescent="0.3">
      <c r="A2188" s="2" t="str">
        <f>HYPERLINK(B2188,"Oppna PDF")</f>
        <v>Oppna PDF</v>
      </c>
      <c r="B2188" t="s">
        <v>5805</v>
      </c>
      <c r="C2188" t="s">
        <v>5810</v>
      </c>
      <c r="D2188" t="s">
        <v>5781</v>
      </c>
      <c r="E2188" t="s">
        <v>5807</v>
      </c>
      <c r="F2188" t="s">
        <v>5783</v>
      </c>
      <c r="G2188" t="s">
        <v>5784</v>
      </c>
      <c r="H2188" t="s">
        <v>25</v>
      </c>
      <c r="I2188" t="s">
        <v>5785</v>
      </c>
      <c r="J2188" t="s">
        <v>87</v>
      </c>
      <c r="K2188" t="s">
        <v>88</v>
      </c>
      <c r="L2188" t="s">
        <v>29</v>
      </c>
      <c r="M2188" t="s">
        <v>30</v>
      </c>
      <c r="N2188" t="s">
        <v>31</v>
      </c>
      <c r="Q2188" t="s">
        <v>5811</v>
      </c>
      <c r="R2188" t="s">
        <v>5811</v>
      </c>
    </row>
    <row r="2189" spans="1:18" x14ac:dyDescent="0.3">
      <c r="A2189" s="2" t="str">
        <f>HYPERLINK(B2189,"Oppna PDF")</f>
        <v>Oppna PDF</v>
      </c>
      <c r="B2189" t="s">
        <v>5812</v>
      </c>
      <c r="C2189" t="s">
        <v>5813</v>
      </c>
      <c r="D2189" t="s">
        <v>5781</v>
      </c>
      <c r="E2189" t="s">
        <v>5814</v>
      </c>
      <c r="F2189" t="s">
        <v>5783</v>
      </c>
      <c r="G2189" t="s">
        <v>5784</v>
      </c>
      <c r="H2189" t="s">
        <v>25</v>
      </c>
      <c r="I2189" t="s">
        <v>5785</v>
      </c>
      <c r="J2189" t="s">
        <v>38</v>
      </c>
      <c r="K2189" t="s">
        <v>39</v>
      </c>
      <c r="L2189" t="s">
        <v>29</v>
      </c>
      <c r="M2189" t="s">
        <v>30</v>
      </c>
      <c r="N2189" t="s">
        <v>31</v>
      </c>
      <c r="Q2189" t="s">
        <v>5815</v>
      </c>
      <c r="R2189" t="s">
        <v>5816</v>
      </c>
    </row>
    <row r="2190" spans="1:18" x14ac:dyDescent="0.3">
      <c r="A2190" s="2" t="str">
        <f>HYPERLINK(B2190,"Oppna PDF")</f>
        <v>Oppna PDF</v>
      </c>
      <c r="B2190" t="s">
        <v>5812</v>
      </c>
      <c r="C2190" t="s">
        <v>5817</v>
      </c>
      <c r="D2190" t="s">
        <v>5781</v>
      </c>
      <c r="E2190" t="s">
        <v>5814</v>
      </c>
      <c r="F2190" t="s">
        <v>5783</v>
      </c>
      <c r="G2190" t="s">
        <v>5784</v>
      </c>
      <c r="H2190" t="s">
        <v>25</v>
      </c>
      <c r="I2190" t="s">
        <v>5785</v>
      </c>
      <c r="J2190" t="s">
        <v>34</v>
      </c>
      <c r="K2190" t="s">
        <v>35</v>
      </c>
      <c r="L2190" t="s">
        <v>29</v>
      </c>
      <c r="M2190" t="s">
        <v>30</v>
      </c>
      <c r="N2190" t="s">
        <v>31</v>
      </c>
      <c r="Q2190" t="s">
        <v>5794</v>
      </c>
      <c r="R2190" t="s">
        <v>5794</v>
      </c>
    </row>
    <row r="2191" spans="1:18" x14ac:dyDescent="0.3">
      <c r="A2191" s="2" t="str">
        <f>HYPERLINK(B2191,"Oppna PDF")</f>
        <v>Oppna PDF</v>
      </c>
      <c r="B2191" t="s">
        <v>5818</v>
      </c>
      <c r="C2191" t="s">
        <v>5819</v>
      </c>
      <c r="D2191" t="s">
        <v>5781</v>
      </c>
      <c r="E2191" t="s">
        <v>5820</v>
      </c>
      <c r="F2191" t="s">
        <v>5783</v>
      </c>
      <c r="G2191" t="s">
        <v>5784</v>
      </c>
      <c r="H2191" t="s">
        <v>25</v>
      </c>
      <c r="I2191" t="s">
        <v>5785</v>
      </c>
      <c r="J2191" t="s">
        <v>27</v>
      </c>
      <c r="K2191" t="s">
        <v>28</v>
      </c>
      <c r="L2191" t="s">
        <v>29</v>
      </c>
      <c r="M2191" t="s">
        <v>30</v>
      </c>
      <c r="N2191" t="s">
        <v>31</v>
      </c>
      <c r="Q2191" t="s">
        <v>5821</v>
      </c>
      <c r="R2191" t="s">
        <v>5821</v>
      </c>
    </row>
    <row r="2192" spans="1:18" x14ac:dyDescent="0.3">
      <c r="A2192" s="2" t="str">
        <f>HYPERLINK(B2192,"Oppna PDF")</f>
        <v>Oppna PDF</v>
      </c>
      <c r="B2192" t="s">
        <v>5818</v>
      </c>
      <c r="C2192" t="s">
        <v>5822</v>
      </c>
      <c r="D2192" t="s">
        <v>5781</v>
      </c>
      <c r="E2192" t="s">
        <v>5820</v>
      </c>
      <c r="F2192" t="s">
        <v>5783</v>
      </c>
      <c r="G2192" t="s">
        <v>5784</v>
      </c>
      <c r="H2192" t="s">
        <v>25</v>
      </c>
      <c r="I2192" t="s">
        <v>5785</v>
      </c>
      <c r="J2192" t="s">
        <v>91</v>
      </c>
      <c r="K2192" t="s">
        <v>92</v>
      </c>
      <c r="L2192" t="s">
        <v>29</v>
      </c>
      <c r="M2192" t="s">
        <v>30</v>
      </c>
      <c r="N2192" t="s">
        <v>31</v>
      </c>
      <c r="Q2192" t="s">
        <v>5823</v>
      </c>
      <c r="R2192" t="s">
        <v>291</v>
      </c>
    </row>
    <row r="2193" spans="1:18" x14ac:dyDescent="0.3">
      <c r="A2193" s="2" t="str">
        <f>HYPERLINK(B2193,"Oppna PDF")</f>
        <v>Oppna PDF</v>
      </c>
      <c r="B2193" t="s">
        <v>5818</v>
      </c>
      <c r="C2193" t="s">
        <v>5824</v>
      </c>
      <c r="D2193" t="s">
        <v>5781</v>
      </c>
      <c r="E2193" t="s">
        <v>5820</v>
      </c>
      <c r="F2193" t="s">
        <v>5783</v>
      </c>
      <c r="G2193" t="s">
        <v>5784</v>
      </c>
      <c r="H2193" t="s">
        <v>25</v>
      </c>
      <c r="I2193" t="s">
        <v>5785</v>
      </c>
      <c r="J2193" t="s">
        <v>34</v>
      </c>
      <c r="K2193" t="s">
        <v>35</v>
      </c>
      <c r="L2193" t="s">
        <v>142</v>
      </c>
      <c r="M2193" t="s">
        <v>30</v>
      </c>
      <c r="N2193" t="s">
        <v>31</v>
      </c>
      <c r="Q2193" t="s">
        <v>5825</v>
      </c>
      <c r="R2193" t="s">
        <v>5826</v>
      </c>
    </row>
    <row r="2194" spans="1:18" x14ac:dyDescent="0.3">
      <c r="A2194" s="2" t="str">
        <f>HYPERLINK(B2194,"Oppna PDF")</f>
        <v>Oppna PDF</v>
      </c>
      <c r="B2194" t="s">
        <v>5827</v>
      </c>
      <c r="C2194" t="s">
        <v>5828</v>
      </c>
      <c r="D2194" t="s">
        <v>5829</v>
      </c>
      <c r="E2194" t="s">
        <v>5830</v>
      </c>
      <c r="H2194" t="s">
        <v>61</v>
      </c>
      <c r="I2194" t="s">
        <v>5831</v>
      </c>
      <c r="J2194" t="s">
        <v>38</v>
      </c>
      <c r="K2194" t="s">
        <v>39</v>
      </c>
      <c r="L2194" t="s">
        <v>29</v>
      </c>
      <c r="M2194" t="s">
        <v>30</v>
      </c>
      <c r="N2194" t="s">
        <v>31</v>
      </c>
      <c r="Q2194" t="s">
        <v>5326</v>
      </c>
      <c r="R2194" t="s">
        <v>5326</v>
      </c>
    </row>
    <row r="2195" spans="1:18" x14ac:dyDescent="0.3">
      <c r="A2195" s="2" t="str">
        <f>HYPERLINK(B2195,"Oppna PDF")</f>
        <v>Oppna PDF</v>
      </c>
      <c r="B2195" t="s">
        <v>5827</v>
      </c>
      <c r="C2195" t="s">
        <v>5832</v>
      </c>
      <c r="D2195" t="s">
        <v>5829</v>
      </c>
      <c r="E2195" t="s">
        <v>5830</v>
      </c>
      <c r="H2195" t="s">
        <v>61</v>
      </c>
      <c r="I2195" t="s">
        <v>5831</v>
      </c>
      <c r="J2195" t="s">
        <v>91</v>
      </c>
      <c r="K2195" t="s">
        <v>92</v>
      </c>
      <c r="L2195" t="s">
        <v>300</v>
      </c>
      <c r="M2195" t="s">
        <v>30</v>
      </c>
      <c r="N2195" t="s">
        <v>31</v>
      </c>
      <c r="Q2195" t="s">
        <v>4708</v>
      </c>
      <c r="R2195" t="s">
        <v>4708</v>
      </c>
    </row>
    <row r="2196" spans="1:18" x14ac:dyDescent="0.3">
      <c r="A2196" s="2" t="str">
        <f>HYPERLINK(B2196,"Oppna PDF")</f>
        <v>Oppna PDF</v>
      </c>
      <c r="B2196" t="s">
        <v>5827</v>
      </c>
      <c r="C2196" t="s">
        <v>5833</v>
      </c>
      <c r="D2196" t="s">
        <v>5829</v>
      </c>
      <c r="E2196" t="s">
        <v>5830</v>
      </c>
      <c r="H2196" t="s">
        <v>61</v>
      </c>
      <c r="I2196" t="s">
        <v>5831</v>
      </c>
      <c r="J2196" t="s">
        <v>87</v>
      </c>
      <c r="K2196" t="s">
        <v>88</v>
      </c>
      <c r="L2196" t="s">
        <v>29</v>
      </c>
      <c r="M2196" t="s">
        <v>30</v>
      </c>
      <c r="N2196" t="s">
        <v>31</v>
      </c>
      <c r="Q2196" t="s">
        <v>5330</v>
      </c>
      <c r="R2196" t="s">
        <v>5330</v>
      </c>
    </row>
    <row r="2197" spans="1:18" x14ac:dyDescent="0.3">
      <c r="A2197" s="2" t="str">
        <f>HYPERLINK(B2197,"Oppna PDF")</f>
        <v>Oppna PDF</v>
      </c>
      <c r="B2197" t="s">
        <v>5834</v>
      </c>
      <c r="C2197" t="s">
        <v>5835</v>
      </c>
      <c r="D2197" t="s">
        <v>5829</v>
      </c>
      <c r="E2197" t="s">
        <v>5836</v>
      </c>
      <c r="H2197" t="s">
        <v>61</v>
      </c>
      <c r="I2197" t="s">
        <v>5831</v>
      </c>
      <c r="J2197" t="s">
        <v>38</v>
      </c>
      <c r="K2197" t="s">
        <v>39</v>
      </c>
      <c r="L2197" t="s">
        <v>29</v>
      </c>
      <c r="M2197" t="s">
        <v>30</v>
      </c>
      <c r="N2197" t="s">
        <v>31</v>
      </c>
      <c r="Q2197" t="s">
        <v>5326</v>
      </c>
      <c r="R2197" t="s">
        <v>5326</v>
      </c>
    </row>
    <row r="2198" spans="1:18" x14ac:dyDescent="0.3">
      <c r="A2198" s="2" t="str">
        <f>HYPERLINK(B2198,"Oppna PDF")</f>
        <v>Oppna PDF</v>
      </c>
      <c r="B2198" t="s">
        <v>5834</v>
      </c>
      <c r="C2198" t="s">
        <v>5837</v>
      </c>
      <c r="D2198" t="s">
        <v>5829</v>
      </c>
      <c r="E2198" t="s">
        <v>5836</v>
      </c>
      <c r="H2198" t="s">
        <v>61</v>
      </c>
      <c r="I2198" t="s">
        <v>5831</v>
      </c>
      <c r="J2198" t="s">
        <v>91</v>
      </c>
      <c r="K2198" t="s">
        <v>92</v>
      </c>
      <c r="L2198" t="s">
        <v>300</v>
      </c>
      <c r="M2198" t="s">
        <v>30</v>
      </c>
      <c r="N2198" t="s">
        <v>31</v>
      </c>
      <c r="Q2198" t="s">
        <v>4708</v>
      </c>
      <c r="R2198" t="s">
        <v>4708</v>
      </c>
    </row>
    <row r="2199" spans="1:18" x14ac:dyDescent="0.3">
      <c r="A2199" s="2" t="str">
        <f>HYPERLINK(B2199,"Oppna PDF")</f>
        <v>Oppna PDF</v>
      </c>
      <c r="B2199" t="s">
        <v>5834</v>
      </c>
      <c r="C2199" t="s">
        <v>5838</v>
      </c>
      <c r="D2199" t="s">
        <v>5829</v>
      </c>
      <c r="E2199" t="s">
        <v>5836</v>
      </c>
      <c r="H2199" t="s">
        <v>61</v>
      </c>
      <c r="I2199" t="s">
        <v>5831</v>
      </c>
      <c r="J2199" t="s">
        <v>87</v>
      </c>
      <c r="K2199" t="s">
        <v>88</v>
      </c>
      <c r="L2199" t="s">
        <v>29</v>
      </c>
      <c r="M2199" t="s">
        <v>30</v>
      </c>
      <c r="N2199" t="s">
        <v>31</v>
      </c>
      <c r="Q2199" t="s">
        <v>5330</v>
      </c>
      <c r="R2199" t="s">
        <v>5330</v>
      </c>
    </row>
    <row r="2200" spans="1:18" x14ac:dyDescent="0.3">
      <c r="A2200" s="2" t="str">
        <f>HYPERLINK(B2200,"Oppna PDF")</f>
        <v>Oppna PDF</v>
      </c>
      <c r="B2200" t="s">
        <v>5839</v>
      </c>
      <c r="C2200" t="s">
        <v>5840</v>
      </c>
      <c r="D2200" t="s">
        <v>5829</v>
      </c>
      <c r="E2200" t="s">
        <v>5841</v>
      </c>
      <c r="H2200" t="s">
        <v>61</v>
      </c>
      <c r="I2200" t="s">
        <v>5831</v>
      </c>
      <c r="J2200" t="s">
        <v>38</v>
      </c>
      <c r="K2200" t="s">
        <v>39</v>
      </c>
      <c r="L2200" t="s">
        <v>29</v>
      </c>
      <c r="M2200" t="s">
        <v>30</v>
      </c>
      <c r="N2200" t="s">
        <v>31</v>
      </c>
      <c r="Q2200" t="s">
        <v>5326</v>
      </c>
      <c r="R2200" t="s">
        <v>5326</v>
      </c>
    </row>
    <row r="2201" spans="1:18" x14ac:dyDescent="0.3">
      <c r="A2201" s="2" t="str">
        <f>HYPERLINK(B2201,"Oppna PDF")</f>
        <v>Oppna PDF</v>
      </c>
      <c r="B2201" t="s">
        <v>5839</v>
      </c>
      <c r="C2201" t="s">
        <v>5842</v>
      </c>
      <c r="D2201" t="s">
        <v>5829</v>
      </c>
      <c r="E2201" t="s">
        <v>5841</v>
      </c>
      <c r="H2201" t="s">
        <v>61</v>
      </c>
      <c r="I2201" t="s">
        <v>5831</v>
      </c>
      <c r="J2201" t="s">
        <v>27</v>
      </c>
      <c r="K2201" t="s">
        <v>28</v>
      </c>
      <c r="L2201" t="s">
        <v>300</v>
      </c>
      <c r="M2201" t="s">
        <v>30</v>
      </c>
      <c r="N2201" t="s">
        <v>31</v>
      </c>
      <c r="Q2201" t="s">
        <v>5843</v>
      </c>
      <c r="R2201" t="s">
        <v>5843</v>
      </c>
    </row>
    <row r="2202" spans="1:18" x14ac:dyDescent="0.3">
      <c r="A2202" s="2" t="str">
        <f>HYPERLINK(B2202,"Oppna PDF")</f>
        <v>Oppna PDF</v>
      </c>
      <c r="B2202" t="s">
        <v>5839</v>
      </c>
      <c r="C2202" t="s">
        <v>5844</v>
      </c>
      <c r="D2202" t="s">
        <v>5829</v>
      </c>
      <c r="E2202" t="s">
        <v>5841</v>
      </c>
      <c r="H2202" t="s">
        <v>61</v>
      </c>
      <c r="I2202" t="s">
        <v>5831</v>
      </c>
      <c r="J2202" t="s">
        <v>87</v>
      </c>
      <c r="K2202" t="s">
        <v>88</v>
      </c>
      <c r="L2202" t="s">
        <v>29</v>
      </c>
      <c r="M2202" t="s">
        <v>30</v>
      </c>
      <c r="N2202" t="s">
        <v>31</v>
      </c>
      <c r="Q2202" t="s">
        <v>5330</v>
      </c>
      <c r="R2202" t="s">
        <v>5330</v>
      </c>
    </row>
    <row r="2203" spans="1:18" x14ac:dyDescent="0.3">
      <c r="A2203" s="2" t="str">
        <f>HYPERLINK(B2203,"Oppna PDF")</f>
        <v>Oppna PDF</v>
      </c>
      <c r="B2203" t="s">
        <v>5845</v>
      </c>
      <c r="C2203" t="s">
        <v>5846</v>
      </c>
      <c r="D2203" t="s">
        <v>5829</v>
      </c>
      <c r="E2203" t="s">
        <v>5847</v>
      </c>
      <c r="H2203" t="s">
        <v>61</v>
      </c>
      <c r="I2203" t="s">
        <v>5831</v>
      </c>
      <c r="J2203" t="s">
        <v>38</v>
      </c>
      <c r="K2203" t="s">
        <v>39</v>
      </c>
      <c r="L2203" t="s">
        <v>29</v>
      </c>
      <c r="M2203" t="s">
        <v>30</v>
      </c>
      <c r="N2203" t="s">
        <v>31</v>
      </c>
      <c r="Q2203" t="s">
        <v>5326</v>
      </c>
      <c r="R2203" t="s">
        <v>5326</v>
      </c>
    </row>
    <row r="2204" spans="1:18" x14ac:dyDescent="0.3">
      <c r="A2204" s="2" t="str">
        <f>HYPERLINK(B2204,"Oppna PDF")</f>
        <v>Oppna PDF</v>
      </c>
      <c r="B2204" t="s">
        <v>5845</v>
      </c>
      <c r="C2204" t="s">
        <v>5848</v>
      </c>
      <c r="D2204" t="s">
        <v>5829</v>
      </c>
      <c r="E2204" t="s">
        <v>5847</v>
      </c>
      <c r="H2204" t="s">
        <v>61</v>
      </c>
      <c r="I2204" t="s">
        <v>5831</v>
      </c>
      <c r="J2204" t="s">
        <v>91</v>
      </c>
      <c r="K2204" t="s">
        <v>92</v>
      </c>
      <c r="L2204" t="s">
        <v>300</v>
      </c>
      <c r="M2204" t="s">
        <v>30</v>
      </c>
      <c r="N2204" t="s">
        <v>31</v>
      </c>
      <c r="Q2204" t="s">
        <v>4708</v>
      </c>
      <c r="R2204" t="s">
        <v>4708</v>
      </c>
    </row>
    <row r="2205" spans="1:18" x14ac:dyDescent="0.3">
      <c r="A2205" s="2" t="str">
        <f>HYPERLINK(B2205,"Oppna PDF")</f>
        <v>Oppna PDF</v>
      </c>
      <c r="B2205" t="s">
        <v>5845</v>
      </c>
      <c r="C2205" t="s">
        <v>5849</v>
      </c>
      <c r="D2205" t="s">
        <v>5829</v>
      </c>
      <c r="E2205" t="s">
        <v>5847</v>
      </c>
      <c r="H2205" t="s">
        <v>61</v>
      </c>
      <c r="I2205" t="s">
        <v>5831</v>
      </c>
      <c r="J2205" t="s">
        <v>87</v>
      </c>
      <c r="K2205" t="s">
        <v>88</v>
      </c>
      <c r="L2205" t="s">
        <v>29</v>
      </c>
      <c r="M2205" t="s">
        <v>30</v>
      </c>
      <c r="N2205" t="s">
        <v>31</v>
      </c>
      <c r="Q2205" t="s">
        <v>5330</v>
      </c>
      <c r="R2205" t="s">
        <v>5330</v>
      </c>
    </row>
    <row r="2206" spans="1:18" x14ac:dyDescent="0.3">
      <c r="A2206" s="2" t="str">
        <f>HYPERLINK(B2206,"Oppna PDF")</f>
        <v>Oppna PDF</v>
      </c>
      <c r="B2206" t="s">
        <v>5850</v>
      </c>
      <c r="C2206" t="s">
        <v>5851</v>
      </c>
      <c r="D2206" t="s">
        <v>5829</v>
      </c>
      <c r="E2206" t="s">
        <v>5852</v>
      </c>
      <c r="H2206" t="s">
        <v>61</v>
      </c>
      <c r="I2206" t="s">
        <v>5831</v>
      </c>
      <c r="J2206" t="s">
        <v>38</v>
      </c>
      <c r="K2206" t="s">
        <v>39</v>
      </c>
      <c r="L2206" t="s">
        <v>29</v>
      </c>
      <c r="M2206" t="s">
        <v>30</v>
      </c>
      <c r="N2206" t="s">
        <v>31</v>
      </c>
      <c r="Q2206" t="s">
        <v>5326</v>
      </c>
      <c r="R2206" t="s">
        <v>5326</v>
      </c>
    </row>
    <row r="2207" spans="1:18" x14ac:dyDescent="0.3">
      <c r="A2207" s="2" t="str">
        <f>HYPERLINK(B2207,"Oppna PDF")</f>
        <v>Oppna PDF</v>
      </c>
      <c r="B2207" t="s">
        <v>5850</v>
      </c>
      <c r="C2207" t="s">
        <v>5853</v>
      </c>
      <c r="D2207" t="s">
        <v>5829</v>
      </c>
      <c r="E2207" t="s">
        <v>5852</v>
      </c>
      <c r="H2207" t="s">
        <v>61</v>
      </c>
      <c r="I2207" t="s">
        <v>5831</v>
      </c>
      <c r="J2207" t="s">
        <v>87</v>
      </c>
      <c r="K2207" t="s">
        <v>88</v>
      </c>
      <c r="L2207" t="s">
        <v>29</v>
      </c>
      <c r="M2207" t="s">
        <v>30</v>
      </c>
      <c r="N2207" t="s">
        <v>31</v>
      </c>
      <c r="Q2207" t="s">
        <v>5330</v>
      </c>
      <c r="R2207" t="s">
        <v>5330</v>
      </c>
    </row>
    <row r="2208" spans="1:18" x14ac:dyDescent="0.3">
      <c r="A2208" s="2" t="str">
        <f>HYPERLINK(B2208,"Oppna PDF")</f>
        <v>Oppna PDF</v>
      </c>
      <c r="B2208" t="s">
        <v>5850</v>
      </c>
      <c r="C2208" t="s">
        <v>5854</v>
      </c>
      <c r="D2208" t="s">
        <v>5829</v>
      </c>
      <c r="E2208" t="s">
        <v>5852</v>
      </c>
      <c r="H2208" t="s">
        <v>61</v>
      </c>
      <c r="I2208" t="s">
        <v>5831</v>
      </c>
      <c r="J2208" t="s">
        <v>34</v>
      </c>
      <c r="K2208" t="s">
        <v>35</v>
      </c>
      <c r="L2208" t="s">
        <v>29</v>
      </c>
      <c r="M2208" t="s">
        <v>30</v>
      </c>
      <c r="N2208" t="s">
        <v>31</v>
      </c>
      <c r="Q2208" t="s">
        <v>5350</v>
      </c>
      <c r="R2208" t="s">
        <v>5350</v>
      </c>
    </row>
    <row r="2209" spans="1:18" x14ac:dyDescent="0.3">
      <c r="A2209" s="2" t="str">
        <f>HYPERLINK(B2209,"Oppna PDF")</f>
        <v>Oppna PDF</v>
      </c>
      <c r="B2209" t="s">
        <v>5855</v>
      </c>
      <c r="C2209" t="s">
        <v>5856</v>
      </c>
      <c r="D2209" t="s">
        <v>5857</v>
      </c>
      <c r="E2209" t="s">
        <v>5858</v>
      </c>
      <c r="H2209" t="s">
        <v>61</v>
      </c>
      <c r="I2209" t="s">
        <v>5859</v>
      </c>
      <c r="J2209" t="s">
        <v>38</v>
      </c>
      <c r="K2209" t="s">
        <v>39</v>
      </c>
      <c r="L2209" t="s">
        <v>29</v>
      </c>
      <c r="M2209" t="s">
        <v>30</v>
      </c>
      <c r="N2209" t="s">
        <v>31</v>
      </c>
      <c r="Q2209" t="s">
        <v>5326</v>
      </c>
      <c r="R2209" t="s">
        <v>5326</v>
      </c>
    </row>
    <row r="2210" spans="1:18" x14ac:dyDescent="0.3">
      <c r="A2210" s="2" t="str">
        <f>HYPERLINK(B2210,"Oppna PDF")</f>
        <v>Oppna PDF</v>
      </c>
      <c r="B2210" t="s">
        <v>5855</v>
      </c>
      <c r="C2210" t="s">
        <v>5860</v>
      </c>
      <c r="D2210" t="s">
        <v>5857</v>
      </c>
      <c r="E2210" t="s">
        <v>5858</v>
      </c>
      <c r="H2210" t="s">
        <v>61</v>
      </c>
      <c r="I2210" t="s">
        <v>5859</v>
      </c>
      <c r="J2210" t="s">
        <v>91</v>
      </c>
      <c r="K2210" t="s">
        <v>92</v>
      </c>
      <c r="L2210" t="s">
        <v>300</v>
      </c>
      <c r="M2210" t="s">
        <v>30</v>
      </c>
      <c r="N2210" t="s">
        <v>31</v>
      </c>
      <c r="Q2210" t="s">
        <v>4708</v>
      </c>
      <c r="R2210" t="s">
        <v>4708</v>
      </c>
    </row>
    <row r="2211" spans="1:18" x14ac:dyDescent="0.3">
      <c r="A2211" s="2" t="str">
        <f>HYPERLINK(B2211,"Oppna PDF")</f>
        <v>Oppna PDF</v>
      </c>
      <c r="B2211" t="s">
        <v>5855</v>
      </c>
      <c r="C2211" t="s">
        <v>5861</v>
      </c>
      <c r="D2211" t="s">
        <v>5857</v>
      </c>
      <c r="E2211" t="s">
        <v>5858</v>
      </c>
      <c r="H2211" t="s">
        <v>61</v>
      </c>
      <c r="I2211" t="s">
        <v>5859</v>
      </c>
      <c r="J2211" t="s">
        <v>87</v>
      </c>
      <c r="K2211" t="s">
        <v>88</v>
      </c>
      <c r="L2211" t="s">
        <v>29</v>
      </c>
      <c r="M2211" t="s">
        <v>30</v>
      </c>
      <c r="N2211" t="s">
        <v>31</v>
      </c>
      <c r="Q2211" t="s">
        <v>5330</v>
      </c>
      <c r="R2211" t="s">
        <v>5330</v>
      </c>
    </row>
    <row r="2212" spans="1:18" x14ac:dyDescent="0.3">
      <c r="A2212" s="2" t="str">
        <f>HYPERLINK(B2212,"Oppna PDF")</f>
        <v>Oppna PDF</v>
      </c>
      <c r="B2212" t="s">
        <v>5862</v>
      </c>
      <c r="C2212" t="s">
        <v>5863</v>
      </c>
      <c r="D2212" t="s">
        <v>5857</v>
      </c>
      <c r="E2212" t="s">
        <v>5864</v>
      </c>
      <c r="H2212" t="s">
        <v>61</v>
      </c>
      <c r="I2212" t="s">
        <v>5859</v>
      </c>
      <c r="J2212" t="s">
        <v>38</v>
      </c>
      <c r="K2212" t="s">
        <v>39</v>
      </c>
      <c r="L2212" t="s">
        <v>29</v>
      </c>
      <c r="M2212" t="s">
        <v>30</v>
      </c>
      <c r="N2212" t="s">
        <v>31</v>
      </c>
      <c r="Q2212" t="s">
        <v>5326</v>
      </c>
      <c r="R2212" t="s">
        <v>5326</v>
      </c>
    </row>
    <row r="2213" spans="1:18" x14ac:dyDescent="0.3">
      <c r="A2213" s="2" t="str">
        <f>HYPERLINK(B2213,"Oppna PDF")</f>
        <v>Oppna PDF</v>
      </c>
      <c r="B2213" t="s">
        <v>5862</v>
      </c>
      <c r="C2213" t="s">
        <v>5865</v>
      </c>
      <c r="D2213" t="s">
        <v>5857</v>
      </c>
      <c r="E2213" t="s">
        <v>5864</v>
      </c>
      <c r="H2213" t="s">
        <v>61</v>
      </c>
      <c r="I2213" t="s">
        <v>5859</v>
      </c>
      <c r="J2213" t="s">
        <v>91</v>
      </c>
      <c r="K2213" t="s">
        <v>92</v>
      </c>
      <c r="L2213" t="s">
        <v>29</v>
      </c>
      <c r="M2213" t="s">
        <v>30</v>
      </c>
      <c r="N2213" t="s">
        <v>31</v>
      </c>
      <c r="Q2213" t="s">
        <v>5866</v>
      </c>
      <c r="R2213" t="s">
        <v>5867</v>
      </c>
    </row>
    <row r="2214" spans="1:18" x14ac:dyDescent="0.3">
      <c r="A2214" s="2" t="str">
        <f>HYPERLINK(B2214,"Oppna PDF")</f>
        <v>Oppna PDF</v>
      </c>
      <c r="B2214" t="s">
        <v>5862</v>
      </c>
      <c r="C2214" t="s">
        <v>5868</v>
      </c>
      <c r="D2214" t="s">
        <v>5857</v>
      </c>
      <c r="E2214" t="s">
        <v>5864</v>
      </c>
      <c r="H2214" t="s">
        <v>61</v>
      </c>
      <c r="I2214" t="s">
        <v>5859</v>
      </c>
      <c r="J2214" t="s">
        <v>91</v>
      </c>
      <c r="K2214" t="s">
        <v>92</v>
      </c>
      <c r="L2214" t="s">
        <v>300</v>
      </c>
      <c r="M2214" t="s">
        <v>30</v>
      </c>
      <c r="N2214" t="s">
        <v>31</v>
      </c>
      <c r="Q2214" t="s">
        <v>4708</v>
      </c>
      <c r="R2214" t="s">
        <v>4708</v>
      </c>
    </row>
    <row r="2215" spans="1:18" x14ac:dyDescent="0.3">
      <c r="A2215" s="2" t="str">
        <f>HYPERLINK(B2215,"Oppna PDF")</f>
        <v>Oppna PDF</v>
      </c>
      <c r="B2215" t="s">
        <v>5869</v>
      </c>
      <c r="C2215" t="s">
        <v>5870</v>
      </c>
      <c r="D2215" t="s">
        <v>5857</v>
      </c>
      <c r="E2215" t="s">
        <v>5871</v>
      </c>
      <c r="H2215" t="s">
        <v>61</v>
      </c>
      <c r="I2215" t="s">
        <v>5859</v>
      </c>
      <c r="J2215" t="s">
        <v>38</v>
      </c>
      <c r="K2215" t="s">
        <v>39</v>
      </c>
      <c r="L2215" t="s">
        <v>29</v>
      </c>
      <c r="M2215" t="s">
        <v>30</v>
      </c>
      <c r="N2215" t="s">
        <v>31</v>
      </c>
      <c r="Q2215" t="s">
        <v>5326</v>
      </c>
      <c r="R2215" t="s">
        <v>5326</v>
      </c>
    </row>
    <row r="2216" spans="1:18" x14ac:dyDescent="0.3">
      <c r="A2216" s="2" t="str">
        <f>HYPERLINK(B2216,"Oppna PDF")</f>
        <v>Oppna PDF</v>
      </c>
      <c r="B2216" t="s">
        <v>5869</v>
      </c>
      <c r="C2216" t="s">
        <v>5872</v>
      </c>
      <c r="D2216" t="s">
        <v>5857</v>
      </c>
      <c r="E2216" t="s">
        <v>5871</v>
      </c>
      <c r="H2216" t="s">
        <v>61</v>
      </c>
      <c r="I2216" t="s">
        <v>5859</v>
      </c>
      <c r="J2216" t="s">
        <v>91</v>
      </c>
      <c r="K2216" t="s">
        <v>92</v>
      </c>
      <c r="L2216" t="s">
        <v>300</v>
      </c>
      <c r="M2216" t="s">
        <v>30</v>
      </c>
      <c r="N2216" t="s">
        <v>31</v>
      </c>
      <c r="Q2216" t="s">
        <v>4708</v>
      </c>
      <c r="R2216" t="s">
        <v>4708</v>
      </c>
    </row>
    <row r="2217" spans="1:18" x14ac:dyDescent="0.3">
      <c r="A2217" s="2" t="str">
        <f>HYPERLINK(B2217,"Oppna PDF")</f>
        <v>Oppna PDF</v>
      </c>
      <c r="B2217" t="s">
        <v>5869</v>
      </c>
      <c r="C2217" t="s">
        <v>5873</v>
      </c>
      <c r="D2217" t="s">
        <v>5857</v>
      </c>
      <c r="E2217" t="s">
        <v>5871</v>
      </c>
      <c r="H2217" t="s">
        <v>61</v>
      </c>
      <c r="I2217" t="s">
        <v>5859</v>
      </c>
      <c r="J2217" t="s">
        <v>87</v>
      </c>
      <c r="K2217" t="s">
        <v>88</v>
      </c>
      <c r="L2217" t="s">
        <v>29</v>
      </c>
      <c r="M2217" t="s">
        <v>30</v>
      </c>
      <c r="N2217" t="s">
        <v>31</v>
      </c>
      <c r="Q2217" t="s">
        <v>5330</v>
      </c>
      <c r="R2217" t="s">
        <v>5330</v>
      </c>
    </row>
    <row r="2218" spans="1:18" x14ac:dyDescent="0.3">
      <c r="A2218" s="2" t="str">
        <f>HYPERLINK(B2218,"Oppna PDF")</f>
        <v>Oppna PDF</v>
      </c>
      <c r="B2218" t="s">
        <v>5874</v>
      </c>
      <c r="C2218" t="s">
        <v>5875</v>
      </c>
      <c r="D2218" t="s">
        <v>5857</v>
      </c>
      <c r="E2218" t="s">
        <v>5876</v>
      </c>
      <c r="H2218" t="s">
        <v>61</v>
      </c>
      <c r="I2218" t="s">
        <v>5859</v>
      </c>
      <c r="J2218" t="s">
        <v>38</v>
      </c>
      <c r="K2218" t="s">
        <v>39</v>
      </c>
      <c r="L2218" t="s">
        <v>29</v>
      </c>
      <c r="M2218" t="s">
        <v>30</v>
      </c>
      <c r="N2218" t="s">
        <v>31</v>
      </c>
      <c r="Q2218" t="s">
        <v>5326</v>
      </c>
      <c r="R2218" t="s">
        <v>5326</v>
      </c>
    </row>
    <row r="2219" spans="1:18" x14ac:dyDescent="0.3">
      <c r="A2219" s="2" t="str">
        <f>HYPERLINK(B2219,"Oppna PDF")</f>
        <v>Oppna PDF</v>
      </c>
      <c r="B2219" t="s">
        <v>5874</v>
      </c>
      <c r="C2219" t="s">
        <v>5877</v>
      </c>
      <c r="D2219" t="s">
        <v>5857</v>
      </c>
      <c r="E2219" t="s">
        <v>5876</v>
      </c>
      <c r="H2219" t="s">
        <v>61</v>
      </c>
      <c r="I2219" t="s">
        <v>5859</v>
      </c>
      <c r="J2219" t="s">
        <v>27</v>
      </c>
      <c r="K2219" t="s">
        <v>28</v>
      </c>
      <c r="L2219" t="s">
        <v>300</v>
      </c>
      <c r="M2219" t="s">
        <v>30</v>
      </c>
      <c r="N2219" t="s">
        <v>31</v>
      </c>
      <c r="Q2219" t="s">
        <v>5878</v>
      </c>
      <c r="R2219" t="s">
        <v>5878</v>
      </c>
    </row>
    <row r="2220" spans="1:18" x14ac:dyDescent="0.3">
      <c r="A2220" s="2" t="str">
        <f>HYPERLINK(B2220,"Oppna PDF")</f>
        <v>Oppna PDF</v>
      </c>
      <c r="B2220" t="s">
        <v>5874</v>
      </c>
      <c r="C2220" t="s">
        <v>5879</v>
      </c>
      <c r="D2220" t="s">
        <v>5857</v>
      </c>
      <c r="E2220" t="s">
        <v>5876</v>
      </c>
      <c r="H2220" t="s">
        <v>61</v>
      </c>
      <c r="I2220" t="s">
        <v>5859</v>
      </c>
      <c r="J2220" t="s">
        <v>87</v>
      </c>
      <c r="K2220" t="s">
        <v>88</v>
      </c>
      <c r="L2220" t="s">
        <v>29</v>
      </c>
      <c r="M2220" t="s">
        <v>30</v>
      </c>
      <c r="N2220" t="s">
        <v>31</v>
      </c>
      <c r="Q2220" t="s">
        <v>5330</v>
      </c>
      <c r="R2220" t="s">
        <v>5330</v>
      </c>
    </row>
    <row r="2221" spans="1:18" x14ac:dyDescent="0.3">
      <c r="A2221" s="2" t="str">
        <f>HYPERLINK(B2221,"Oppna PDF")</f>
        <v>Oppna PDF</v>
      </c>
      <c r="B2221" t="s">
        <v>5880</v>
      </c>
      <c r="C2221" t="s">
        <v>5881</v>
      </c>
      <c r="D2221" t="s">
        <v>5857</v>
      </c>
      <c r="E2221" t="s">
        <v>5882</v>
      </c>
      <c r="H2221" t="s">
        <v>61</v>
      </c>
      <c r="I2221" t="s">
        <v>5859</v>
      </c>
      <c r="J2221" t="s">
        <v>38</v>
      </c>
      <c r="K2221" t="s">
        <v>39</v>
      </c>
      <c r="L2221" t="s">
        <v>29</v>
      </c>
      <c r="M2221" t="s">
        <v>30</v>
      </c>
      <c r="N2221" t="s">
        <v>31</v>
      </c>
      <c r="Q2221" t="s">
        <v>5326</v>
      </c>
      <c r="R2221" t="s">
        <v>5326</v>
      </c>
    </row>
    <row r="2222" spans="1:18" x14ac:dyDescent="0.3">
      <c r="A2222" s="2" t="str">
        <f>HYPERLINK(B2222,"Oppna PDF")</f>
        <v>Oppna PDF</v>
      </c>
      <c r="B2222" t="s">
        <v>5880</v>
      </c>
      <c r="C2222" t="s">
        <v>5883</v>
      </c>
      <c r="D2222" t="s">
        <v>5857</v>
      </c>
      <c r="E2222" t="s">
        <v>5882</v>
      </c>
      <c r="H2222" t="s">
        <v>61</v>
      </c>
      <c r="I2222" t="s">
        <v>5859</v>
      </c>
      <c r="J2222" t="s">
        <v>91</v>
      </c>
      <c r="K2222" t="s">
        <v>92</v>
      </c>
      <c r="L2222" t="s">
        <v>300</v>
      </c>
      <c r="M2222" t="s">
        <v>30</v>
      </c>
      <c r="N2222" t="s">
        <v>31</v>
      </c>
      <c r="Q2222" t="s">
        <v>4708</v>
      </c>
      <c r="R2222" t="s">
        <v>4708</v>
      </c>
    </row>
    <row r="2223" spans="1:18" x14ac:dyDescent="0.3">
      <c r="A2223" s="2" t="str">
        <f>HYPERLINK(B2223,"Oppna PDF")</f>
        <v>Oppna PDF</v>
      </c>
      <c r="B2223" t="s">
        <v>5880</v>
      </c>
      <c r="C2223" t="s">
        <v>5884</v>
      </c>
      <c r="D2223" t="s">
        <v>5857</v>
      </c>
      <c r="E2223" t="s">
        <v>5882</v>
      </c>
      <c r="H2223" t="s">
        <v>61</v>
      </c>
      <c r="I2223" t="s">
        <v>5859</v>
      </c>
      <c r="J2223" t="s">
        <v>87</v>
      </c>
      <c r="K2223" t="s">
        <v>88</v>
      </c>
      <c r="L2223" t="s">
        <v>29</v>
      </c>
      <c r="M2223" t="s">
        <v>30</v>
      </c>
      <c r="N2223" t="s">
        <v>31</v>
      </c>
      <c r="Q2223" t="s">
        <v>5330</v>
      </c>
      <c r="R2223" t="s">
        <v>5330</v>
      </c>
    </row>
    <row r="2224" spans="1:18" x14ac:dyDescent="0.3">
      <c r="A2224" s="2" t="str">
        <f>HYPERLINK(B2224,"Oppna PDF")</f>
        <v>Oppna PDF</v>
      </c>
      <c r="B2224" t="s">
        <v>5885</v>
      </c>
      <c r="C2224" t="s">
        <v>5886</v>
      </c>
      <c r="D2224" t="s">
        <v>5887</v>
      </c>
      <c r="E2224" t="s">
        <v>5888</v>
      </c>
      <c r="H2224" t="s">
        <v>61</v>
      </c>
      <c r="I2224" t="s">
        <v>5889</v>
      </c>
      <c r="J2224" t="s">
        <v>38</v>
      </c>
      <c r="K2224" t="s">
        <v>39</v>
      </c>
      <c r="L2224" t="s">
        <v>29</v>
      </c>
      <c r="M2224" t="s">
        <v>30</v>
      </c>
      <c r="N2224" t="s">
        <v>31</v>
      </c>
      <c r="Q2224" t="s">
        <v>5326</v>
      </c>
      <c r="R2224" t="s">
        <v>5326</v>
      </c>
    </row>
    <row r="2225" spans="1:18" x14ac:dyDescent="0.3">
      <c r="A2225" s="2" t="str">
        <f>HYPERLINK(B2225,"Oppna PDF")</f>
        <v>Oppna PDF</v>
      </c>
      <c r="B2225" t="s">
        <v>5885</v>
      </c>
      <c r="C2225" t="s">
        <v>5890</v>
      </c>
      <c r="D2225" t="s">
        <v>5887</v>
      </c>
      <c r="E2225" t="s">
        <v>5888</v>
      </c>
      <c r="H2225" t="s">
        <v>61</v>
      </c>
      <c r="I2225" t="s">
        <v>5889</v>
      </c>
      <c r="J2225" t="s">
        <v>91</v>
      </c>
      <c r="K2225" t="s">
        <v>92</v>
      </c>
      <c r="L2225" t="s">
        <v>300</v>
      </c>
      <c r="M2225" t="s">
        <v>30</v>
      </c>
      <c r="N2225" t="s">
        <v>31</v>
      </c>
      <c r="Q2225" t="s">
        <v>4708</v>
      </c>
      <c r="R2225" t="s">
        <v>4708</v>
      </c>
    </row>
    <row r="2226" spans="1:18" x14ac:dyDescent="0.3">
      <c r="A2226" s="2" t="str">
        <f>HYPERLINK(B2226,"Oppna PDF")</f>
        <v>Oppna PDF</v>
      </c>
      <c r="B2226" t="s">
        <v>5885</v>
      </c>
      <c r="C2226" t="s">
        <v>5891</v>
      </c>
      <c r="D2226" t="s">
        <v>5887</v>
      </c>
      <c r="E2226" t="s">
        <v>5888</v>
      </c>
      <c r="H2226" t="s">
        <v>61</v>
      </c>
      <c r="I2226" t="s">
        <v>5889</v>
      </c>
      <c r="J2226" t="s">
        <v>87</v>
      </c>
      <c r="K2226" t="s">
        <v>88</v>
      </c>
      <c r="L2226" t="s">
        <v>29</v>
      </c>
      <c r="M2226" t="s">
        <v>30</v>
      </c>
      <c r="N2226" t="s">
        <v>31</v>
      </c>
      <c r="Q2226" t="s">
        <v>5330</v>
      </c>
      <c r="R2226" t="s">
        <v>5330</v>
      </c>
    </row>
    <row r="2227" spans="1:18" x14ac:dyDescent="0.3">
      <c r="A2227" s="2" t="str">
        <f>HYPERLINK(B2227,"Oppna PDF")</f>
        <v>Oppna PDF</v>
      </c>
      <c r="B2227" t="s">
        <v>5892</v>
      </c>
      <c r="C2227" t="s">
        <v>5893</v>
      </c>
      <c r="D2227" t="s">
        <v>5887</v>
      </c>
      <c r="E2227" t="s">
        <v>5894</v>
      </c>
      <c r="H2227" t="s">
        <v>61</v>
      </c>
      <c r="I2227" t="s">
        <v>5889</v>
      </c>
      <c r="J2227" t="s">
        <v>38</v>
      </c>
      <c r="K2227" t="s">
        <v>39</v>
      </c>
      <c r="L2227" t="s">
        <v>29</v>
      </c>
      <c r="M2227" t="s">
        <v>30</v>
      </c>
      <c r="N2227" t="s">
        <v>31</v>
      </c>
      <c r="Q2227" t="s">
        <v>5326</v>
      </c>
      <c r="R2227" t="s">
        <v>5326</v>
      </c>
    </row>
    <row r="2228" spans="1:18" x14ac:dyDescent="0.3">
      <c r="A2228" s="2" t="str">
        <f>HYPERLINK(B2228,"Oppna PDF")</f>
        <v>Oppna PDF</v>
      </c>
      <c r="B2228" t="s">
        <v>5892</v>
      </c>
      <c r="C2228" t="s">
        <v>5895</v>
      </c>
      <c r="D2228" t="s">
        <v>5887</v>
      </c>
      <c r="E2228" t="s">
        <v>5894</v>
      </c>
      <c r="H2228" t="s">
        <v>61</v>
      </c>
      <c r="I2228" t="s">
        <v>5889</v>
      </c>
      <c r="J2228" t="s">
        <v>91</v>
      </c>
      <c r="K2228" t="s">
        <v>92</v>
      </c>
      <c r="L2228" t="s">
        <v>300</v>
      </c>
      <c r="M2228" t="s">
        <v>30</v>
      </c>
      <c r="N2228" t="s">
        <v>31</v>
      </c>
      <c r="Q2228" t="s">
        <v>4708</v>
      </c>
      <c r="R2228" t="s">
        <v>4708</v>
      </c>
    </row>
    <row r="2229" spans="1:18" x14ac:dyDescent="0.3">
      <c r="A2229" s="2" t="str">
        <f>HYPERLINK(B2229,"Oppna PDF")</f>
        <v>Oppna PDF</v>
      </c>
      <c r="B2229" t="s">
        <v>5892</v>
      </c>
      <c r="C2229" t="s">
        <v>5896</v>
      </c>
      <c r="D2229" t="s">
        <v>5887</v>
      </c>
      <c r="E2229" t="s">
        <v>5894</v>
      </c>
      <c r="H2229" t="s">
        <v>61</v>
      </c>
      <c r="I2229" t="s">
        <v>5889</v>
      </c>
      <c r="J2229" t="s">
        <v>87</v>
      </c>
      <c r="K2229" t="s">
        <v>88</v>
      </c>
      <c r="L2229" t="s">
        <v>29</v>
      </c>
      <c r="M2229" t="s">
        <v>30</v>
      </c>
      <c r="N2229" t="s">
        <v>31</v>
      </c>
      <c r="Q2229" t="s">
        <v>5330</v>
      </c>
      <c r="R2229" t="s">
        <v>5330</v>
      </c>
    </row>
    <row r="2230" spans="1:18" x14ac:dyDescent="0.3">
      <c r="A2230" s="2" t="str">
        <f>HYPERLINK(B2230,"Oppna PDF")</f>
        <v>Oppna PDF</v>
      </c>
      <c r="B2230" t="s">
        <v>5897</v>
      </c>
      <c r="C2230" t="s">
        <v>5898</v>
      </c>
      <c r="D2230" t="s">
        <v>5887</v>
      </c>
      <c r="E2230" t="s">
        <v>5899</v>
      </c>
      <c r="H2230" t="s">
        <v>61</v>
      </c>
      <c r="I2230" t="s">
        <v>5889</v>
      </c>
      <c r="J2230" t="s">
        <v>38</v>
      </c>
      <c r="K2230" t="s">
        <v>39</v>
      </c>
      <c r="L2230" t="s">
        <v>29</v>
      </c>
      <c r="M2230" t="s">
        <v>30</v>
      </c>
      <c r="N2230" t="s">
        <v>31</v>
      </c>
      <c r="Q2230" t="s">
        <v>5326</v>
      </c>
      <c r="R2230" t="s">
        <v>5326</v>
      </c>
    </row>
    <row r="2231" spans="1:18" x14ac:dyDescent="0.3">
      <c r="A2231" s="2" t="str">
        <f>HYPERLINK(B2231,"Oppna PDF")</f>
        <v>Oppna PDF</v>
      </c>
      <c r="B2231" t="s">
        <v>5897</v>
      </c>
      <c r="C2231" t="s">
        <v>5900</v>
      </c>
      <c r="D2231" t="s">
        <v>5887</v>
      </c>
      <c r="E2231" t="s">
        <v>5899</v>
      </c>
      <c r="H2231" t="s">
        <v>61</v>
      </c>
      <c r="I2231" t="s">
        <v>5889</v>
      </c>
      <c r="J2231" t="s">
        <v>27</v>
      </c>
      <c r="K2231" t="s">
        <v>28</v>
      </c>
      <c r="L2231" t="s">
        <v>300</v>
      </c>
      <c r="M2231" t="s">
        <v>30</v>
      </c>
      <c r="N2231" t="s">
        <v>31</v>
      </c>
      <c r="Q2231" t="s">
        <v>5901</v>
      </c>
      <c r="R2231" t="s">
        <v>5901</v>
      </c>
    </row>
    <row r="2232" spans="1:18" x14ac:dyDescent="0.3">
      <c r="A2232" s="2" t="str">
        <f>HYPERLINK(B2232,"Oppna PDF")</f>
        <v>Oppna PDF</v>
      </c>
      <c r="B2232" t="s">
        <v>5897</v>
      </c>
      <c r="C2232" t="s">
        <v>5902</v>
      </c>
      <c r="D2232" t="s">
        <v>5887</v>
      </c>
      <c r="E2232" t="s">
        <v>5899</v>
      </c>
      <c r="H2232" t="s">
        <v>61</v>
      </c>
      <c r="I2232" t="s">
        <v>5889</v>
      </c>
      <c r="J2232" t="s">
        <v>87</v>
      </c>
      <c r="K2232" t="s">
        <v>88</v>
      </c>
      <c r="L2232" t="s">
        <v>29</v>
      </c>
      <c r="M2232" t="s">
        <v>30</v>
      </c>
      <c r="N2232" t="s">
        <v>31</v>
      </c>
      <c r="Q2232" t="s">
        <v>5330</v>
      </c>
      <c r="R2232" t="s">
        <v>5330</v>
      </c>
    </row>
    <row r="2233" spans="1:18" x14ac:dyDescent="0.3">
      <c r="A2233" s="2" t="str">
        <f>HYPERLINK(B2233,"Oppna PDF")</f>
        <v>Oppna PDF</v>
      </c>
      <c r="B2233" t="s">
        <v>5903</v>
      </c>
      <c r="C2233" t="s">
        <v>5904</v>
      </c>
      <c r="D2233" t="s">
        <v>5887</v>
      </c>
      <c r="E2233" t="s">
        <v>5905</v>
      </c>
      <c r="H2233" t="s">
        <v>61</v>
      </c>
      <c r="I2233" t="s">
        <v>5889</v>
      </c>
      <c r="J2233" t="s">
        <v>38</v>
      </c>
      <c r="K2233" t="s">
        <v>39</v>
      </c>
      <c r="L2233" t="s">
        <v>29</v>
      </c>
      <c r="M2233" t="s">
        <v>30</v>
      </c>
      <c r="N2233" t="s">
        <v>31</v>
      </c>
      <c r="Q2233" t="s">
        <v>5326</v>
      </c>
      <c r="R2233" t="s">
        <v>5326</v>
      </c>
    </row>
    <row r="2234" spans="1:18" x14ac:dyDescent="0.3">
      <c r="A2234" s="2" t="str">
        <f>HYPERLINK(B2234,"Oppna PDF")</f>
        <v>Oppna PDF</v>
      </c>
      <c r="B2234" t="s">
        <v>5903</v>
      </c>
      <c r="C2234" t="s">
        <v>5906</v>
      </c>
      <c r="D2234" t="s">
        <v>5887</v>
      </c>
      <c r="E2234" t="s">
        <v>5905</v>
      </c>
      <c r="H2234" t="s">
        <v>61</v>
      </c>
      <c r="I2234" t="s">
        <v>5889</v>
      </c>
      <c r="J2234" t="s">
        <v>27</v>
      </c>
      <c r="K2234" t="s">
        <v>28</v>
      </c>
      <c r="L2234" t="s">
        <v>300</v>
      </c>
      <c r="M2234" t="s">
        <v>30</v>
      </c>
      <c r="N2234" t="s">
        <v>31</v>
      </c>
      <c r="Q2234" t="s">
        <v>5907</v>
      </c>
      <c r="R2234" t="s">
        <v>5907</v>
      </c>
    </row>
    <row r="2235" spans="1:18" x14ac:dyDescent="0.3">
      <c r="A2235" s="2" t="str">
        <f>HYPERLINK(B2235,"Oppna PDF")</f>
        <v>Oppna PDF</v>
      </c>
      <c r="B2235" t="s">
        <v>5903</v>
      </c>
      <c r="C2235" t="s">
        <v>5908</v>
      </c>
      <c r="D2235" t="s">
        <v>5887</v>
      </c>
      <c r="E2235" t="s">
        <v>5905</v>
      </c>
      <c r="H2235" t="s">
        <v>61</v>
      </c>
      <c r="I2235" t="s">
        <v>5889</v>
      </c>
      <c r="J2235" t="s">
        <v>87</v>
      </c>
      <c r="K2235" t="s">
        <v>88</v>
      </c>
      <c r="L2235" t="s">
        <v>29</v>
      </c>
      <c r="M2235" t="s">
        <v>30</v>
      </c>
      <c r="N2235" t="s">
        <v>31</v>
      </c>
      <c r="Q2235" t="s">
        <v>5330</v>
      </c>
      <c r="R2235" t="s">
        <v>5330</v>
      </c>
    </row>
    <row r="2236" spans="1:18" x14ac:dyDescent="0.3">
      <c r="A2236" s="2" t="str">
        <f>HYPERLINK(B2236,"Oppna PDF")</f>
        <v>Oppna PDF</v>
      </c>
      <c r="B2236" t="s">
        <v>5909</v>
      </c>
      <c r="C2236" t="s">
        <v>5910</v>
      </c>
      <c r="D2236" t="s">
        <v>5887</v>
      </c>
      <c r="E2236" t="s">
        <v>5911</v>
      </c>
      <c r="H2236" t="s">
        <v>61</v>
      </c>
      <c r="I2236" t="s">
        <v>5889</v>
      </c>
      <c r="J2236" t="s">
        <v>38</v>
      </c>
      <c r="K2236" t="s">
        <v>39</v>
      </c>
      <c r="L2236" t="s">
        <v>29</v>
      </c>
      <c r="M2236" t="s">
        <v>30</v>
      </c>
      <c r="N2236" t="s">
        <v>31</v>
      </c>
      <c r="Q2236" t="s">
        <v>5326</v>
      </c>
      <c r="R2236" t="s">
        <v>5326</v>
      </c>
    </row>
    <row r="2237" spans="1:18" x14ac:dyDescent="0.3">
      <c r="A2237" s="2" t="str">
        <f>HYPERLINK(B2237,"Oppna PDF")</f>
        <v>Oppna PDF</v>
      </c>
      <c r="B2237" t="s">
        <v>5909</v>
      </c>
      <c r="C2237" t="s">
        <v>5912</v>
      </c>
      <c r="D2237" t="s">
        <v>5887</v>
      </c>
      <c r="E2237" t="s">
        <v>5911</v>
      </c>
      <c r="H2237" t="s">
        <v>61</v>
      </c>
      <c r="I2237" t="s">
        <v>5889</v>
      </c>
      <c r="J2237" t="s">
        <v>91</v>
      </c>
      <c r="K2237" t="s">
        <v>92</v>
      </c>
      <c r="L2237" t="s">
        <v>300</v>
      </c>
      <c r="M2237" t="s">
        <v>30</v>
      </c>
      <c r="N2237" t="s">
        <v>31</v>
      </c>
      <c r="Q2237" t="s">
        <v>4708</v>
      </c>
      <c r="R2237" t="s">
        <v>4708</v>
      </c>
    </row>
    <row r="2238" spans="1:18" x14ac:dyDescent="0.3">
      <c r="A2238" s="2" t="str">
        <f>HYPERLINK(B2238,"Oppna PDF")</f>
        <v>Oppna PDF</v>
      </c>
      <c r="B2238" t="s">
        <v>5909</v>
      </c>
      <c r="C2238" t="s">
        <v>5913</v>
      </c>
      <c r="D2238" t="s">
        <v>5887</v>
      </c>
      <c r="E2238" t="s">
        <v>5911</v>
      </c>
      <c r="H2238" t="s">
        <v>61</v>
      </c>
      <c r="I2238" t="s">
        <v>5889</v>
      </c>
      <c r="J2238" t="s">
        <v>87</v>
      </c>
      <c r="K2238" t="s">
        <v>88</v>
      </c>
      <c r="L2238" t="s">
        <v>29</v>
      </c>
      <c r="M2238" t="s">
        <v>30</v>
      </c>
      <c r="N2238" t="s">
        <v>31</v>
      </c>
      <c r="Q2238" t="s">
        <v>5330</v>
      </c>
      <c r="R2238" t="s">
        <v>5330</v>
      </c>
    </row>
    <row r="2239" spans="1:18" x14ac:dyDescent="0.3">
      <c r="A2239" s="2" t="str">
        <f>HYPERLINK(B2239,"Oppna PDF")</f>
        <v>Oppna PDF</v>
      </c>
      <c r="B2239" t="s">
        <v>5914</v>
      </c>
      <c r="C2239" t="s">
        <v>5915</v>
      </c>
      <c r="D2239" t="s">
        <v>5916</v>
      </c>
      <c r="E2239" t="s">
        <v>5917</v>
      </c>
      <c r="H2239" t="s">
        <v>61</v>
      </c>
      <c r="I2239" t="s">
        <v>5918</v>
      </c>
      <c r="J2239" t="s">
        <v>38</v>
      </c>
      <c r="K2239" t="s">
        <v>39</v>
      </c>
      <c r="L2239" t="s">
        <v>29</v>
      </c>
      <c r="M2239" t="s">
        <v>30</v>
      </c>
      <c r="N2239" t="s">
        <v>31</v>
      </c>
      <c r="Q2239" t="s">
        <v>5326</v>
      </c>
      <c r="R2239" t="s">
        <v>5326</v>
      </c>
    </row>
    <row r="2240" spans="1:18" x14ac:dyDescent="0.3">
      <c r="A2240" s="2" t="str">
        <f>HYPERLINK(B2240,"Oppna PDF")</f>
        <v>Oppna PDF</v>
      </c>
      <c r="B2240" t="s">
        <v>5914</v>
      </c>
      <c r="C2240" t="s">
        <v>5919</v>
      </c>
      <c r="D2240" t="s">
        <v>5916</v>
      </c>
      <c r="E2240" t="s">
        <v>5917</v>
      </c>
      <c r="H2240" t="s">
        <v>61</v>
      </c>
      <c r="I2240" t="s">
        <v>5918</v>
      </c>
      <c r="J2240" t="s">
        <v>91</v>
      </c>
      <c r="K2240" t="s">
        <v>92</v>
      </c>
      <c r="L2240" t="s">
        <v>300</v>
      </c>
      <c r="M2240" t="s">
        <v>30</v>
      </c>
      <c r="N2240" t="s">
        <v>31</v>
      </c>
      <c r="Q2240" t="s">
        <v>4708</v>
      </c>
      <c r="R2240" t="s">
        <v>4708</v>
      </c>
    </row>
    <row r="2241" spans="1:18" x14ac:dyDescent="0.3">
      <c r="A2241" s="2" t="str">
        <f>HYPERLINK(B2241,"Oppna PDF")</f>
        <v>Oppna PDF</v>
      </c>
      <c r="B2241" t="s">
        <v>5914</v>
      </c>
      <c r="C2241" t="s">
        <v>5920</v>
      </c>
      <c r="D2241" t="s">
        <v>5916</v>
      </c>
      <c r="E2241" t="s">
        <v>5917</v>
      </c>
      <c r="H2241" t="s">
        <v>61</v>
      </c>
      <c r="I2241" t="s">
        <v>5918</v>
      </c>
      <c r="J2241" t="s">
        <v>87</v>
      </c>
      <c r="K2241" t="s">
        <v>88</v>
      </c>
      <c r="L2241" t="s">
        <v>29</v>
      </c>
      <c r="M2241" t="s">
        <v>30</v>
      </c>
      <c r="N2241" t="s">
        <v>31</v>
      </c>
      <c r="Q2241" t="s">
        <v>5330</v>
      </c>
      <c r="R2241" t="s">
        <v>5330</v>
      </c>
    </row>
    <row r="2242" spans="1:18" x14ac:dyDescent="0.3">
      <c r="A2242" s="2" t="str">
        <f>HYPERLINK(B2242,"Oppna PDF")</f>
        <v>Oppna PDF</v>
      </c>
      <c r="B2242" t="s">
        <v>5921</v>
      </c>
      <c r="C2242" t="s">
        <v>5922</v>
      </c>
      <c r="D2242" t="s">
        <v>5916</v>
      </c>
      <c r="E2242" t="s">
        <v>5923</v>
      </c>
      <c r="H2242" t="s">
        <v>61</v>
      </c>
      <c r="I2242" t="s">
        <v>5918</v>
      </c>
      <c r="J2242" t="s">
        <v>38</v>
      </c>
      <c r="K2242" t="s">
        <v>39</v>
      </c>
      <c r="L2242" t="s">
        <v>29</v>
      </c>
      <c r="M2242" t="s">
        <v>30</v>
      </c>
      <c r="N2242" t="s">
        <v>31</v>
      </c>
      <c r="Q2242" t="s">
        <v>5326</v>
      </c>
      <c r="R2242" t="s">
        <v>5326</v>
      </c>
    </row>
    <row r="2243" spans="1:18" x14ac:dyDescent="0.3">
      <c r="A2243" s="2" t="str">
        <f>HYPERLINK(B2243,"Oppna PDF")</f>
        <v>Oppna PDF</v>
      </c>
      <c r="B2243" t="s">
        <v>5921</v>
      </c>
      <c r="C2243" t="s">
        <v>5924</v>
      </c>
      <c r="D2243" t="s">
        <v>5916</v>
      </c>
      <c r="E2243" t="s">
        <v>5923</v>
      </c>
      <c r="H2243" t="s">
        <v>61</v>
      </c>
      <c r="I2243" t="s">
        <v>5918</v>
      </c>
      <c r="J2243" t="s">
        <v>91</v>
      </c>
      <c r="K2243" t="s">
        <v>92</v>
      </c>
      <c r="L2243" t="s">
        <v>300</v>
      </c>
      <c r="M2243" t="s">
        <v>30</v>
      </c>
      <c r="N2243" t="s">
        <v>31</v>
      </c>
      <c r="Q2243" t="s">
        <v>4708</v>
      </c>
      <c r="R2243" t="s">
        <v>4708</v>
      </c>
    </row>
    <row r="2244" spans="1:18" x14ac:dyDescent="0.3">
      <c r="A2244" s="2" t="str">
        <f>HYPERLINK(B2244,"Oppna PDF")</f>
        <v>Oppna PDF</v>
      </c>
      <c r="B2244" t="s">
        <v>5921</v>
      </c>
      <c r="C2244" t="s">
        <v>5925</v>
      </c>
      <c r="D2244" t="s">
        <v>5916</v>
      </c>
      <c r="E2244" t="s">
        <v>5923</v>
      </c>
      <c r="H2244" t="s">
        <v>61</v>
      </c>
      <c r="I2244" t="s">
        <v>5918</v>
      </c>
      <c r="J2244" t="s">
        <v>87</v>
      </c>
      <c r="K2244" t="s">
        <v>88</v>
      </c>
      <c r="L2244" t="s">
        <v>29</v>
      </c>
      <c r="M2244" t="s">
        <v>30</v>
      </c>
      <c r="N2244" t="s">
        <v>31</v>
      </c>
      <c r="Q2244" t="s">
        <v>5330</v>
      </c>
      <c r="R2244" t="s">
        <v>5330</v>
      </c>
    </row>
    <row r="2245" spans="1:18" x14ac:dyDescent="0.3">
      <c r="A2245" s="2" t="str">
        <f>HYPERLINK(B2245,"Oppna PDF")</f>
        <v>Oppna PDF</v>
      </c>
      <c r="B2245" t="s">
        <v>5926</v>
      </c>
      <c r="C2245" t="s">
        <v>5927</v>
      </c>
      <c r="D2245" t="s">
        <v>5916</v>
      </c>
      <c r="E2245" t="s">
        <v>5928</v>
      </c>
      <c r="H2245" t="s">
        <v>61</v>
      </c>
      <c r="I2245" t="s">
        <v>5918</v>
      </c>
      <c r="J2245" t="s">
        <v>38</v>
      </c>
      <c r="K2245" t="s">
        <v>39</v>
      </c>
      <c r="L2245" t="s">
        <v>29</v>
      </c>
      <c r="M2245" t="s">
        <v>30</v>
      </c>
      <c r="N2245" t="s">
        <v>31</v>
      </c>
      <c r="Q2245" t="s">
        <v>5326</v>
      </c>
      <c r="R2245" t="s">
        <v>5326</v>
      </c>
    </row>
    <row r="2246" spans="1:18" x14ac:dyDescent="0.3">
      <c r="A2246" s="2" t="str">
        <f>HYPERLINK(B2246,"Oppna PDF")</f>
        <v>Oppna PDF</v>
      </c>
      <c r="B2246" t="s">
        <v>5926</v>
      </c>
      <c r="C2246" t="s">
        <v>5929</v>
      </c>
      <c r="D2246" t="s">
        <v>5916</v>
      </c>
      <c r="E2246" t="s">
        <v>5928</v>
      </c>
      <c r="H2246" t="s">
        <v>61</v>
      </c>
      <c r="I2246" t="s">
        <v>5918</v>
      </c>
      <c r="J2246" t="s">
        <v>91</v>
      </c>
      <c r="K2246" t="s">
        <v>92</v>
      </c>
      <c r="L2246" t="s">
        <v>300</v>
      </c>
      <c r="M2246" t="s">
        <v>30</v>
      </c>
      <c r="N2246" t="s">
        <v>31</v>
      </c>
      <c r="Q2246" t="s">
        <v>4708</v>
      </c>
      <c r="R2246" t="s">
        <v>4708</v>
      </c>
    </row>
    <row r="2247" spans="1:18" x14ac:dyDescent="0.3">
      <c r="A2247" s="2" t="str">
        <f>HYPERLINK(B2247,"Oppna PDF")</f>
        <v>Oppna PDF</v>
      </c>
      <c r="B2247" t="s">
        <v>5926</v>
      </c>
      <c r="C2247" t="s">
        <v>5930</v>
      </c>
      <c r="D2247" t="s">
        <v>5916</v>
      </c>
      <c r="E2247" t="s">
        <v>5928</v>
      </c>
      <c r="H2247" t="s">
        <v>61</v>
      </c>
      <c r="I2247" t="s">
        <v>5918</v>
      </c>
      <c r="J2247" t="s">
        <v>87</v>
      </c>
      <c r="K2247" t="s">
        <v>88</v>
      </c>
      <c r="L2247" t="s">
        <v>29</v>
      </c>
      <c r="M2247" t="s">
        <v>30</v>
      </c>
      <c r="N2247" t="s">
        <v>31</v>
      </c>
      <c r="Q2247" t="s">
        <v>5330</v>
      </c>
      <c r="R2247" t="s">
        <v>5330</v>
      </c>
    </row>
    <row r="2248" spans="1:18" x14ac:dyDescent="0.3">
      <c r="A2248" s="2" t="str">
        <f>HYPERLINK(B2248,"Oppna PDF")</f>
        <v>Oppna PDF</v>
      </c>
      <c r="B2248" t="s">
        <v>5931</v>
      </c>
      <c r="C2248" t="s">
        <v>5932</v>
      </c>
      <c r="D2248" t="s">
        <v>5916</v>
      </c>
      <c r="E2248" t="s">
        <v>5933</v>
      </c>
      <c r="H2248" t="s">
        <v>61</v>
      </c>
      <c r="I2248" t="s">
        <v>5918</v>
      </c>
      <c r="J2248" t="s">
        <v>38</v>
      </c>
      <c r="K2248" t="s">
        <v>39</v>
      </c>
      <c r="L2248" t="s">
        <v>29</v>
      </c>
      <c r="M2248" t="s">
        <v>30</v>
      </c>
      <c r="N2248" t="s">
        <v>31</v>
      </c>
      <c r="Q2248" t="s">
        <v>5326</v>
      </c>
      <c r="R2248" t="s">
        <v>5326</v>
      </c>
    </row>
    <row r="2249" spans="1:18" x14ac:dyDescent="0.3">
      <c r="A2249" s="2" t="str">
        <f>HYPERLINK(B2249,"Oppna PDF")</f>
        <v>Oppna PDF</v>
      </c>
      <c r="B2249" t="s">
        <v>5931</v>
      </c>
      <c r="C2249" t="s">
        <v>5934</v>
      </c>
      <c r="D2249" t="s">
        <v>5916</v>
      </c>
      <c r="E2249" t="s">
        <v>5933</v>
      </c>
      <c r="H2249" t="s">
        <v>61</v>
      </c>
      <c r="I2249" t="s">
        <v>5918</v>
      </c>
      <c r="J2249" t="s">
        <v>27</v>
      </c>
      <c r="K2249" t="s">
        <v>28</v>
      </c>
      <c r="L2249" t="s">
        <v>300</v>
      </c>
      <c r="M2249" t="s">
        <v>30</v>
      </c>
      <c r="N2249" t="s">
        <v>31</v>
      </c>
      <c r="Q2249" t="s">
        <v>5935</v>
      </c>
      <c r="R2249" t="s">
        <v>5935</v>
      </c>
    </row>
    <row r="2250" spans="1:18" x14ac:dyDescent="0.3">
      <c r="A2250" s="2" t="str">
        <f>HYPERLINK(B2250,"Oppna PDF")</f>
        <v>Oppna PDF</v>
      </c>
      <c r="B2250" t="s">
        <v>5931</v>
      </c>
      <c r="C2250" t="s">
        <v>5936</v>
      </c>
      <c r="D2250" t="s">
        <v>5916</v>
      </c>
      <c r="E2250" t="s">
        <v>5933</v>
      </c>
      <c r="H2250" t="s">
        <v>61</v>
      </c>
      <c r="I2250" t="s">
        <v>5918</v>
      </c>
      <c r="J2250" t="s">
        <v>87</v>
      </c>
      <c r="K2250" t="s">
        <v>88</v>
      </c>
      <c r="L2250" t="s">
        <v>29</v>
      </c>
      <c r="M2250" t="s">
        <v>30</v>
      </c>
      <c r="N2250" t="s">
        <v>31</v>
      </c>
      <c r="Q2250" t="s">
        <v>5330</v>
      </c>
      <c r="R2250" t="s">
        <v>5330</v>
      </c>
    </row>
    <row r="2251" spans="1:18" x14ac:dyDescent="0.3">
      <c r="A2251" s="2" t="str">
        <f>HYPERLINK(B2251,"Oppna PDF")</f>
        <v>Oppna PDF</v>
      </c>
      <c r="B2251" t="s">
        <v>5937</v>
      </c>
      <c r="C2251" t="s">
        <v>5938</v>
      </c>
      <c r="D2251" t="s">
        <v>5916</v>
      </c>
      <c r="E2251" t="s">
        <v>5939</v>
      </c>
      <c r="H2251" t="s">
        <v>61</v>
      </c>
      <c r="I2251" t="s">
        <v>5918</v>
      </c>
      <c r="J2251" t="s">
        <v>38</v>
      </c>
      <c r="K2251" t="s">
        <v>39</v>
      </c>
      <c r="L2251" t="s">
        <v>29</v>
      </c>
      <c r="M2251" t="s">
        <v>30</v>
      </c>
      <c r="N2251" t="s">
        <v>31</v>
      </c>
      <c r="Q2251" t="s">
        <v>5326</v>
      </c>
      <c r="R2251" t="s">
        <v>5326</v>
      </c>
    </row>
    <row r="2252" spans="1:18" x14ac:dyDescent="0.3">
      <c r="A2252" s="2" t="str">
        <f>HYPERLINK(B2252,"Oppna PDF")</f>
        <v>Oppna PDF</v>
      </c>
      <c r="B2252" t="s">
        <v>5937</v>
      </c>
      <c r="C2252" t="s">
        <v>5940</v>
      </c>
      <c r="D2252" t="s">
        <v>5916</v>
      </c>
      <c r="E2252" t="s">
        <v>5939</v>
      </c>
      <c r="H2252" t="s">
        <v>61</v>
      </c>
      <c r="I2252" t="s">
        <v>5918</v>
      </c>
      <c r="J2252" t="s">
        <v>91</v>
      </c>
      <c r="K2252" t="s">
        <v>92</v>
      </c>
      <c r="L2252" t="s">
        <v>300</v>
      </c>
      <c r="M2252" t="s">
        <v>30</v>
      </c>
      <c r="N2252" t="s">
        <v>31</v>
      </c>
      <c r="Q2252" t="s">
        <v>4708</v>
      </c>
      <c r="R2252" t="s">
        <v>4708</v>
      </c>
    </row>
    <row r="2253" spans="1:18" x14ac:dyDescent="0.3">
      <c r="A2253" s="2" t="str">
        <f>HYPERLINK(B2253,"Oppna PDF")</f>
        <v>Oppna PDF</v>
      </c>
      <c r="B2253" t="s">
        <v>5937</v>
      </c>
      <c r="C2253" t="s">
        <v>5941</v>
      </c>
      <c r="D2253" t="s">
        <v>5916</v>
      </c>
      <c r="E2253" t="s">
        <v>5939</v>
      </c>
      <c r="H2253" t="s">
        <v>61</v>
      </c>
      <c r="I2253" t="s">
        <v>5918</v>
      </c>
      <c r="J2253" t="s">
        <v>87</v>
      </c>
      <c r="K2253" t="s">
        <v>88</v>
      </c>
      <c r="L2253" t="s">
        <v>29</v>
      </c>
      <c r="M2253" t="s">
        <v>30</v>
      </c>
      <c r="N2253" t="s">
        <v>31</v>
      </c>
      <c r="Q2253" t="s">
        <v>5330</v>
      </c>
      <c r="R2253" t="s">
        <v>5330</v>
      </c>
    </row>
    <row r="2254" spans="1:18" x14ac:dyDescent="0.3">
      <c r="A2254" s="2" t="str">
        <f>HYPERLINK(B2254,"Oppna PDF")</f>
        <v>Oppna PDF</v>
      </c>
      <c r="B2254" t="s">
        <v>5942</v>
      </c>
      <c r="C2254" t="s">
        <v>5943</v>
      </c>
      <c r="D2254" t="s">
        <v>5944</v>
      </c>
      <c r="E2254" t="s">
        <v>5945</v>
      </c>
      <c r="H2254" t="s">
        <v>61</v>
      </c>
      <c r="I2254" t="s">
        <v>5946</v>
      </c>
      <c r="J2254" t="s">
        <v>48</v>
      </c>
      <c r="K2254" t="s">
        <v>49</v>
      </c>
      <c r="L2254" t="s">
        <v>29</v>
      </c>
      <c r="M2254" t="s">
        <v>30</v>
      </c>
      <c r="N2254" t="s">
        <v>31</v>
      </c>
      <c r="Q2254" t="s">
        <v>5947</v>
      </c>
      <c r="R2254" t="s">
        <v>5947</v>
      </c>
    </row>
    <row r="2255" spans="1:18" x14ac:dyDescent="0.3">
      <c r="A2255" s="2" t="str">
        <f>HYPERLINK(B2255,"Oppna PDF")</f>
        <v>Oppna PDF</v>
      </c>
      <c r="B2255" t="s">
        <v>5942</v>
      </c>
      <c r="C2255" t="s">
        <v>5948</v>
      </c>
      <c r="D2255" t="s">
        <v>5944</v>
      </c>
      <c r="E2255" t="s">
        <v>5945</v>
      </c>
      <c r="H2255" t="s">
        <v>61</v>
      </c>
      <c r="I2255" t="s">
        <v>5946</v>
      </c>
      <c r="J2255" t="s">
        <v>38</v>
      </c>
      <c r="K2255" t="s">
        <v>39</v>
      </c>
      <c r="L2255" t="s">
        <v>29</v>
      </c>
      <c r="M2255" t="s">
        <v>30</v>
      </c>
      <c r="N2255" t="s">
        <v>31</v>
      </c>
      <c r="Q2255" t="s">
        <v>5949</v>
      </c>
      <c r="R2255" t="s">
        <v>5949</v>
      </c>
    </row>
    <row r="2256" spans="1:18" x14ac:dyDescent="0.3">
      <c r="A2256" s="2" t="str">
        <f>HYPERLINK(B2256,"Oppna PDF")</f>
        <v>Oppna PDF</v>
      </c>
      <c r="B2256" t="s">
        <v>5942</v>
      </c>
      <c r="C2256" t="s">
        <v>5950</v>
      </c>
      <c r="D2256" t="s">
        <v>5944</v>
      </c>
      <c r="E2256" t="s">
        <v>5945</v>
      </c>
      <c r="H2256" t="s">
        <v>61</v>
      </c>
      <c r="I2256" t="s">
        <v>5946</v>
      </c>
      <c r="J2256" t="s">
        <v>34</v>
      </c>
      <c r="K2256" t="s">
        <v>35</v>
      </c>
      <c r="L2256" t="s">
        <v>29</v>
      </c>
      <c r="M2256" t="s">
        <v>30</v>
      </c>
      <c r="N2256" t="s">
        <v>31</v>
      </c>
      <c r="Q2256" t="s">
        <v>5951</v>
      </c>
      <c r="R2256" t="s">
        <v>5951</v>
      </c>
    </row>
    <row r="2257" spans="1:18" x14ac:dyDescent="0.3">
      <c r="A2257" s="2" t="str">
        <f>HYPERLINK(B2257,"Oppna PDF")</f>
        <v>Oppna PDF</v>
      </c>
      <c r="B2257" t="s">
        <v>5952</v>
      </c>
      <c r="C2257" t="s">
        <v>5953</v>
      </c>
      <c r="D2257" t="s">
        <v>5944</v>
      </c>
      <c r="E2257" t="s">
        <v>5954</v>
      </c>
      <c r="H2257" t="s">
        <v>61</v>
      </c>
      <c r="I2257" t="s">
        <v>5946</v>
      </c>
      <c r="J2257" t="s">
        <v>48</v>
      </c>
      <c r="K2257" t="s">
        <v>49</v>
      </c>
      <c r="L2257" t="s">
        <v>29</v>
      </c>
      <c r="M2257" t="s">
        <v>30</v>
      </c>
      <c r="N2257" t="s">
        <v>31</v>
      </c>
      <c r="Q2257" t="s">
        <v>5955</v>
      </c>
      <c r="R2257" t="s">
        <v>5955</v>
      </c>
    </row>
    <row r="2258" spans="1:18" x14ac:dyDescent="0.3">
      <c r="A2258" s="2" t="str">
        <f>HYPERLINK(B2258,"Oppna PDF")</f>
        <v>Oppna PDF</v>
      </c>
      <c r="B2258" t="s">
        <v>5952</v>
      </c>
      <c r="C2258" t="s">
        <v>5956</v>
      </c>
      <c r="D2258" t="s">
        <v>5944</v>
      </c>
      <c r="E2258" t="s">
        <v>5954</v>
      </c>
      <c r="H2258" t="s">
        <v>61</v>
      </c>
      <c r="I2258" t="s">
        <v>5946</v>
      </c>
      <c r="J2258" t="s">
        <v>38</v>
      </c>
      <c r="K2258" t="s">
        <v>39</v>
      </c>
      <c r="L2258" t="s">
        <v>29</v>
      </c>
      <c r="M2258" t="s">
        <v>30</v>
      </c>
      <c r="N2258" t="s">
        <v>31</v>
      </c>
      <c r="Q2258" t="s">
        <v>5957</v>
      </c>
      <c r="R2258" t="s">
        <v>5957</v>
      </c>
    </row>
    <row r="2259" spans="1:18" x14ac:dyDescent="0.3">
      <c r="A2259" s="2" t="str">
        <f>HYPERLINK(B2259,"Oppna PDF")</f>
        <v>Oppna PDF</v>
      </c>
      <c r="B2259" t="s">
        <v>5952</v>
      </c>
      <c r="C2259" t="s">
        <v>5958</v>
      </c>
      <c r="D2259" t="s">
        <v>5944</v>
      </c>
      <c r="E2259" t="s">
        <v>5954</v>
      </c>
      <c r="H2259" t="s">
        <v>61</v>
      </c>
      <c r="I2259" t="s">
        <v>5946</v>
      </c>
      <c r="J2259" t="s">
        <v>87</v>
      </c>
      <c r="K2259" t="s">
        <v>88</v>
      </c>
      <c r="L2259" t="s">
        <v>29</v>
      </c>
      <c r="M2259" t="s">
        <v>30</v>
      </c>
      <c r="N2259" t="s">
        <v>31</v>
      </c>
      <c r="Q2259" t="s">
        <v>4501</v>
      </c>
      <c r="R2259" t="s">
        <v>4501</v>
      </c>
    </row>
    <row r="2260" spans="1:18" x14ac:dyDescent="0.3">
      <c r="A2260" s="2" t="str">
        <f>HYPERLINK(B2260,"Oppna PDF")</f>
        <v>Oppna PDF</v>
      </c>
      <c r="B2260" t="s">
        <v>5959</v>
      </c>
      <c r="C2260" t="s">
        <v>5960</v>
      </c>
      <c r="D2260" t="s">
        <v>5961</v>
      </c>
      <c r="E2260" t="s">
        <v>5962</v>
      </c>
      <c r="F2260" t="s">
        <v>5963</v>
      </c>
      <c r="G2260" t="s">
        <v>5964</v>
      </c>
      <c r="H2260" t="s">
        <v>61</v>
      </c>
      <c r="I2260" t="s">
        <v>5965</v>
      </c>
      <c r="J2260" t="s">
        <v>91</v>
      </c>
      <c r="K2260" t="s">
        <v>92</v>
      </c>
      <c r="L2260" t="s">
        <v>29</v>
      </c>
      <c r="M2260" t="s">
        <v>30</v>
      </c>
      <c r="N2260" t="s">
        <v>31</v>
      </c>
      <c r="Q2260" t="s">
        <v>5966</v>
      </c>
      <c r="R2260" t="s">
        <v>5966</v>
      </c>
    </row>
    <row r="2261" spans="1:18" x14ac:dyDescent="0.3">
      <c r="A2261" s="2" t="str">
        <f>HYPERLINK(B2261,"Oppna PDF")</f>
        <v>Oppna PDF</v>
      </c>
      <c r="B2261" t="s">
        <v>5959</v>
      </c>
      <c r="C2261" t="s">
        <v>5967</v>
      </c>
      <c r="D2261" t="s">
        <v>5961</v>
      </c>
      <c r="E2261" t="s">
        <v>5962</v>
      </c>
      <c r="F2261" t="s">
        <v>5963</v>
      </c>
      <c r="G2261" t="s">
        <v>5964</v>
      </c>
      <c r="H2261" t="s">
        <v>61</v>
      </c>
      <c r="I2261" t="s">
        <v>5965</v>
      </c>
      <c r="J2261" t="s">
        <v>48</v>
      </c>
      <c r="K2261" t="s">
        <v>49</v>
      </c>
      <c r="L2261" t="s">
        <v>29</v>
      </c>
      <c r="M2261" t="s">
        <v>30</v>
      </c>
      <c r="N2261" t="s">
        <v>31</v>
      </c>
      <c r="Q2261" t="s">
        <v>5968</v>
      </c>
      <c r="R2261" t="s">
        <v>5969</v>
      </c>
    </row>
    <row r="2262" spans="1:18" x14ac:dyDescent="0.3">
      <c r="A2262" s="2" t="str">
        <f>HYPERLINK(B2262,"Oppna PDF")</f>
        <v>Oppna PDF</v>
      </c>
      <c r="B2262" t="s">
        <v>5970</v>
      </c>
      <c r="C2262" t="s">
        <v>5971</v>
      </c>
      <c r="D2262" t="s">
        <v>5972</v>
      </c>
      <c r="E2262" t="s">
        <v>5973</v>
      </c>
      <c r="H2262" t="s">
        <v>25</v>
      </c>
      <c r="I2262" t="s">
        <v>5974</v>
      </c>
      <c r="J2262" t="s">
        <v>38</v>
      </c>
      <c r="K2262" t="s">
        <v>39</v>
      </c>
      <c r="L2262" t="s">
        <v>29</v>
      </c>
      <c r="M2262" t="s">
        <v>30</v>
      </c>
      <c r="N2262" t="s">
        <v>31</v>
      </c>
      <c r="Q2262" t="s">
        <v>5975</v>
      </c>
      <c r="R2262" t="s">
        <v>5975</v>
      </c>
    </row>
    <row r="2263" spans="1:18" x14ac:dyDescent="0.3">
      <c r="A2263" s="2" t="str">
        <f>HYPERLINK(B2263,"Oppna PDF")</f>
        <v>Oppna PDF</v>
      </c>
      <c r="B2263" t="s">
        <v>5970</v>
      </c>
      <c r="C2263" t="s">
        <v>5976</v>
      </c>
      <c r="D2263" t="s">
        <v>5972</v>
      </c>
      <c r="E2263" t="s">
        <v>5973</v>
      </c>
      <c r="H2263" t="s">
        <v>25</v>
      </c>
      <c r="I2263" t="s">
        <v>5974</v>
      </c>
      <c r="J2263" t="s">
        <v>34</v>
      </c>
      <c r="K2263" t="s">
        <v>35</v>
      </c>
      <c r="L2263" t="s">
        <v>29</v>
      </c>
      <c r="M2263" t="s">
        <v>30</v>
      </c>
      <c r="N2263" t="s">
        <v>31</v>
      </c>
      <c r="Q2263" t="s">
        <v>5977</v>
      </c>
      <c r="R2263" t="s">
        <v>5977</v>
      </c>
    </row>
    <row r="2264" spans="1:18" x14ac:dyDescent="0.3">
      <c r="A2264" s="2" t="str">
        <f>HYPERLINK(B2264,"Oppna PDF")</f>
        <v>Oppna PDF</v>
      </c>
      <c r="B2264" t="s">
        <v>5970</v>
      </c>
      <c r="C2264" t="s">
        <v>5978</v>
      </c>
      <c r="D2264" t="s">
        <v>5972</v>
      </c>
      <c r="E2264" t="s">
        <v>5973</v>
      </c>
      <c r="H2264" t="s">
        <v>25</v>
      </c>
      <c r="I2264" t="s">
        <v>5974</v>
      </c>
      <c r="J2264" t="s">
        <v>34</v>
      </c>
      <c r="K2264" t="s">
        <v>35</v>
      </c>
      <c r="L2264" t="s">
        <v>29</v>
      </c>
      <c r="M2264" t="s">
        <v>30</v>
      </c>
      <c r="N2264" t="s">
        <v>31</v>
      </c>
      <c r="Q2264" t="s">
        <v>5979</v>
      </c>
      <c r="R2264" t="s">
        <v>5979</v>
      </c>
    </row>
    <row r="2265" spans="1:18" x14ac:dyDescent="0.3">
      <c r="A2265" s="2" t="str">
        <f>HYPERLINK(B2265,"Oppna PDF")</f>
        <v>Oppna PDF</v>
      </c>
      <c r="B2265" t="s">
        <v>5980</v>
      </c>
      <c r="C2265" t="s">
        <v>5981</v>
      </c>
      <c r="D2265" t="s">
        <v>5972</v>
      </c>
      <c r="E2265" t="s">
        <v>5982</v>
      </c>
      <c r="H2265" t="s">
        <v>25</v>
      </c>
      <c r="I2265" t="s">
        <v>5974</v>
      </c>
      <c r="J2265" t="s">
        <v>87</v>
      </c>
      <c r="K2265" t="s">
        <v>88</v>
      </c>
      <c r="L2265" t="s">
        <v>29</v>
      </c>
      <c r="M2265" t="s">
        <v>30</v>
      </c>
      <c r="N2265" t="s">
        <v>31</v>
      </c>
      <c r="Q2265" t="s">
        <v>5983</v>
      </c>
      <c r="R2265" t="s">
        <v>5983</v>
      </c>
    </row>
    <row r="2266" spans="1:18" x14ac:dyDescent="0.3">
      <c r="A2266" s="2" t="str">
        <f>HYPERLINK(B2266,"Oppna PDF")</f>
        <v>Oppna PDF</v>
      </c>
      <c r="B2266" t="s">
        <v>5980</v>
      </c>
      <c r="C2266" t="s">
        <v>5984</v>
      </c>
      <c r="D2266" t="s">
        <v>5972</v>
      </c>
      <c r="E2266" t="s">
        <v>5982</v>
      </c>
      <c r="H2266" t="s">
        <v>25</v>
      </c>
      <c r="I2266" t="s">
        <v>5974</v>
      </c>
      <c r="J2266" t="s">
        <v>27</v>
      </c>
      <c r="K2266" t="s">
        <v>28</v>
      </c>
      <c r="L2266" t="s">
        <v>29</v>
      </c>
      <c r="M2266" t="s">
        <v>30</v>
      </c>
      <c r="N2266" t="s">
        <v>31</v>
      </c>
      <c r="Q2266" t="s">
        <v>5985</v>
      </c>
      <c r="R2266" t="s">
        <v>5985</v>
      </c>
    </row>
    <row r="2267" spans="1:18" x14ac:dyDescent="0.3">
      <c r="A2267" s="2" t="str">
        <f>HYPERLINK(B2267,"Oppna PDF")</f>
        <v>Oppna PDF</v>
      </c>
      <c r="B2267" t="s">
        <v>5986</v>
      </c>
      <c r="C2267" t="s">
        <v>5987</v>
      </c>
      <c r="D2267" t="s">
        <v>5972</v>
      </c>
      <c r="E2267" t="s">
        <v>5988</v>
      </c>
      <c r="H2267" t="s">
        <v>25</v>
      </c>
      <c r="I2267" t="s">
        <v>5974</v>
      </c>
      <c r="J2267" t="s">
        <v>38</v>
      </c>
      <c r="K2267" t="s">
        <v>39</v>
      </c>
      <c r="L2267" t="s">
        <v>300</v>
      </c>
      <c r="M2267" t="s">
        <v>30</v>
      </c>
      <c r="N2267" t="s">
        <v>31</v>
      </c>
      <c r="Q2267" t="s">
        <v>5989</v>
      </c>
      <c r="R2267" t="s">
        <v>5990</v>
      </c>
    </row>
    <row r="2268" spans="1:18" x14ac:dyDescent="0.3">
      <c r="A2268" s="2" t="str">
        <f>HYPERLINK(B2268,"Oppna PDF")</f>
        <v>Oppna PDF</v>
      </c>
      <c r="B2268" t="s">
        <v>5991</v>
      </c>
      <c r="C2268" t="s">
        <v>5992</v>
      </c>
      <c r="D2268" t="s">
        <v>5972</v>
      </c>
      <c r="E2268" t="s">
        <v>5993</v>
      </c>
      <c r="H2268" t="s">
        <v>25</v>
      </c>
      <c r="I2268" t="s">
        <v>5974</v>
      </c>
      <c r="J2268" t="s">
        <v>34</v>
      </c>
      <c r="K2268" t="s">
        <v>35</v>
      </c>
      <c r="L2268" t="s">
        <v>29</v>
      </c>
      <c r="M2268" t="s">
        <v>30</v>
      </c>
      <c r="N2268" t="s">
        <v>31</v>
      </c>
      <c r="Q2268" t="s">
        <v>5979</v>
      </c>
      <c r="R2268" t="s">
        <v>5979</v>
      </c>
    </row>
    <row r="2269" spans="1:18" x14ac:dyDescent="0.3">
      <c r="A2269" s="2" t="str">
        <f>HYPERLINK(B2269,"Oppna PDF")</f>
        <v>Oppna PDF</v>
      </c>
      <c r="B2269" t="s">
        <v>5994</v>
      </c>
      <c r="C2269" t="s">
        <v>5995</v>
      </c>
      <c r="D2269" t="s">
        <v>5972</v>
      </c>
      <c r="E2269" t="s">
        <v>5996</v>
      </c>
      <c r="H2269" t="s">
        <v>25</v>
      </c>
      <c r="I2269" t="s">
        <v>5974</v>
      </c>
      <c r="J2269" t="s">
        <v>38</v>
      </c>
      <c r="K2269" t="s">
        <v>39</v>
      </c>
      <c r="L2269" t="s">
        <v>29</v>
      </c>
      <c r="M2269" t="s">
        <v>30</v>
      </c>
      <c r="N2269" t="s">
        <v>31</v>
      </c>
      <c r="Q2269" t="s">
        <v>5997</v>
      </c>
      <c r="R2269" t="s">
        <v>5997</v>
      </c>
    </row>
    <row r="2270" spans="1:18" x14ac:dyDescent="0.3">
      <c r="A2270" s="2" t="str">
        <f>HYPERLINK(B2270,"Oppna PDF")</f>
        <v>Oppna PDF</v>
      </c>
      <c r="B2270" t="s">
        <v>5994</v>
      </c>
      <c r="C2270" t="s">
        <v>5998</v>
      </c>
      <c r="D2270" t="s">
        <v>5972</v>
      </c>
      <c r="E2270" t="s">
        <v>5996</v>
      </c>
      <c r="H2270" t="s">
        <v>25</v>
      </c>
      <c r="I2270" t="s">
        <v>5974</v>
      </c>
      <c r="J2270" t="s">
        <v>38</v>
      </c>
      <c r="K2270" t="s">
        <v>39</v>
      </c>
      <c r="L2270" t="s">
        <v>29</v>
      </c>
      <c r="M2270" t="s">
        <v>30</v>
      </c>
      <c r="N2270" t="s">
        <v>31</v>
      </c>
      <c r="Q2270" t="s">
        <v>5999</v>
      </c>
      <c r="R2270" t="s">
        <v>5999</v>
      </c>
    </row>
    <row r="2271" spans="1:18" x14ac:dyDescent="0.3">
      <c r="A2271" s="2" t="str">
        <f>HYPERLINK(B2271,"Oppna PDF")</f>
        <v>Oppna PDF</v>
      </c>
      <c r="B2271" t="s">
        <v>5994</v>
      </c>
      <c r="C2271" t="s">
        <v>6000</v>
      </c>
      <c r="D2271" t="s">
        <v>5972</v>
      </c>
      <c r="E2271" t="s">
        <v>5996</v>
      </c>
      <c r="H2271" t="s">
        <v>25</v>
      </c>
      <c r="I2271" t="s">
        <v>5974</v>
      </c>
      <c r="J2271" t="s">
        <v>38</v>
      </c>
      <c r="K2271" t="s">
        <v>39</v>
      </c>
      <c r="L2271" t="s">
        <v>29</v>
      </c>
      <c r="M2271" t="s">
        <v>30</v>
      </c>
      <c r="N2271" t="s">
        <v>31</v>
      </c>
      <c r="Q2271" t="s">
        <v>6001</v>
      </c>
      <c r="R2271" t="s">
        <v>6001</v>
      </c>
    </row>
    <row r="2272" spans="1:18" x14ac:dyDescent="0.3">
      <c r="A2272" s="2" t="str">
        <f>HYPERLINK(B2272,"Oppna PDF")</f>
        <v>Oppna PDF</v>
      </c>
      <c r="B2272" t="s">
        <v>6002</v>
      </c>
      <c r="C2272" t="s">
        <v>6003</v>
      </c>
      <c r="D2272" t="s">
        <v>6004</v>
      </c>
      <c r="E2272" t="s">
        <v>6005</v>
      </c>
      <c r="F2272" t="s">
        <v>6006</v>
      </c>
      <c r="G2272" t="s">
        <v>6007</v>
      </c>
      <c r="H2272" t="s">
        <v>61</v>
      </c>
      <c r="I2272" t="s">
        <v>6008</v>
      </c>
      <c r="J2272" t="s">
        <v>34</v>
      </c>
      <c r="K2272" t="s">
        <v>35</v>
      </c>
      <c r="L2272" t="s">
        <v>29</v>
      </c>
      <c r="M2272" t="s">
        <v>30</v>
      </c>
      <c r="N2272" t="s">
        <v>31</v>
      </c>
      <c r="Q2272" t="s">
        <v>6009</v>
      </c>
      <c r="R2272" t="s">
        <v>6009</v>
      </c>
    </row>
    <row r="2273" spans="1:18" x14ac:dyDescent="0.3">
      <c r="A2273" s="2" t="str">
        <f>HYPERLINK(B2273,"Oppna PDF")</f>
        <v>Oppna PDF</v>
      </c>
      <c r="B2273" t="s">
        <v>6002</v>
      </c>
      <c r="C2273" t="s">
        <v>6010</v>
      </c>
      <c r="D2273" t="s">
        <v>6004</v>
      </c>
      <c r="E2273" t="s">
        <v>6005</v>
      </c>
      <c r="F2273" t="s">
        <v>6006</v>
      </c>
      <c r="G2273" t="s">
        <v>6007</v>
      </c>
      <c r="H2273" t="s">
        <v>61</v>
      </c>
      <c r="I2273" t="s">
        <v>6008</v>
      </c>
      <c r="J2273" t="s">
        <v>27</v>
      </c>
      <c r="K2273" t="s">
        <v>28</v>
      </c>
      <c r="L2273" t="s">
        <v>29</v>
      </c>
      <c r="M2273" t="s">
        <v>30</v>
      </c>
      <c r="N2273" t="s">
        <v>31</v>
      </c>
      <c r="Q2273" t="s">
        <v>6011</v>
      </c>
      <c r="R2273" t="s">
        <v>6011</v>
      </c>
    </row>
    <row r="2274" spans="1:18" x14ac:dyDescent="0.3">
      <c r="A2274" s="2" t="str">
        <f>HYPERLINK(B2274,"Oppna PDF")</f>
        <v>Oppna PDF</v>
      </c>
      <c r="B2274" t="s">
        <v>6002</v>
      </c>
      <c r="C2274" t="s">
        <v>6012</v>
      </c>
      <c r="D2274" t="s">
        <v>6004</v>
      </c>
      <c r="E2274" t="s">
        <v>6005</v>
      </c>
      <c r="F2274" t="s">
        <v>6006</v>
      </c>
      <c r="G2274" t="s">
        <v>6007</v>
      </c>
      <c r="H2274" t="s">
        <v>61</v>
      </c>
      <c r="I2274" t="s">
        <v>6008</v>
      </c>
      <c r="J2274" t="s">
        <v>34</v>
      </c>
      <c r="K2274" t="s">
        <v>35</v>
      </c>
      <c r="L2274" t="s">
        <v>29</v>
      </c>
      <c r="M2274" t="s">
        <v>30</v>
      </c>
      <c r="N2274" t="s">
        <v>31</v>
      </c>
      <c r="Q2274" t="s">
        <v>6013</v>
      </c>
      <c r="R2274" t="s">
        <v>6013</v>
      </c>
    </row>
    <row r="2275" spans="1:18" x14ac:dyDescent="0.3">
      <c r="A2275" s="2" t="str">
        <f>HYPERLINK(B2275,"Oppna PDF")</f>
        <v>Oppna PDF</v>
      </c>
      <c r="B2275" t="s">
        <v>6014</v>
      </c>
      <c r="C2275" t="s">
        <v>6015</v>
      </c>
      <c r="D2275" t="s">
        <v>6004</v>
      </c>
      <c r="E2275" t="s">
        <v>6016</v>
      </c>
      <c r="F2275" t="s">
        <v>6006</v>
      </c>
      <c r="G2275" t="s">
        <v>6007</v>
      </c>
      <c r="H2275" t="s">
        <v>61</v>
      </c>
      <c r="I2275" t="s">
        <v>6008</v>
      </c>
      <c r="J2275" t="s">
        <v>48</v>
      </c>
      <c r="K2275" t="s">
        <v>49</v>
      </c>
      <c r="L2275" t="s">
        <v>142</v>
      </c>
      <c r="M2275" t="s">
        <v>30</v>
      </c>
      <c r="N2275" t="s">
        <v>31</v>
      </c>
      <c r="Q2275" t="s">
        <v>6017</v>
      </c>
      <c r="R2275" t="s">
        <v>6017</v>
      </c>
    </row>
    <row r="2276" spans="1:18" x14ac:dyDescent="0.3">
      <c r="A2276" s="2" t="str">
        <f>HYPERLINK(B2276,"Oppna PDF")</f>
        <v>Oppna PDF</v>
      </c>
      <c r="B2276" t="s">
        <v>6014</v>
      </c>
      <c r="C2276" t="s">
        <v>6018</v>
      </c>
      <c r="D2276" t="s">
        <v>6004</v>
      </c>
      <c r="E2276" t="s">
        <v>6016</v>
      </c>
      <c r="F2276" t="s">
        <v>6006</v>
      </c>
      <c r="G2276" t="s">
        <v>6007</v>
      </c>
      <c r="H2276" t="s">
        <v>61</v>
      </c>
      <c r="I2276" t="s">
        <v>6008</v>
      </c>
      <c r="J2276" t="s">
        <v>87</v>
      </c>
      <c r="K2276" t="s">
        <v>88</v>
      </c>
      <c r="L2276" t="s">
        <v>29</v>
      </c>
      <c r="M2276" t="s">
        <v>30</v>
      </c>
      <c r="N2276" t="s">
        <v>31</v>
      </c>
      <c r="Q2276" t="s">
        <v>6019</v>
      </c>
      <c r="R2276" t="s">
        <v>6019</v>
      </c>
    </row>
    <row r="2277" spans="1:18" x14ac:dyDescent="0.3">
      <c r="A2277" s="2" t="str">
        <f>HYPERLINK(B2277,"Oppna PDF")</f>
        <v>Oppna PDF</v>
      </c>
      <c r="B2277" t="s">
        <v>6014</v>
      </c>
      <c r="C2277" t="s">
        <v>6020</v>
      </c>
      <c r="D2277" t="s">
        <v>6004</v>
      </c>
      <c r="E2277" t="s">
        <v>6016</v>
      </c>
      <c r="F2277" t="s">
        <v>6006</v>
      </c>
      <c r="G2277" t="s">
        <v>6007</v>
      </c>
      <c r="H2277" t="s">
        <v>61</v>
      </c>
      <c r="I2277" t="s">
        <v>6008</v>
      </c>
      <c r="J2277" t="s">
        <v>38</v>
      </c>
      <c r="K2277" t="s">
        <v>39</v>
      </c>
      <c r="L2277" t="s">
        <v>29</v>
      </c>
      <c r="M2277" t="s">
        <v>30</v>
      </c>
      <c r="N2277" t="s">
        <v>31</v>
      </c>
      <c r="Q2277" t="s">
        <v>6021</v>
      </c>
      <c r="R2277" t="s">
        <v>6021</v>
      </c>
    </row>
    <row r="2278" spans="1:18" x14ac:dyDescent="0.3">
      <c r="A2278" s="2" t="str">
        <f>HYPERLINK(B2278,"Oppna PDF")</f>
        <v>Oppna PDF</v>
      </c>
      <c r="B2278" t="s">
        <v>6022</v>
      </c>
      <c r="C2278" t="s">
        <v>6023</v>
      </c>
      <c r="D2278" t="s">
        <v>6024</v>
      </c>
      <c r="E2278" t="s">
        <v>6025</v>
      </c>
      <c r="H2278" t="s">
        <v>61</v>
      </c>
      <c r="I2278" t="s">
        <v>6026</v>
      </c>
      <c r="J2278" t="s">
        <v>91</v>
      </c>
      <c r="K2278" t="s">
        <v>92</v>
      </c>
      <c r="L2278" t="s">
        <v>29</v>
      </c>
      <c r="M2278" t="s">
        <v>30</v>
      </c>
      <c r="N2278" t="s">
        <v>31</v>
      </c>
      <c r="Q2278" t="s">
        <v>6027</v>
      </c>
      <c r="R2278" t="s">
        <v>6028</v>
      </c>
    </row>
    <row r="2279" spans="1:18" x14ac:dyDescent="0.3">
      <c r="A2279" s="2" t="str">
        <f>HYPERLINK(B2279,"Oppna PDF")</f>
        <v>Oppna PDF</v>
      </c>
      <c r="B2279" t="s">
        <v>6022</v>
      </c>
      <c r="C2279" t="s">
        <v>6029</v>
      </c>
      <c r="D2279" t="s">
        <v>6024</v>
      </c>
      <c r="E2279" t="s">
        <v>6025</v>
      </c>
      <c r="H2279" t="s">
        <v>61</v>
      </c>
      <c r="I2279" t="s">
        <v>6026</v>
      </c>
      <c r="J2279" t="s">
        <v>91</v>
      </c>
      <c r="K2279" t="s">
        <v>92</v>
      </c>
      <c r="L2279" t="s">
        <v>29</v>
      </c>
      <c r="M2279" t="s">
        <v>30</v>
      </c>
      <c r="N2279" t="s">
        <v>31</v>
      </c>
      <c r="Q2279" t="s">
        <v>6030</v>
      </c>
      <c r="R2279" t="s">
        <v>6031</v>
      </c>
    </row>
    <row r="2280" spans="1:18" x14ac:dyDescent="0.3">
      <c r="A2280" s="2" t="str">
        <f>HYPERLINK(B2280,"Oppna PDF")</f>
        <v>Oppna PDF</v>
      </c>
      <c r="B2280" t="s">
        <v>6022</v>
      </c>
      <c r="C2280" t="s">
        <v>6032</v>
      </c>
      <c r="D2280" t="s">
        <v>6024</v>
      </c>
      <c r="E2280" t="s">
        <v>6025</v>
      </c>
      <c r="H2280" t="s">
        <v>61</v>
      </c>
      <c r="I2280" t="s">
        <v>6026</v>
      </c>
      <c r="J2280" t="s">
        <v>91</v>
      </c>
      <c r="K2280" t="s">
        <v>92</v>
      </c>
      <c r="L2280" t="s">
        <v>29</v>
      </c>
      <c r="M2280" t="s">
        <v>30</v>
      </c>
      <c r="N2280" t="s">
        <v>31</v>
      </c>
      <c r="Q2280" t="s">
        <v>6033</v>
      </c>
      <c r="R2280" t="s">
        <v>6034</v>
      </c>
    </row>
    <row r="2281" spans="1:18" x14ac:dyDescent="0.3">
      <c r="A2281" s="2" t="str">
        <f>HYPERLINK(B2281,"Oppna PDF")</f>
        <v>Oppna PDF</v>
      </c>
      <c r="B2281" t="s">
        <v>6035</v>
      </c>
      <c r="C2281" t="s">
        <v>6036</v>
      </c>
      <c r="D2281" t="s">
        <v>6024</v>
      </c>
      <c r="E2281" t="s">
        <v>6037</v>
      </c>
      <c r="H2281" t="s">
        <v>61</v>
      </c>
      <c r="I2281" t="s">
        <v>6026</v>
      </c>
      <c r="J2281" t="s">
        <v>27</v>
      </c>
      <c r="K2281" t="s">
        <v>28</v>
      </c>
      <c r="L2281" t="s">
        <v>29</v>
      </c>
      <c r="M2281" t="s">
        <v>30</v>
      </c>
      <c r="N2281" t="s">
        <v>31</v>
      </c>
      <c r="Q2281" t="s">
        <v>6038</v>
      </c>
      <c r="R2281" t="s">
        <v>6039</v>
      </c>
    </row>
    <row r="2282" spans="1:18" x14ac:dyDescent="0.3">
      <c r="A2282" s="2" t="str">
        <f>HYPERLINK(B2282,"Oppna PDF")</f>
        <v>Oppna PDF</v>
      </c>
      <c r="B2282" t="s">
        <v>6035</v>
      </c>
      <c r="C2282" t="s">
        <v>6040</v>
      </c>
      <c r="D2282" t="s">
        <v>6024</v>
      </c>
      <c r="E2282" t="s">
        <v>6037</v>
      </c>
      <c r="H2282" t="s">
        <v>61</v>
      </c>
      <c r="I2282" t="s">
        <v>6026</v>
      </c>
      <c r="J2282" t="s">
        <v>27</v>
      </c>
      <c r="K2282" t="s">
        <v>28</v>
      </c>
      <c r="L2282" t="s">
        <v>29</v>
      </c>
      <c r="M2282" t="s">
        <v>30</v>
      </c>
      <c r="N2282" t="s">
        <v>31</v>
      </c>
      <c r="Q2282" t="s">
        <v>6041</v>
      </c>
      <c r="R2282" t="s">
        <v>6041</v>
      </c>
    </row>
    <row r="2283" spans="1:18" x14ac:dyDescent="0.3">
      <c r="A2283" s="2" t="str">
        <f>HYPERLINK(B2283,"Oppna PDF")</f>
        <v>Oppna PDF</v>
      </c>
      <c r="B2283" t="s">
        <v>6035</v>
      </c>
      <c r="C2283" t="s">
        <v>6042</v>
      </c>
      <c r="D2283" t="s">
        <v>6024</v>
      </c>
      <c r="E2283" t="s">
        <v>6037</v>
      </c>
      <c r="H2283" t="s">
        <v>61</v>
      </c>
      <c r="I2283" t="s">
        <v>6026</v>
      </c>
      <c r="J2283" t="s">
        <v>27</v>
      </c>
      <c r="K2283" t="s">
        <v>28</v>
      </c>
      <c r="L2283" t="s">
        <v>29</v>
      </c>
      <c r="M2283" t="s">
        <v>30</v>
      </c>
      <c r="N2283" t="s">
        <v>31</v>
      </c>
      <c r="Q2283" t="s">
        <v>6043</v>
      </c>
      <c r="R2283" t="s">
        <v>6043</v>
      </c>
    </row>
    <row r="2284" spans="1:18" x14ac:dyDescent="0.3">
      <c r="A2284" s="2" t="str">
        <f>HYPERLINK(B2284,"Oppna PDF")</f>
        <v>Oppna PDF</v>
      </c>
      <c r="B2284" t="s">
        <v>6044</v>
      </c>
      <c r="C2284" t="s">
        <v>6045</v>
      </c>
      <c r="D2284" t="s">
        <v>6024</v>
      </c>
      <c r="E2284" t="s">
        <v>6046</v>
      </c>
      <c r="H2284" t="s">
        <v>61</v>
      </c>
      <c r="I2284" t="s">
        <v>6026</v>
      </c>
      <c r="J2284" t="s">
        <v>91</v>
      </c>
      <c r="K2284" t="s">
        <v>92</v>
      </c>
      <c r="L2284" t="s">
        <v>29</v>
      </c>
      <c r="M2284" t="s">
        <v>30</v>
      </c>
      <c r="N2284" t="s">
        <v>31</v>
      </c>
      <c r="Q2284" t="s">
        <v>6047</v>
      </c>
      <c r="R2284" t="s">
        <v>6048</v>
      </c>
    </row>
    <row r="2285" spans="1:18" x14ac:dyDescent="0.3">
      <c r="A2285" s="2" t="str">
        <f>HYPERLINK(B2285,"Oppna PDF")</f>
        <v>Oppna PDF</v>
      </c>
      <c r="B2285" t="s">
        <v>6044</v>
      </c>
      <c r="C2285" t="s">
        <v>6049</v>
      </c>
      <c r="D2285" t="s">
        <v>6024</v>
      </c>
      <c r="E2285" t="s">
        <v>6046</v>
      </c>
      <c r="H2285" t="s">
        <v>61</v>
      </c>
      <c r="I2285" t="s">
        <v>6026</v>
      </c>
      <c r="J2285" t="s">
        <v>91</v>
      </c>
      <c r="K2285" t="s">
        <v>92</v>
      </c>
      <c r="L2285" t="s">
        <v>29</v>
      </c>
      <c r="M2285" t="s">
        <v>30</v>
      </c>
      <c r="N2285" t="s">
        <v>31</v>
      </c>
      <c r="Q2285" t="s">
        <v>6050</v>
      </c>
      <c r="R2285" t="s">
        <v>6051</v>
      </c>
    </row>
    <row r="2286" spans="1:18" x14ac:dyDescent="0.3">
      <c r="A2286" s="2" t="str">
        <f>HYPERLINK(B2286,"Oppna PDF")</f>
        <v>Oppna PDF</v>
      </c>
      <c r="B2286" t="s">
        <v>6044</v>
      </c>
      <c r="C2286" t="s">
        <v>6052</v>
      </c>
      <c r="D2286" t="s">
        <v>6024</v>
      </c>
      <c r="E2286" t="s">
        <v>6046</v>
      </c>
      <c r="H2286" t="s">
        <v>61</v>
      </c>
      <c r="I2286" t="s">
        <v>6026</v>
      </c>
      <c r="J2286" t="s">
        <v>91</v>
      </c>
      <c r="K2286" t="s">
        <v>92</v>
      </c>
      <c r="L2286" t="s">
        <v>29</v>
      </c>
      <c r="M2286" t="s">
        <v>30</v>
      </c>
      <c r="N2286" t="s">
        <v>31</v>
      </c>
      <c r="Q2286" t="s">
        <v>6053</v>
      </c>
      <c r="R2286" t="s">
        <v>6054</v>
      </c>
    </row>
    <row r="2287" spans="1:18" x14ac:dyDescent="0.3">
      <c r="A2287" s="2" t="str">
        <f>HYPERLINK(B2287,"Oppna PDF")</f>
        <v>Oppna PDF</v>
      </c>
      <c r="B2287" t="s">
        <v>6055</v>
      </c>
      <c r="C2287" t="s">
        <v>6056</v>
      </c>
      <c r="D2287" t="s">
        <v>6024</v>
      </c>
      <c r="E2287" t="s">
        <v>6057</v>
      </c>
      <c r="H2287" t="s">
        <v>61</v>
      </c>
      <c r="I2287" t="s">
        <v>6026</v>
      </c>
      <c r="J2287" t="s">
        <v>27</v>
      </c>
      <c r="K2287" t="s">
        <v>28</v>
      </c>
      <c r="L2287" t="s">
        <v>29</v>
      </c>
      <c r="M2287" t="s">
        <v>30</v>
      </c>
      <c r="N2287" t="s">
        <v>31</v>
      </c>
      <c r="Q2287" t="s">
        <v>6058</v>
      </c>
      <c r="R2287" t="s">
        <v>6058</v>
      </c>
    </row>
    <row r="2288" spans="1:18" x14ac:dyDescent="0.3">
      <c r="A2288" s="2" t="str">
        <f>HYPERLINK(B2288,"Oppna PDF")</f>
        <v>Oppna PDF</v>
      </c>
      <c r="B2288" t="s">
        <v>6055</v>
      </c>
      <c r="C2288" t="s">
        <v>6059</v>
      </c>
      <c r="D2288" t="s">
        <v>6024</v>
      </c>
      <c r="E2288" t="s">
        <v>6057</v>
      </c>
      <c r="H2288" t="s">
        <v>61</v>
      </c>
      <c r="I2288" t="s">
        <v>6026</v>
      </c>
      <c r="J2288" t="s">
        <v>48</v>
      </c>
      <c r="K2288" t="s">
        <v>49</v>
      </c>
      <c r="L2288" t="s">
        <v>29</v>
      </c>
      <c r="M2288" t="s">
        <v>30</v>
      </c>
      <c r="N2288" t="s">
        <v>31</v>
      </c>
      <c r="Q2288" t="s">
        <v>6060</v>
      </c>
      <c r="R2288" t="s">
        <v>6060</v>
      </c>
    </row>
    <row r="2289" spans="1:18" x14ac:dyDescent="0.3">
      <c r="A2289" s="2" t="str">
        <f>HYPERLINK(B2289,"Oppna PDF")</f>
        <v>Oppna PDF</v>
      </c>
      <c r="B2289" t="s">
        <v>6055</v>
      </c>
      <c r="C2289" t="s">
        <v>6061</v>
      </c>
      <c r="D2289" t="s">
        <v>6024</v>
      </c>
      <c r="E2289" t="s">
        <v>6057</v>
      </c>
      <c r="H2289" t="s">
        <v>61</v>
      </c>
      <c r="I2289" t="s">
        <v>6026</v>
      </c>
      <c r="J2289" t="s">
        <v>34</v>
      </c>
      <c r="K2289" t="s">
        <v>35</v>
      </c>
      <c r="L2289" t="s">
        <v>29</v>
      </c>
      <c r="M2289" t="s">
        <v>30</v>
      </c>
      <c r="N2289" t="s">
        <v>31</v>
      </c>
      <c r="Q2289" t="s">
        <v>6062</v>
      </c>
      <c r="R2289" t="s">
        <v>6062</v>
      </c>
    </row>
    <row r="2290" spans="1:18" x14ac:dyDescent="0.3">
      <c r="A2290" s="2" t="str">
        <f>HYPERLINK(B2290,"Oppna PDF")</f>
        <v>Oppna PDF</v>
      </c>
      <c r="B2290" t="s">
        <v>6063</v>
      </c>
      <c r="C2290" t="s">
        <v>6064</v>
      </c>
      <c r="D2290" t="s">
        <v>6065</v>
      </c>
      <c r="E2290" t="s">
        <v>6066</v>
      </c>
      <c r="F2290" t="s">
        <v>6067</v>
      </c>
      <c r="G2290" t="s">
        <v>6068</v>
      </c>
      <c r="H2290" t="s">
        <v>61</v>
      </c>
      <c r="I2290" t="s">
        <v>6069</v>
      </c>
      <c r="J2290" t="s">
        <v>34</v>
      </c>
      <c r="K2290" t="s">
        <v>35</v>
      </c>
      <c r="L2290" t="s">
        <v>142</v>
      </c>
      <c r="M2290" t="s">
        <v>30</v>
      </c>
      <c r="N2290" t="s">
        <v>31</v>
      </c>
      <c r="Q2290" t="s">
        <v>6070</v>
      </c>
      <c r="R2290" t="s">
        <v>6070</v>
      </c>
    </row>
    <row r="2291" spans="1:18" x14ac:dyDescent="0.3">
      <c r="A2291" s="2" t="str">
        <f>HYPERLINK(B2291,"Oppna PDF")</f>
        <v>Oppna PDF</v>
      </c>
      <c r="B2291" t="s">
        <v>6063</v>
      </c>
      <c r="C2291" t="s">
        <v>6071</v>
      </c>
      <c r="D2291" t="s">
        <v>6065</v>
      </c>
      <c r="E2291" t="s">
        <v>6066</v>
      </c>
      <c r="F2291" t="s">
        <v>6067</v>
      </c>
      <c r="G2291" t="s">
        <v>6068</v>
      </c>
      <c r="H2291" t="s">
        <v>61</v>
      </c>
      <c r="I2291" t="s">
        <v>6069</v>
      </c>
      <c r="J2291" t="s">
        <v>34</v>
      </c>
      <c r="K2291" t="s">
        <v>35</v>
      </c>
      <c r="L2291" t="s">
        <v>29</v>
      </c>
      <c r="M2291" t="s">
        <v>30</v>
      </c>
      <c r="N2291" t="s">
        <v>31</v>
      </c>
      <c r="Q2291" t="s">
        <v>6072</v>
      </c>
      <c r="R2291" t="s">
        <v>6072</v>
      </c>
    </row>
    <row r="2292" spans="1:18" x14ac:dyDescent="0.3">
      <c r="A2292" s="2" t="str">
        <f>HYPERLINK(B2292,"Oppna PDF")</f>
        <v>Oppna PDF</v>
      </c>
      <c r="B2292" t="s">
        <v>6063</v>
      </c>
      <c r="C2292" t="s">
        <v>6073</v>
      </c>
      <c r="D2292" t="s">
        <v>6065</v>
      </c>
      <c r="E2292" t="s">
        <v>6066</v>
      </c>
      <c r="F2292" t="s">
        <v>6067</v>
      </c>
      <c r="G2292" t="s">
        <v>6068</v>
      </c>
      <c r="H2292" t="s">
        <v>61</v>
      </c>
      <c r="I2292" t="s">
        <v>6069</v>
      </c>
      <c r="J2292" t="s">
        <v>34</v>
      </c>
      <c r="K2292" t="s">
        <v>35</v>
      </c>
      <c r="L2292" t="s">
        <v>29</v>
      </c>
      <c r="M2292" t="s">
        <v>30</v>
      </c>
      <c r="N2292" t="s">
        <v>31</v>
      </c>
      <c r="Q2292" t="s">
        <v>6074</v>
      </c>
      <c r="R2292" t="s">
        <v>6074</v>
      </c>
    </row>
    <row r="2293" spans="1:18" x14ac:dyDescent="0.3">
      <c r="A2293" s="2" t="str">
        <f>HYPERLINK(B2293,"Oppna PDF")</f>
        <v>Oppna PDF</v>
      </c>
      <c r="B2293" t="s">
        <v>6075</v>
      </c>
      <c r="C2293" t="s">
        <v>6076</v>
      </c>
      <c r="D2293" t="s">
        <v>6065</v>
      </c>
      <c r="E2293" t="s">
        <v>6077</v>
      </c>
      <c r="F2293" t="s">
        <v>6067</v>
      </c>
      <c r="G2293" t="s">
        <v>6068</v>
      </c>
      <c r="H2293" t="s">
        <v>61</v>
      </c>
      <c r="I2293" t="s">
        <v>6069</v>
      </c>
      <c r="J2293" t="s">
        <v>91</v>
      </c>
      <c r="K2293" t="s">
        <v>92</v>
      </c>
      <c r="L2293" t="s">
        <v>29</v>
      </c>
      <c r="M2293" t="s">
        <v>30</v>
      </c>
      <c r="N2293" t="s">
        <v>31</v>
      </c>
      <c r="Q2293" t="s">
        <v>6078</v>
      </c>
      <c r="R2293" t="s">
        <v>6078</v>
      </c>
    </row>
    <row r="2294" spans="1:18" x14ac:dyDescent="0.3">
      <c r="A2294" s="2" t="str">
        <f>HYPERLINK(B2294,"Oppna PDF")</f>
        <v>Oppna PDF</v>
      </c>
      <c r="B2294" t="s">
        <v>6079</v>
      </c>
      <c r="C2294" t="s">
        <v>6080</v>
      </c>
      <c r="D2294" t="s">
        <v>6065</v>
      </c>
      <c r="E2294" t="s">
        <v>6081</v>
      </c>
      <c r="F2294" t="s">
        <v>6067</v>
      </c>
      <c r="G2294" t="s">
        <v>6068</v>
      </c>
      <c r="H2294" t="s">
        <v>61</v>
      </c>
      <c r="I2294" t="s">
        <v>6069</v>
      </c>
      <c r="J2294" t="s">
        <v>34</v>
      </c>
      <c r="K2294" t="s">
        <v>35</v>
      </c>
      <c r="L2294" t="s">
        <v>29</v>
      </c>
      <c r="M2294" t="s">
        <v>30</v>
      </c>
      <c r="N2294" t="s">
        <v>31</v>
      </c>
      <c r="Q2294" t="s">
        <v>6082</v>
      </c>
      <c r="R2294" t="s">
        <v>6082</v>
      </c>
    </row>
    <row r="2295" spans="1:18" x14ac:dyDescent="0.3">
      <c r="A2295" s="2" t="str">
        <f>HYPERLINK(B2295,"Oppna PDF")</f>
        <v>Oppna PDF</v>
      </c>
      <c r="B2295" t="s">
        <v>6079</v>
      </c>
      <c r="C2295" t="s">
        <v>6083</v>
      </c>
      <c r="D2295" t="s">
        <v>6065</v>
      </c>
      <c r="E2295" t="s">
        <v>6081</v>
      </c>
      <c r="F2295" t="s">
        <v>6067</v>
      </c>
      <c r="G2295" t="s">
        <v>6068</v>
      </c>
      <c r="H2295" t="s">
        <v>61</v>
      </c>
      <c r="I2295" t="s">
        <v>6069</v>
      </c>
      <c r="J2295" t="s">
        <v>38</v>
      </c>
      <c r="K2295" t="s">
        <v>39</v>
      </c>
      <c r="L2295" t="s">
        <v>29</v>
      </c>
      <c r="M2295" t="s">
        <v>30</v>
      </c>
      <c r="N2295" t="s">
        <v>31</v>
      </c>
      <c r="Q2295" t="s">
        <v>6084</v>
      </c>
      <c r="R2295" t="s">
        <v>6084</v>
      </c>
    </row>
    <row r="2296" spans="1:18" x14ac:dyDescent="0.3">
      <c r="A2296" s="2" t="str">
        <f>HYPERLINK(B2296,"Oppna PDF")</f>
        <v>Oppna PDF</v>
      </c>
      <c r="B2296" t="s">
        <v>6079</v>
      </c>
      <c r="C2296" t="s">
        <v>6085</v>
      </c>
      <c r="D2296" t="s">
        <v>6065</v>
      </c>
      <c r="E2296" t="s">
        <v>6081</v>
      </c>
      <c r="F2296" t="s">
        <v>6067</v>
      </c>
      <c r="G2296" t="s">
        <v>6068</v>
      </c>
      <c r="H2296" t="s">
        <v>61</v>
      </c>
      <c r="I2296" t="s">
        <v>6069</v>
      </c>
      <c r="J2296" t="s">
        <v>48</v>
      </c>
      <c r="K2296" t="s">
        <v>49</v>
      </c>
      <c r="L2296" t="s">
        <v>29</v>
      </c>
      <c r="M2296" t="s">
        <v>30</v>
      </c>
      <c r="N2296" t="s">
        <v>31</v>
      </c>
      <c r="Q2296" t="s">
        <v>6086</v>
      </c>
      <c r="R2296" t="s">
        <v>6086</v>
      </c>
    </row>
    <row r="2297" spans="1:18" x14ac:dyDescent="0.3">
      <c r="A2297" s="2" t="str">
        <f>HYPERLINK(B2297,"Oppna PDF")</f>
        <v>Oppna PDF</v>
      </c>
      <c r="B2297" t="s">
        <v>6087</v>
      </c>
      <c r="C2297" t="s">
        <v>6088</v>
      </c>
      <c r="D2297" t="s">
        <v>6065</v>
      </c>
      <c r="E2297" t="s">
        <v>6089</v>
      </c>
      <c r="F2297" t="s">
        <v>6067</v>
      </c>
      <c r="G2297" t="s">
        <v>6068</v>
      </c>
      <c r="H2297" t="s">
        <v>61</v>
      </c>
      <c r="I2297" t="s">
        <v>6069</v>
      </c>
      <c r="J2297" t="s">
        <v>34</v>
      </c>
      <c r="K2297" t="s">
        <v>35</v>
      </c>
      <c r="L2297" t="s">
        <v>29</v>
      </c>
      <c r="M2297" t="s">
        <v>30</v>
      </c>
      <c r="N2297" t="s">
        <v>31</v>
      </c>
      <c r="Q2297" t="s">
        <v>6082</v>
      </c>
      <c r="R2297" t="s">
        <v>6082</v>
      </c>
    </row>
    <row r="2298" spans="1:18" x14ac:dyDescent="0.3">
      <c r="A2298" s="2" t="str">
        <f>HYPERLINK(B2298,"Oppna PDF")</f>
        <v>Oppna PDF</v>
      </c>
      <c r="B2298" t="s">
        <v>6087</v>
      </c>
      <c r="C2298" t="s">
        <v>6090</v>
      </c>
      <c r="D2298" t="s">
        <v>6065</v>
      </c>
      <c r="E2298" t="s">
        <v>6089</v>
      </c>
      <c r="F2298" t="s">
        <v>6067</v>
      </c>
      <c r="G2298" t="s">
        <v>6068</v>
      </c>
      <c r="H2298" t="s">
        <v>61</v>
      </c>
      <c r="I2298" t="s">
        <v>6069</v>
      </c>
      <c r="J2298" t="s">
        <v>87</v>
      </c>
      <c r="K2298" t="s">
        <v>88</v>
      </c>
      <c r="L2298" t="s">
        <v>29</v>
      </c>
      <c r="M2298" t="s">
        <v>30</v>
      </c>
      <c r="N2298" t="s">
        <v>31</v>
      </c>
      <c r="Q2298" t="s">
        <v>6091</v>
      </c>
      <c r="R2298" t="s">
        <v>6091</v>
      </c>
    </row>
    <row r="2299" spans="1:18" x14ac:dyDescent="0.3">
      <c r="A2299" s="2" t="str">
        <f>HYPERLINK(B2299,"Oppna PDF")</f>
        <v>Oppna PDF</v>
      </c>
      <c r="B2299" t="s">
        <v>6087</v>
      </c>
      <c r="C2299" t="s">
        <v>6092</v>
      </c>
      <c r="D2299" t="s">
        <v>6065</v>
      </c>
      <c r="E2299" t="s">
        <v>6089</v>
      </c>
      <c r="F2299" t="s">
        <v>6067</v>
      </c>
      <c r="G2299" t="s">
        <v>6068</v>
      </c>
      <c r="H2299" t="s">
        <v>61</v>
      </c>
      <c r="I2299" t="s">
        <v>6069</v>
      </c>
      <c r="J2299" t="s">
        <v>27</v>
      </c>
      <c r="K2299" t="s">
        <v>28</v>
      </c>
      <c r="L2299" t="s">
        <v>29</v>
      </c>
      <c r="M2299" t="s">
        <v>30</v>
      </c>
      <c r="N2299" t="s">
        <v>31</v>
      </c>
      <c r="Q2299" t="s">
        <v>6093</v>
      </c>
      <c r="R2299" t="s">
        <v>6093</v>
      </c>
    </row>
    <row r="2300" spans="1:18" x14ac:dyDescent="0.3">
      <c r="A2300" s="2" t="str">
        <f>HYPERLINK(B2300,"Oppna PDF")</f>
        <v>Oppna PDF</v>
      </c>
      <c r="B2300" t="s">
        <v>6094</v>
      </c>
      <c r="C2300" t="s">
        <v>6095</v>
      </c>
      <c r="D2300" t="s">
        <v>6096</v>
      </c>
      <c r="E2300" t="s">
        <v>6097</v>
      </c>
      <c r="F2300" t="s">
        <v>59</v>
      </c>
      <c r="G2300" t="s">
        <v>60</v>
      </c>
      <c r="H2300" t="s">
        <v>61</v>
      </c>
      <c r="I2300" t="s">
        <v>6098</v>
      </c>
      <c r="J2300" t="s">
        <v>27</v>
      </c>
      <c r="K2300" t="s">
        <v>28</v>
      </c>
      <c r="L2300" t="s">
        <v>29</v>
      </c>
      <c r="M2300" t="s">
        <v>30</v>
      </c>
      <c r="N2300" t="s">
        <v>31</v>
      </c>
      <c r="Q2300" t="s">
        <v>6099</v>
      </c>
      <c r="R2300" t="s">
        <v>6099</v>
      </c>
    </row>
    <row r="2301" spans="1:18" x14ac:dyDescent="0.3">
      <c r="A2301" s="2" t="str">
        <f>HYPERLINK(B2301,"Oppna PDF")</f>
        <v>Oppna PDF</v>
      </c>
      <c r="B2301" t="s">
        <v>6094</v>
      </c>
      <c r="C2301" t="s">
        <v>6100</v>
      </c>
      <c r="D2301" t="s">
        <v>6096</v>
      </c>
      <c r="E2301" t="s">
        <v>6097</v>
      </c>
      <c r="F2301" t="s">
        <v>59</v>
      </c>
      <c r="G2301" t="s">
        <v>60</v>
      </c>
      <c r="H2301" t="s">
        <v>61</v>
      </c>
      <c r="I2301" t="s">
        <v>6098</v>
      </c>
      <c r="J2301" t="s">
        <v>34</v>
      </c>
      <c r="K2301" t="s">
        <v>35</v>
      </c>
      <c r="L2301" t="s">
        <v>29</v>
      </c>
      <c r="M2301" t="s">
        <v>30</v>
      </c>
      <c r="N2301" t="s">
        <v>31</v>
      </c>
      <c r="Q2301" t="s">
        <v>6101</v>
      </c>
      <c r="R2301" t="s">
        <v>6102</v>
      </c>
    </row>
    <row r="2302" spans="1:18" x14ac:dyDescent="0.3">
      <c r="A2302" s="2" t="str">
        <f>HYPERLINK(B2302,"Oppna PDF")</f>
        <v>Oppna PDF</v>
      </c>
      <c r="B2302" t="s">
        <v>6094</v>
      </c>
      <c r="C2302" t="s">
        <v>6103</v>
      </c>
      <c r="D2302" t="s">
        <v>6096</v>
      </c>
      <c r="E2302" t="s">
        <v>6097</v>
      </c>
      <c r="F2302" t="s">
        <v>59</v>
      </c>
      <c r="G2302" t="s">
        <v>60</v>
      </c>
      <c r="H2302" t="s">
        <v>61</v>
      </c>
      <c r="I2302" t="s">
        <v>6098</v>
      </c>
      <c r="J2302" t="s">
        <v>27</v>
      </c>
      <c r="K2302" t="s">
        <v>28</v>
      </c>
      <c r="L2302" t="s">
        <v>300</v>
      </c>
      <c r="M2302" t="s">
        <v>30</v>
      </c>
      <c r="N2302" t="s">
        <v>31</v>
      </c>
      <c r="Q2302" t="s">
        <v>890</v>
      </c>
      <c r="R2302" t="s">
        <v>890</v>
      </c>
    </row>
    <row r="2303" spans="1:18" x14ac:dyDescent="0.3">
      <c r="A2303" s="2" t="str">
        <f>HYPERLINK(B2303,"Oppna PDF")</f>
        <v>Oppna PDF</v>
      </c>
      <c r="B2303" t="s">
        <v>6104</v>
      </c>
      <c r="C2303" t="s">
        <v>6105</v>
      </c>
      <c r="D2303" t="s">
        <v>6096</v>
      </c>
      <c r="E2303" t="s">
        <v>6106</v>
      </c>
      <c r="F2303" t="s">
        <v>59</v>
      </c>
      <c r="G2303" t="s">
        <v>60</v>
      </c>
      <c r="H2303" t="s">
        <v>61</v>
      </c>
      <c r="I2303" t="s">
        <v>6098</v>
      </c>
      <c r="J2303" t="s">
        <v>87</v>
      </c>
      <c r="K2303" t="s">
        <v>88</v>
      </c>
      <c r="L2303" t="s">
        <v>29</v>
      </c>
      <c r="M2303" t="s">
        <v>30</v>
      </c>
      <c r="N2303" t="s">
        <v>31</v>
      </c>
      <c r="Q2303" t="s">
        <v>6107</v>
      </c>
      <c r="R2303" t="s">
        <v>6108</v>
      </c>
    </row>
    <row r="2304" spans="1:18" x14ac:dyDescent="0.3">
      <c r="A2304" s="2" t="str">
        <f>HYPERLINK(B2304,"Oppna PDF")</f>
        <v>Oppna PDF</v>
      </c>
      <c r="B2304" t="s">
        <v>6104</v>
      </c>
      <c r="C2304" t="s">
        <v>6109</v>
      </c>
      <c r="D2304" t="s">
        <v>6096</v>
      </c>
      <c r="E2304" t="s">
        <v>6106</v>
      </c>
      <c r="F2304" t="s">
        <v>59</v>
      </c>
      <c r="G2304" t="s">
        <v>60</v>
      </c>
      <c r="H2304" t="s">
        <v>61</v>
      </c>
      <c r="I2304" t="s">
        <v>6098</v>
      </c>
      <c r="J2304" t="s">
        <v>48</v>
      </c>
      <c r="K2304" t="s">
        <v>49</v>
      </c>
      <c r="L2304" t="s">
        <v>29</v>
      </c>
      <c r="M2304" t="s">
        <v>30</v>
      </c>
      <c r="N2304" t="s">
        <v>31</v>
      </c>
      <c r="Q2304" t="s">
        <v>6110</v>
      </c>
      <c r="R2304" t="s">
        <v>6111</v>
      </c>
    </row>
    <row r="2305" spans="1:18" x14ac:dyDescent="0.3">
      <c r="A2305" s="2" t="str">
        <f>HYPERLINK(B2305,"Oppna PDF")</f>
        <v>Oppna PDF</v>
      </c>
      <c r="B2305" t="s">
        <v>6104</v>
      </c>
      <c r="C2305" t="s">
        <v>6112</v>
      </c>
      <c r="D2305" t="s">
        <v>6096</v>
      </c>
      <c r="E2305" t="s">
        <v>6106</v>
      </c>
      <c r="F2305" t="s">
        <v>59</v>
      </c>
      <c r="G2305" t="s">
        <v>60</v>
      </c>
      <c r="H2305" t="s">
        <v>61</v>
      </c>
      <c r="I2305" t="s">
        <v>6098</v>
      </c>
      <c r="J2305" t="s">
        <v>34</v>
      </c>
      <c r="K2305" t="s">
        <v>35</v>
      </c>
      <c r="L2305" t="s">
        <v>29</v>
      </c>
      <c r="M2305" t="s">
        <v>30</v>
      </c>
      <c r="N2305" t="s">
        <v>31</v>
      </c>
      <c r="Q2305" t="s">
        <v>6113</v>
      </c>
      <c r="R2305" t="s">
        <v>6113</v>
      </c>
    </row>
    <row r="2306" spans="1:18" x14ac:dyDescent="0.3">
      <c r="A2306" s="2" t="str">
        <f>HYPERLINK(B2306,"Oppna PDF")</f>
        <v>Oppna PDF</v>
      </c>
      <c r="B2306" t="s">
        <v>6114</v>
      </c>
      <c r="C2306" t="s">
        <v>6115</v>
      </c>
      <c r="D2306" t="s">
        <v>6096</v>
      </c>
      <c r="E2306" t="s">
        <v>6116</v>
      </c>
      <c r="F2306" t="s">
        <v>59</v>
      </c>
      <c r="G2306" t="s">
        <v>60</v>
      </c>
      <c r="H2306" t="s">
        <v>61</v>
      </c>
      <c r="I2306" t="s">
        <v>6098</v>
      </c>
      <c r="J2306" t="s">
        <v>34</v>
      </c>
      <c r="K2306" t="s">
        <v>35</v>
      </c>
      <c r="L2306" t="s">
        <v>29</v>
      </c>
      <c r="M2306" t="s">
        <v>30</v>
      </c>
      <c r="N2306" t="s">
        <v>31</v>
      </c>
      <c r="Q2306" t="s">
        <v>6082</v>
      </c>
      <c r="R2306" t="s">
        <v>6082</v>
      </c>
    </row>
    <row r="2307" spans="1:18" x14ac:dyDescent="0.3">
      <c r="A2307" s="2" t="str">
        <f>HYPERLINK(B2307,"Oppna PDF")</f>
        <v>Oppna PDF</v>
      </c>
      <c r="B2307" t="s">
        <v>6114</v>
      </c>
      <c r="C2307" t="s">
        <v>6117</v>
      </c>
      <c r="D2307" t="s">
        <v>6096</v>
      </c>
      <c r="E2307" t="s">
        <v>6116</v>
      </c>
      <c r="F2307" t="s">
        <v>59</v>
      </c>
      <c r="G2307" t="s">
        <v>60</v>
      </c>
      <c r="H2307" t="s">
        <v>61</v>
      </c>
      <c r="I2307" t="s">
        <v>6098</v>
      </c>
      <c r="J2307" t="s">
        <v>91</v>
      </c>
      <c r="K2307" t="s">
        <v>92</v>
      </c>
      <c r="L2307" t="s">
        <v>29</v>
      </c>
      <c r="M2307" t="s">
        <v>30</v>
      </c>
      <c r="N2307" t="s">
        <v>31</v>
      </c>
      <c r="Q2307" t="s">
        <v>6118</v>
      </c>
      <c r="R2307" t="s">
        <v>6118</v>
      </c>
    </row>
    <row r="2308" spans="1:18" x14ac:dyDescent="0.3">
      <c r="A2308" s="2" t="str">
        <f>HYPERLINK(B2308,"Oppna PDF")</f>
        <v>Oppna PDF</v>
      </c>
      <c r="B2308" t="s">
        <v>6114</v>
      </c>
      <c r="C2308" t="s">
        <v>6119</v>
      </c>
      <c r="D2308" t="s">
        <v>6096</v>
      </c>
      <c r="E2308" t="s">
        <v>6116</v>
      </c>
      <c r="F2308" t="s">
        <v>59</v>
      </c>
      <c r="G2308" t="s">
        <v>60</v>
      </c>
      <c r="H2308" t="s">
        <v>61</v>
      </c>
      <c r="I2308" t="s">
        <v>6098</v>
      </c>
      <c r="J2308" t="s">
        <v>34</v>
      </c>
      <c r="K2308" t="s">
        <v>35</v>
      </c>
      <c r="L2308" t="s">
        <v>29</v>
      </c>
      <c r="M2308" t="s">
        <v>30</v>
      </c>
      <c r="N2308" t="s">
        <v>31</v>
      </c>
      <c r="Q2308" t="s">
        <v>6120</v>
      </c>
      <c r="R2308" t="s">
        <v>6120</v>
      </c>
    </row>
    <row r="2309" spans="1:18" x14ac:dyDescent="0.3">
      <c r="A2309" s="2" t="str">
        <f>HYPERLINK(B2309,"Oppna PDF")</f>
        <v>Oppna PDF</v>
      </c>
      <c r="B2309" t="s">
        <v>6121</v>
      </c>
      <c r="C2309" t="s">
        <v>6122</v>
      </c>
      <c r="D2309" t="s">
        <v>6096</v>
      </c>
      <c r="E2309" t="s">
        <v>6123</v>
      </c>
      <c r="F2309" t="s">
        <v>59</v>
      </c>
      <c r="G2309" t="s">
        <v>60</v>
      </c>
      <c r="H2309" t="s">
        <v>61</v>
      </c>
      <c r="I2309" t="s">
        <v>6098</v>
      </c>
      <c r="J2309" t="s">
        <v>87</v>
      </c>
      <c r="K2309" t="s">
        <v>88</v>
      </c>
      <c r="L2309" t="s">
        <v>29</v>
      </c>
      <c r="M2309" t="s">
        <v>30</v>
      </c>
      <c r="N2309" t="s">
        <v>31</v>
      </c>
      <c r="Q2309" t="s">
        <v>6124</v>
      </c>
      <c r="R2309" t="s">
        <v>6125</v>
      </c>
    </row>
    <row r="2310" spans="1:18" x14ac:dyDescent="0.3">
      <c r="A2310" s="2" t="str">
        <f>HYPERLINK(B2310,"Oppna PDF")</f>
        <v>Oppna PDF</v>
      </c>
      <c r="B2310" t="s">
        <v>6121</v>
      </c>
      <c r="C2310" t="s">
        <v>6126</v>
      </c>
      <c r="D2310" t="s">
        <v>6096</v>
      </c>
      <c r="E2310" t="s">
        <v>6123</v>
      </c>
      <c r="F2310" t="s">
        <v>59</v>
      </c>
      <c r="G2310" t="s">
        <v>60</v>
      </c>
      <c r="H2310" t="s">
        <v>61</v>
      </c>
      <c r="I2310" t="s">
        <v>6098</v>
      </c>
      <c r="J2310" t="s">
        <v>34</v>
      </c>
      <c r="K2310" t="s">
        <v>35</v>
      </c>
      <c r="L2310" t="s">
        <v>29</v>
      </c>
      <c r="M2310" t="s">
        <v>30</v>
      </c>
      <c r="N2310" t="s">
        <v>31</v>
      </c>
      <c r="Q2310" t="s">
        <v>6113</v>
      </c>
      <c r="R2310" t="s">
        <v>6113</v>
      </c>
    </row>
    <row r="2311" spans="1:18" x14ac:dyDescent="0.3">
      <c r="A2311" s="2" t="str">
        <f>HYPERLINK(B2311,"Oppna PDF")</f>
        <v>Oppna PDF</v>
      </c>
      <c r="B2311" t="s">
        <v>6121</v>
      </c>
      <c r="C2311" t="s">
        <v>6127</v>
      </c>
      <c r="D2311" t="s">
        <v>6096</v>
      </c>
      <c r="E2311" t="s">
        <v>6123</v>
      </c>
      <c r="F2311" t="s">
        <v>59</v>
      </c>
      <c r="G2311" t="s">
        <v>60</v>
      </c>
      <c r="H2311" t="s">
        <v>61</v>
      </c>
      <c r="I2311" t="s">
        <v>6098</v>
      </c>
      <c r="J2311" t="s">
        <v>91</v>
      </c>
      <c r="K2311" t="s">
        <v>92</v>
      </c>
      <c r="L2311" t="s">
        <v>29</v>
      </c>
      <c r="M2311" t="s">
        <v>30</v>
      </c>
      <c r="N2311" t="s">
        <v>31</v>
      </c>
      <c r="Q2311" t="s">
        <v>6128</v>
      </c>
      <c r="R2311" t="s">
        <v>6128</v>
      </c>
    </row>
    <row r="2312" spans="1:18" x14ac:dyDescent="0.3">
      <c r="A2312" s="2" t="str">
        <f>HYPERLINK(B2312,"Oppna PDF")</f>
        <v>Oppna PDF</v>
      </c>
      <c r="B2312" t="s">
        <v>6129</v>
      </c>
      <c r="C2312" t="s">
        <v>6130</v>
      </c>
      <c r="D2312" t="s">
        <v>6096</v>
      </c>
      <c r="E2312" t="s">
        <v>6131</v>
      </c>
      <c r="F2312" t="s">
        <v>59</v>
      </c>
      <c r="G2312" t="s">
        <v>60</v>
      </c>
      <c r="H2312" t="s">
        <v>61</v>
      </c>
      <c r="I2312" t="s">
        <v>6098</v>
      </c>
      <c r="J2312" t="s">
        <v>87</v>
      </c>
      <c r="K2312" t="s">
        <v>88</v>
      </c>
      <c r="L2312" t="s">
        <v>29</v>
      </c>
      <c r="M2312" t="s">
        <v>30</v>
      </c>
      <c r="N2312" t="s">
        <v>31</v>
      </c>
      <c r="Q2312" t="s">
        <v>6132</v>
      </c>
      <c r="R2312" t="s">
        <v>6132</v>
      </c>
    </row>
    <row r="2313" spans="1:18" x14ac:dyDescent="0.3">
      <c r="A2313" s="2" t="str">
        <f>HYPERLINK(B2313,"Oppna PDF")</f>
        <v>Oppna PDF</v>
      </c>
      <c r="B2313" t="s">
        <v>6129</v>
      </c>
      <c r="C2313" t="s">
        <v>6133</v>
      </c>
      <c r="D2313" t="s">
        <v>6096</v>
      </c>
      <c r="E2313" t="s">
        <v>6131</v>
      </c>
      <c r="F2313" t="s">
        <v>59</v>
      </c>
      <c r="G2313" t="s">
        <v>60</v>
      </c>
      <c r="H2313" t="s">
        <v>61</v>
      </c>
      <c r="I2313" t="s">
        <v>6098</v>
      </c>
      <c r="J2313" t="s">
        <v>34</v>
      </c>
      <c r="K2313" t="s">
        <v>35</v>
      </c>
      <c r="L2313" t="s">
        <v>29</v>
      </c>
      <c r="M2313" t="s">
        <v>30</v>
      </c>
      <c r="N2313" t="s">
        <v>31</v>
      </c>
      <c r="Q2313" t="s">
        <v>6113</v>
      </c>
      <c r="R2313" t="s">
        <v>6113</v>
      </c>
    </row>
    <row r="2314" spans="1:18" x14ac:dyDescent="0.3">
      <c r="A2314" s="2" t="str">
        <f>HYPERLINK(B2314,"Oppna PDF")</f>
        <v>Oppna PDF</v>
      </c>
      <c r="B2314" t="s">
        <v>6129</v>
      </c>
      <c r="C2314" t="s">
        <v>6134</v>
      </c>
      <c r="D2314" t="s">
        <v>6096</v>
      </c>
      <c r="E2314" t="s">
        <v>6131</v>
      </c>
      <c r="F2314" t="s">
        <v>59</v>
      </c>
      <c r="G2314" t="s">
        <v>60</v>
      </c>
      <c r="H2314" t="s">
        <v>61</v>
      </c>
      <c r="I2314" t="s">
        <v>6098</v>
      </c>
      <c r="J2314" t="s">
        <v>91</v>
      </c>
      <c r="K2314" t="s">
        <v>92</v>
      </c>
      <c r="L2314" t="s">
        <v>29</v>
      </c>
      <c r="M2314" t="s">
        <v>30</v>
      </c>
      <c r="N2314" t="s">
        <v>31</v>
      </c>
      <c r="Q2314" t="s">
        <v>6128</v>
      </c>
      <c r="R2314" t="s">
        <v>6128</v>
      </c>
    </row>
    <row r="2315" spans="1:18" x14ac:dyDescent="0.3">
      <c r="A2315" s="2" t="str">
        <f>HYPERLINK(B2315,"Oppna PDF")</f>
        <v>Oppna PDF</v>
      </c>
      <c r="B2315" t="s">
        <v>6135</v>
      </c>
      <c r="C2315" t="s">
        <v>6136</v>
      </c>
      <c r="D2315" t="s">
        <v>6137</v>
      </c>
      <c r="E2315" t="s">
        <v>6138</v>
      </c>
      <c r="F2315" t="s">
        <v>6139</v>
      </c>
      <c r="G2315" t="s">
        <v>6140</v>
      </c>
      <c r="H2315" t="s">
        <v>61</v>
      </c>
      <c r="I2315" t="s">
        <v>6141</v>
      </c>
      <c r="J2315" t="s">
        <v>27</v>
      </c>
      <c r="K2315" t="s">
        <v>28</v>
      </c>
      <c r="L2315" t="s">
        <v>29</v>
      </c>
      <c r="M2315" t="s">
        <v>30</v>
      </c>
      <c r="N2315" t="s">
        <v>31</v>
      </c>
      <c r="Q2315" t="s">
        <v>6142</v>
      </c>
      <c r="R2315" t="s">
        <v>6142</v>
      </c>
    </row>
    <row r="2316" spans="1:18" x14ac:dyDescent="0.3">
      <c r="A2316" s="2" t="str">
        <f>HYPERLINK(B2316,"Oppna PDF")</f>
        <v>Oppna PDF</v>
      </c>
      <c r="B2316" t="s">
        <v>6143</v>
      </c>
      <c r="C2316" t="s">
        <v>6144</v>
      </c>
      <c r="D2316" t="s">
        <v>6137</v>
      </c>
      <c r="E2316" t="s">
        <v>6145</v>
      </c>
      <c r="F2316" t="s">
        <v>6139</v>
      </c>
      <c r="G2316" t="s">
        <v>6140</v>
      </c>
      <c r="H2316" t="s">
        <v>61</v>
      </c>
      <c r="I2316" t="s">
        <v>6141</v>
      </c>
      <c r="J2316" t="s">
        <v>34</v>
      </c>
      <c r="K2316" t="s">
        <v>35</v>
      </c>
      <c r="L2316" t="s">
        <v>142</v>
      </c>
      <c r="M2316" t="s">
        <v>30</v>
      </c>
      <c r="N2316" t="s">
        <v>31</v>
      </c>
      <c r="Q2316" t="s">
        <v>6146</v>
      </c>
      <c r="R2316" t="s">
        <v>6147</v>
      </c>
    </row>
    <row r="2317" spans="1:18" x14ac:dyDescent="0.3">
      <c r="A2317" s="2" t="str">
        <f>HYPERLINK(B2317,"Oppna PDF")</f>
        <v>Oppna PDF</v>
      </c>
      <c r="B2317" t="s">
        <v>6143</v>
      </c>
      <c r="C2317" t="s">
        <v>6148</v>
      </c>
      <c r="D2317" t="s">
        <v>6137</v>
      </c>
      <c r="E2317" t="s">
        <v>6145</v>
      </c>
      <c r="F2317" t="s">
        <v>6139</v>
      </c>
      <c r="G2317" t="s">
        <v>6140</v>
      </c>
      <c r="H2317" t="s">
        <v>61</v>
      </c>
      <c r="I2317" t="s">
        <v>6141</v>
      </c>
      <c r="J2317" t="s">
        <v>87</v>
      </c>
      <c r="K2317" t="s">
        <v>88</v>
      </c>
      <c r="L2317" t="s">
        <v>29</v>
      </c>
      <c r="M2317" t="s">
        <v>30</v>
      </c>
      <c r="N2317" t="s">
        <v>31</v>
      </c>
      <c r="Q2317" t="s">
        <v>6091</v>
      </c>
      <c r="R2317" t="s">
        <v>6091</v>
      </c>
    </row>
    <row r="2318" spans="1:18" x14ac:dyDescent="0.3">
      <c r="A2318" s="2" t="str">
        <f>HYPERLINK(B2318,"Oppna PDF")</f>
        <v>Oppna PDF</v>
      </c>
      <c r="B2318" t="s">
        <v>6143</v>
      </c>
      <c r="C2318" t="s">
        <v>6149</v>
      </c>
      <c r="D2318" t="s">
        <v>6137</v>
      </c>
      <c r="E2318" t="s">
        <v>6145</v>
      </c>
      <c r="F2318" t="s">
        <v>6139</v>
      </c>
      <c r="G2318" t="s">
        <v>6140</v>
      </c>
      <c r="H2318" t="s">
        <v>61</v>
      </c>
      <c r="I2318" t="s">
        <v>6141</v>
      </c>
      <c r="J2318" t="s">
        <v>87</v>
      </c>
      <c r="K2318" t="s">
        <v>88</v>
      </c>
      <c r="L2318" t="s">
        <v>29</v>
      </c>
      <c r="M2318" t="s">
        <v>30</v>
      </c>
      <c r="N2318" t="s">
        <v>31</v>
      </c>
      <c r="Q2318" t="s">
        <v>6150</v>
      </c>
      <c r="R2318" t="s">
        <v>6150</v>
      </c>
    </row>
    <row r="2319" spans="1:18" x14ac:dyDescent="0.3">
      <c r="A2319" s="2" t="str">
        <f>HYPERLINK(B2319,"Oppna PDF")</f>
        <v>Oppna PDF</v>
      </c>
      <c r="B2319" t="s">
        <v>6151</v>
      </c>
      <c r="C2319" t="s">
        <v>6152</v>
      </c>
      <c r="D2319" t="s">
        <v>6137</v>
      </c>
      <c r="E2319" t="s">
        <v>6153</v>
      </c>
      <c r="F2319" t="s">
        <v>6139</v>
      </c>
      <c r="G2319" t="s">
        <v>6140</v>
      </c>
      <c r="H2319" t="s">
        <v>61</v>
      </c>
      <c r="I2319" t="s">
        <v>6141</v>
      </c>
      <c r="J2319" t="s">
        <v>91</v>
      </c>
      <c r="K2319" t="s">
        <v>92</v>
      </c>
      <c r="L2319" t="s">
        <v>29</v>
      </c>
      <c r="M2319" t="s">
        <v>30</v>
      </c>
      <c r="N2319" t="s">
        <v>31</v>
      </c>
      <c r="Q2319" t="s">
        <v>6154</v>
      </c>
      <c r="R2319" t="s">
        <v>6155</v>
      </c>
    </row>
    <row r="2320" spans="1:18" x14ac:dyDescent="0.3">
      <c r="A2320" s="2" t="str">
        <f>HYPERLINK(B2320,"Oppna PDF")</f>
        <v>Oppna PDF</v>
      </c>
      <c r="B2320" t="s">
        <v>6151</v>
      </c>
      <c r="C2320" t="s">
        <v>6156</v>
      </c>
      <c r="D2320" t="s">
        <v>6137</v>
      </c>
      <c r="E2320" t="s">
        <v>6153</v>
      </c>
      <c r="F2320" t="s">
        <v>6139</v>
      </c>
      <c r="G2320" t="s">
        <v>6140</v>
      </c>
      <c r="H2320" t="s">
        <v>61</v>
      </c>
      <c r="I2320" t="s">
        <v>6141</v>
      </c>
      <c r="J2320" t="s">
        <v>91</v>
      </c>
      <c r="K2320" t="s">
        <v>92</v>
      </c>
      <c r="L2320" t="s">
        <v>29</v>
      </c>
      <c r="M2320" t="s">
        <v>30</v>
      </c>
      <c r="N2320" t="s">
        <v>31</v>
      </c>
      <c r="Q2320" t="s">
        <v>6157</v>
      </c>
      <c r="R2320" t="s">
        <v>6155</v>
      </c>
    </row>
    <row r="2321" spans="1:18" x14ac:dyDescent="0.3">
      <c r="A2321" s="2" t="str">
        <f>HYPERLINK(B2321,"Oppna PDF")</f>
        <v>Oppna PDF</v>
      </c>
      <c r="B2321" t="s">
        <v>6158</v>
      </c>
      <c r="C2321" t="s">
        <v>6159</v>
      </c>
      <c r="D2321" t="s">
        <v>6137</v>
      </c>
      <c r="E2321" t="s">
        <v>6160</v>
      </c>
      <c r="F2321" t="s">
        <v>6139</v>
      </c>
      <c r="G2321" t="s">
        <v>6140</v>
      </c>
      <c r="H2321" t="s">
        <v>61</v>
      </c>
      <c r="I2321" t="s">
        <v>6141</v>
      </c>
      <c r="J2321" t="s">
        <v>91</v>
      </c>
      <c r="K2321" t="s">
        <v>92</v>
      </c>
      <c r="L2321" t="s">
        <v>29</v>
      </c>
      <c r="M2321" t="s">
        <v>30</v>
      </c>
      <c r="N2321" t="s">
        <v>31</v>
      </c>
      <c r="Q2321" t="s">
        <v>6161</v>
      </c>
      <c r="R2321" t="s">
        <v>6162</v>
      </c>
    </row>
    <row r="2322" spans="1:18" x14ac:dyDescent="0.3">
      <c r="A2322" s="2" t="str">
        <f>HYPERLINK(B2322,"Oppna PDF")</f>
        <v>Oppna PDF</v>
      </c>
      <c r="B2322" t="s">
        <v>6163</v>
      </c>
      <c r="C2322" t="s">
        <v>6164</v>
      </c>
      <c r="D2322" t="s">
        <v>6137</v>
      </c>
      <c r="E2322" t="s">
        <v>6165</v>
      </c>
      <c r="F2322" t="s">
        <v>6139</v>
      </c>
      <c r="G2322" t="s">
        <v>6140</v>
      </c>
      <c r="H2322" t="s">
        <v>61</v>
      </c>
      <c r="I2322" t="s">
        <v>6141</v>
      </c>
      <c r="J2322" t="s">
        <v>91</v>
      </c>
      <c r="K2322" t="s">
        <v>92</v>
      </c>
      <c r="L2322" t="s">
        <v>29</v>
      </c>
      <c r="M2322" t="s">
        <v>30</v>
      </c>
      <c r="N2322" t="s">
        <v>31</v>
      </c>
      <c r="Q2322" t="s">
        <v>6166</v>
      </c>
      <c r="R2322" t="s">
        <v>6167</v>
      </c>
    </row>
    <row r="2323" spans="1:18" x14ac:dyDescent="0.3">
      <c r="A2323" s="2" t="str">
        <f>HYPERLINK(B2323,"Oppna PDF")</f>
        <v>Oppna PDF</v>
      </c>
      <c r="B2323" t="s">
        <v>6168</v>
      </c>
      <c r="C2323" t="s">
        <v>6169</v>
      </c>
      <c r="D2323" t="s">
        <v>6137</v>
      </c>
      <c r="E2323" t="s">
        <v>6170</v>
      </c>
      <c r="F2323" t="s">
        <v>6139</v>
      </c>
      <c r="G2323" t="s">
        <v>6140</v>
      </c>
      <c r="H2323" t="s">
        <v>61</v>
      </c>
      <c r="I2323" t="s">
        <v>6141</v>
      </c>
      <c r="J2323" t="s">
        <v>34</v>
      </c>
      <c r="K2323" t="s">
        <v>35</v>
      </c>
      <c r="L2323" t="s">
        <v>29</v>
      </c>
      <c r="M2323" t="s">
        <v>30</v>
      </c>
      <c r="N2323" t="s">
        <v>31</v>
      </c>
      <c r="Q2323" t="s">
        <v>6171</v>
      </c>
      <c r="R2323" t="s">
        <v>6171</v>
      </c>
    </row>
    <row r="2324" spans="1:18" x14ac:dyDescent="0.3">
      <c r="A2324" s="2" t="str">
        <f>HYPERLINK(B2324,"Oppna PDF")</f>
        <v>Oppna PDF</v>
      </c>
      <c r="B2324" t="s">
        <v>6172</v>
      </c>
      <c r="C2324" t="s">
        <v>6173</v>
      </c>
      <c r="D2324" t="s">
        <v>6137</v>
      </c>
      <c r="E2324" t="s">
        <v>6174</v>
      </c>
      <c r="F2324" t="s">
        <v>6139</v>
      </c>
      <c r="G2324" t="s">
        <v>6140</v>
      </c>
      <c r="H2324" t="s">
        <v>61</v>
      </c>
      <c r="I2324" t="s">
        <v>6141</v>
      </c>
      <c r="J2324" t="s">
        <v>34</v>
      </c>
      <c r="K2324" t="s">
        <v>35</v>
      </c>
      <c r="L2324" t="s">
        <v>142</v>
      </c>
      <c r="M2324" t="s">
        <v>30</v>
      </c>
      <c r="N2324" t="s">
        <v>31</v>
      </c>
      <c r="Q2324" t="s">
        <v>6175</v>
      </c>
      <c r="R2324" t="s">
        <v>6175</v>
      </c>
    </row>
    <row r="2325" spans="1:18" x14ac:dyDescent="0.3">
      <c r="A2325" s="2" t="str">
        <f>HYPERLINK(B2325,"Oppna PDF")</f>
        <v>Oppna PDF</v>
      </c>
      <c r="B2325" t="s">
        <v>6172</v>
      </c>
      <c r="C2325" t="s">
        <v>6176</v>
      </c>
      <c r="D2325" t="s">
        <v>6137</v>
      </c>
      <c r="E2325" t="s">
        <v>6174</v>
      </c>
      <c r="F2325" t="s">
        <v>6139</v>
      </c>
      <c r="G2325" t="s">
        <v>6140</v>
      </c>
      <c r="H2325" t="s">
        <v>61</v>
      </c>
      <c r="I2325" t="s">
        <v>6141</v>
      </c>
      <c r="J2325" t="s">
        <v>48</v>
      </c>
      <c r="K2325" t="s">
        <v>49</v>
      </c>
      <c r="L2325" t="s">
        <v>29</v>
      </c>
      <c r="M2325" t="s">
        <v>30</v>
      </c>
      <c r="N2325" t="s">
        <v>31</v>
      </c>
      <c r="Q2325" t="s">
        <v>6177</v>
      </c>
      <c r="R2325" t="s">
        <v>6178</v>
      </c>
    </row>
    <row r="2326" spans="1:18" x14ac:dyDescent="0.3">
      <c r="A2326" s="2" t="str">
        <f>HYPERLINK(B2326,"Oppna PDF")</f>
        <v>Oppna PDF</v>
      </c>
      <c r="B2326" t="s">
        <v>6172</v>
      </c>
      <c r="C2326" t="s">
        <v>6179</v>
      </c>
      <c r="D2326" t="s">
        <v>6137</v>
      </c>
      <c r="E2326" t="s">
        <v>6174</v>
      </c>
      <c r="F2326" t="s">
        <v>6139</v>
      </c>
      <c r="G2326" t="s">
        <v>6140</v>
      </c>
      <c r="H2326" t="s">
        <v>61</v>
      </c>
      <c r="I2326" t="s">
        <v>6141</v>
      </c>
      <c r="J2326" t="s">
        <v>34</v>
      </c>
      <c r="K2326" t="s">
        <v>35</v>
      </c>
      <c r="L2326" t="s">
        <v>142</v>
      </c>
      <c r="M2326" t="s">
        <v>30</v>
      </c>
      <c r="N2326" t="s">
        <v>31</v>
      </c>
      <c r="Q2326" t="s">
        <v>6146</v>
      </c>
      <c r="R2326" t="s">
        <v>6147</v>
      </c>
    </row>
    <row r="2327" spans="1:18" x14ac:dyDescent="0.3">
      <c r="A2327" s="2" t="str">
        <f>HYPERLINK(B2327,"Oppna PDF")</f>
        <v>Oppna PDF</v>
      </c>
      <c r="B2327" t="s">
        <v>6180</v>
      </c>
      <c r="C2327" t="s">
        <v>6181</v>
      </c>
      <c r="D2327" t="s">
        <v>6137</v>
      </c>
      <c r="E2327" t="s">
        <v>6182</v>
      </c>
      <c r="F2327" t="s">
        <v>6139</v>
      </c>
      <c r="G2327" t="s">
        <v>6140</v>
      </c>
      <c r="H2327" t="s">
        <v>61</v>
      </c>
      <c r="I2327" t="s">
        <v>6141</v>
      </c>
      <c r="J2327" t="s">
        <v>87</v>
      </c>
      <c r="K2327" t="s">
        <v>88</v>
      </c>
      <c r="L2327" t="s">
        <v>29</v>
      </c>
      <c r="M2327" t="s">
        <v>30</v>
      </c>
      <c r="N2327" t="s">
        <v>31</v>
      </c>
      <c r="Q2327" t="s">
        <v>6183</v>
      </c>
      <c r="R2327" t="s">
        <v>6183</v>
      </c>
    </row>
    <row r="2328" spans="1:18" x14ac:dyDescent="0.3">
      <c r="A2328" s="2" t="str">
        <f>HYPERLINK(B2328,"Oppna PDF")</f>
        <v>Oppna PDF</v>
      </c>
      <c r="B2328" t="s">
        <v>6184</v>
      </c>
      <c r="C2328" t="s">
        <v>6185</v>
      </c>
      <c r="D2328" t="s">
        <v>6137</v>
      </c>
      <c r="E2328" t="s">
        <v>6186</v>
      </c>
      <c r="F2328" t="s">
        <v>6139</v>
      </c>
      <c r="G2328" t="s">
        <v>6140</v>
      </c>
      <c r="H2328" t="s">
        <v>61</v>
      </c>
      <c r="I2328" t="s">
        <v>6141</v>
      </c>
      <c r="J2328" t="s">
        <v>87</v>
      </c>
      <c r="K2328" t="s">
        <v>88</v>
      </c>
      <c r="L2328" t="s">
        <v>29</v>
      </c>
      <c r="M2328" t="s">
        <v>30</v>
      </c>
      <c r="N2328" t="s">
        <v>31</v>
      </c>
      <c r="Q2328" t="s">
        <v>6187</v>
      </c>
      <c r="R2328" t="s">
        <v>6187</v>
      </c>
    </row>
    <row r="2329" spans="1:18" x14ac:dyDescent="0.3">
      <c r="A2329" s="2" t="str">
        <f>HYPERLINK(B2329,"Oppna PDF")</f>
        <v>Oppna PDF</v>
      </c>
      <c r="B2329" t="s">
        <v>6184</v>
      </c>
      <c r="C2329" t="s">
        <v>6188</v>
      </c>
      <c r="D2329" t="s">
        <v>6137</v>
      </c>
      <c r="E2329" t="s">
        <v>6186</v>
      </c>
      <c r="F2329" t="s">
        <v>6139</v>
      </c>
      <c r="G2329" t="s">
        <v>6140</v>
      </c>
      <c r="H2329" t="s">
        <v>61</v>
      </c>
      <c r="I2329" t="s">
        <v>6141</v>
      </c>
      <c r="J2329" t="s">
        <v>48</v>
      </c>
      <c r="K2329" t="s">
        <v>49</v>
      </c>
      <c r="L2329" t="s">
        <v>29</v>
      </c>
      <c r="M2329" t="s">
        <v>30</v>
      </c>
      <c r="N2329" t="s">
        <v>31</v>
      </c>
      <c r="Q2329" t="s">
        <v>6189</v>
      </c>
      <c r="R2329" t="s">
        <v>6189</v>
      </c>
    </row>
    <row r="2330" spans="1:18" x14ac:dyDescent="0.3">
      <c r="A2330" s="2" t="str">
        <f>HYPERLINK(B2330,"Oppna PDF")</f>
        <v>Oppna PDF</v>
      </c>
      <c r="B2330" t="s">
        <v>6184</v>
      </c>
      <c r="C2330" t="s">
        <v>6190</v>
      </c>
      <c r="D2330" t="s">
        <v>6137</v>
      </c>
      <c r="E2330" t="s">
        <v>6186</v>
      </c>
      <c r="F2330" t="s">
        <v>6139</v>
      </c>
      <c r="G2330" t="s">
        <v>6140</v>
      </c>
      <c r="H2330" t="s">
        <v>61</v>
      </c>
      <c r="I2330" t="s">
        <v>6141</v>
      </c>
      <c r="J2330" t="s">
        <v>87</v>
      </c>
      <c r="K2330" t="s">
        <v>88</v>
      </c>
      <c r="L2330" t="s">
        <v>29</v>
      </c>
      <c r="M2330" t="s">
        <v>30</v>
      </c>
      <c r="N2330" t="s">
        <v>31</v>
      </c>
      <c r="Q2330" t="s">
        <v>6191</v>
      </c>
      <c r="R2330" t="s">
        <v>6191</v>
      </c>
    </row>
    <row r="2331" spans="1:18" x14ac:dyDescent="0.3">
      <c r="A2331" s="2" t="str">
        <f>HYPERLINK(B2331,"Oppna PDF")</f>
        <v>Oppna PDF</v>
      </c>
      <c r="B2331" t="s">
        <v>6192</v>
      </c>
      <c r="C2331" t="s">
        <v>6193</v>
      </c>
      <c r="D2331" t="s">
        <v>6137</v>
      </c>
      <c r="E2331" t="s">
        <v>6194</v>
      </c>
      <c r="F2331" t="s">
        <v>6139</v>
      </c>
      <c r="G2331" t="s">
        <v>6140</v>
      </c>
      <c r="H2331" t="s">
        <v>61</v>
      </c>
      <c r="I2331" t="s">
        <v>6141</v>
      </c>
      <c r="J2331" t="s">
        <v>87</v>
      </c>
      <c r="K2331" t="s">
        <v>88</v>
      </c>
      <c r="L2331" t="s">
        <v>29</v>
      </c>
      <c r="M2331" t="s">
        <v>30</v>
      </c>
      <c r="N2331" t="s">
        <v>31</v>
      </c>
      <c r="Q2331" t="s">
        <v>6195</v>
      </c>
      <c r="R2331" t="s">
        <v>6195</v>
      </c>
    </row>
    <row r="2332" spans="1:18" x14ac:dyDescent="0.3">
      <c r="A2332" s="2" t="str">
        <f>HYPERLINK(B2332,"Oppna PDF")</f>
        <v>Oppna PDF</v>
      </c>
      <c r="B2332" t="s">
        <v>6192</v>
      </c>
      <c r="C2332" t="s">
        <v>6196</v>
      </c>
      <c r="D2332" t="s">
        <v>6137</v>
      </c>
      <c r="E2332" t="s">
        <v>6194</v>
      </c>
      <c r="F2332" t="s">
        <v>6139</v>
      </c>
      <c r="G2332" t="s">
        <v>6140</v>
      </c>
      <c r="H2332" t="s">
        <v>61</v>
      </c>
      <c r="I2332" t="s">
        <v>6141</v>
      </c>
      <c r="J2332" t="s">
        <v>87</v>
      </c>
      <c r="K2332" t="s">
        <v>88</v>
      </c>
      <c r="L2332" t="s">
        <v>29</v>
      </c>
      <c r="M2332" t="s">
        <v>30</v>
      </c>
      <c r="N2332" t="s">
        <v>31</v>
      </c>
      <c r="Q2332" t="s">
        <v>6197</v>
      </c>
      <c r="R2332" t="s">
        <v>6197</v>
      </c>
    </row>
    <row r="2333" spans="1:18" x14ac:dyDescent="0.3">
      <c r="A2333" s="2" t="str">
        <f>HYPERLINK(B2333,"Oppna PDF")</f>
        <v>Oppna PDF</v>
      </c>
      <c r="B2333" t="s">
        <v>6198</v>
      </c>
      <c r="C2333" t="s">
        <v>6199</v>
      </c>
      <c r="D2333" t="s">
        <v>6137</v>
      </c>
      <c r="E2333" t="s">
        <v>6200</v>
      </c>
      <c r="F2333" t="s">
        <v>6139</v>
      </c>
      <c r="G2333" t="s">
        <v>6140</v>
      </c>
      <c r="H2333" t="s">
        <v>61</v>
      </c>
      <c r="I2333" t="s">
        <v>6141</v>
      </c>
      <c r="J2333" t="s">
        <v>34</v>
      </c>
      <c r="K2333" t="s">
        <v>35</v>
      </c>
      <c r="L2333" t="s">
        <v>29</v>
      </c>
      <c r="M2333" t="s">
        <v>30</v>
      </c>
      <c r="N2333" t="s">
        <v>31</v>
      </c>
      <c r="Q2333" t="s">
        <v>6201</v>
      </c>
      <c r="R2333" t="s">
        <v>6201</v>
      </c>
    </row>
    <row r="2334" spans="1:18" x14ac:dyDescent="0.3">
      <c r="A2334" s="2" t="str">
        <f>HYPERLINK(B2334,"Oppna PDF")</f>
        <v>Oppna PDF</v>
      </c>
      <c r="B2334" t="s">
        <v>6198</v>
      </c>
      <c r="C2334" t="s">
        <v>6202</v>
      </c>
      <c r="D2334" t="s">
        <v>6137</v>
      </c>
      <c r="E2334" t="s">
        <v>6200</v>
      </c>
      <c r="F2334" t="s">
        <v>6139</v>
      </c>
      <c r="G2334" t="s">
        <v>6140</v>
      </c>
      <c r="H2334" t="s">
        <v>61</v>
      </c>
      <c r="I2334" t="s">
        <v>6141</v>
      </c>
      <c r="J2334" t="s">
        <v>27</v>
      </c>
      <c r="K2334" t="s">
        <v>28</v>
      </c>
      <c r="L2334" t="s">
        <v>29</v>
      </c>
      <c r="M2334" t="s">
        <v>30</v>
      </c>
      <c r="N2334" t="s">
        <v>31</v>
      </c>
      <c r="Q2334" t="s">
        <v>6203</v>
      </c>
      <c r="R2334" t="s">
        <v>6203</v>
      </c>
    </row>
    <row r="2335" spans="1:18" x14ac:dyDescent="0.3">
      <c r="A2335" s="2" t="str">
        <f>HYPERLINK(B2335,"Oppna PDF")</f>
        <v>Oppna PDF</v>
      </c>
      <c r="B2335" t="s">
        <v>6204</v>
      </c>
      <c r="C2335" t="s">
        <v>6205</v>
      </c>
      <c r="D2335" t="s">
        <v>6137</v>
      </c>
      <c r="E2335" t="s">
        <v>6206</v>
      </c>
      <c r="F2335" t="s">
        <v>6139</v>
      </c>
      <c r="G2335" t="s">
        <v>6140</v>
      </c>
      <c r="H2335" t="s">
        <v>61</v>
      </c>
      <c r="I2335" t="s">
        <v>6141</v>
      </c>
      <c r="J2335" t="s">
        <v>48</v>
      </c>
      <c r="K2335" t="s">
        <v>49</v>
      </c>
      <c r="L2335" t="s">
        <v>29</v>
      </c>
      <c r="M2335" t="s">
        <v>30</v>
      </c>
      <c r="N2335" t="s">
        <v>31</v>
      </c>
      <c r="Q2335" t="s">
        <v>6207</v>
      </c>
      <c r="R2335" t="s">
        <v>6207</v>
      </c>
    </row>
    <row r="2336" spans="1:18" x14ac:dyDescent="0.3">
      <c r="A2336" s="2" t="str">
        <f>HYPERLINK(B2336,"Oppna PDF")</f>
        <v>Oppna PDF</v>
      </c>
      <c r="B2336" t="s">
        <v>6204</v>
      </c>
      <c r="C2336" t="s">
        <v>6208</v>
      </c>
      <c r="D2336" t="s">
        <v>6137</v>
      </c>
      <c r="E2336" t="s">
        <v>6206</v>
      </c>
      <c r="F2336" t="s">
        <v>6139</v>
      </c>
      <c r="G2336" t="s">
        <v>6140</v>
      </c>
      <c r="H2336" t="s">
        <v>61</v>
      </c>
      <c r="I2336" t="s">
        <v>6141</v>
      </c>
      <c r="J2336" t="s">
        <v>38</v>
      </c>
      <c r="K2336" t="s">
        <v>39</v>
      </c>
      <c r="L2336" t="s">
        <v>29</v>
      </c>
      <c r="M2336" t="s">
        <v>30</v>
      </c>
      <c r="N2336" t="s">
        <v>31</v>
      </c>
      <c r="Q2336" t="s">
        <v>6209</v>
      </c>
      <c r="R2336" t="s">
        <v>6210</v>
      </c>
    </row>
    <row r="2337" spans="1:18" x14ac:dyDescent="0.3">
      <c r="A2337" s="2" t="str">
        <f>HYPERLINK(B2337,"Oppna PDF")</f>
        <v>Oppna PDF</v>
      </c>
      <c r="B2337" t="s">
        <v>6204</v>
      </c>
      <c r="C2337" t="s">
        <v>6211</v>
      </c>
      <c r="D2337" t="s">
        <v>6137</v>
      </c>
      <c r="E2337" t="s">
        <v>6206</v>
      </c>
      <c r="F2337" t="s">
        <v>6139</v>
      </c>
      <c r="G2337" t="s">
        <v>6140</v>
      </c>
      <c r="H2337" t="s">
        <v>61</v>
      </c>
      <c r="I2337" t="s">
        <v>6141</v>
      </c>
      <c r="J2337" t="s">
        <v>34</v>
      </c>
      <c r="K2337" t="s">
        <v>35</v>
      </c>
      <c r="L2337" t="s">
        <v>142</v>
      </c>
      <c r="M2337" t="s">
        <v>30</v>
      </c>
      <c r="N2337" t="s">
        <v>31</v>
      </c>
      <c r="Q2337" t="s">
        <v>6212</v>
      </c>
      <c r="R2337" t="s">
        <v>6212</v>
      </c>
    </row>
    <row r="2338" spans="1:18" x14ac:dyDescent="0.3">
      <c r="A2338" s="2" t="str">
        <f>HYPERLINK(B2338,"Oppna PDF")</f>
        <v>Oppna PDF</v>
      </c>
      <c r="B2338" t="s">
        <v>6213</v>
      </c>
      <c r="C2338" t="s">
        <v>6214</v>
      </c>
      <c r="D2338" t="s">
        <v>6137</v>
      </c>
      <c r="E2338" t="s">
        <v>6215</v>
      </c>
      <c r="F2338" t="s">
        <v>6139</v>
      </c>
      <c r="G2338" t="s">
        <v>6140</v>
      </c>
      <c r="H2338" t="s">
        <v>61</v>
      </c>
      <c r="I2338" t="s">
        <v>6141</v>
      </c>
      <c r="J2338" t="s">
        <v>27</v>
      </c>
      <c r="K2338" t="s">
        <v>28</v>
      </c>
      <c r="L2338" t="s">
        <v>29</v>
      </c>
      <c r="M2338" t="s">
        <v>30</v>
      </c>
      <c r="N2338" t="s">
        <v>31</v>
      </c>
      <c r="Q2338" t="s">
        <v>6216</v>
      </c>
      <c r="R2338" t="s">
        <v>6216</v>
      </c>
    </row>
    <row r="2339" spans="1:18" x14ac:dyDescent="0.3">
      <c r="A2339" s="2" t="str">
        <f>HYPERLINK(B2339,"Oppna PDF")</f>
        <v>Oppna PDF</v>
      </c>
      <c r="B2339" t="s">
        <v>6213</v>
      </c>
      <c r="C2339" t="s">
        <v>6217</v>
      </c>
      <c r="D2339" t="s">
        <v>6137</v>
      </c>
      <c r="E2339" t="s">
        <v>6215</v>
      </c>
      <c r="F2339" t="s">
        <v>6139</v>
      </c>
      <c r="G2339" t="s">
        <v>6140</v>
      </c>
      <c r="H2339" t="s">
        <v>61</v>
      </c>
      <c r="I2339" t="s">
        <v>6141</v>
      </c>
      <c r="J2339" t="s">
        <v>34</v>
      </c>
      <c r="K2339" t="s">
        <v>35</v>
      </c>
      <c r="L2339" t="s">
        <v>29</v>
      </c>
      <c r="M2339" t="s">
        <v>30</v>
      </c>
      <c r="N2339" t="s">
        <v>31</v>
      </c>
      <c r="Q2339" t="s">
        <v>6218</v>
      </c>
      <c r="R2339" t="s">
        <v>6218</v>
      </c>
    </row>
    <row r="2340" spans="1:18" x14ac:dyDescent="0.3">
      <c r="A2340" s="2" t="str">
        <f>HYPERLINK(B2340,"Oppna PDF")</f>
        <v>Oppna PDF</v>
      </c>
      <c r="B2340" t="s">
        <v>6219</v>
      </c>
      <c r="C2340" t="s">
        <v>6220</v>
      </c>
      <c r="D2340" t="s">
        <v>6221</v>
      </c>
      <c r="E2340" t="s">
        <v>6222</v>
      </c>
      <c r="F2340" t="s">
        <v>266</v>
      </c>
      <c r="G2340" t="s">
        <v>267</v>
      </c>
      <c r="H2340" t="s">
        <v>61</v>
      </c>
      <c r="I2340" t="s">
        <v>6223</v>
      </c>
      <c r="J2340" t="s">
        <v>27</v>
      </c>
      <c r="K2340" t="s">
        <v>28</v>
      </c>
      <c r="L2340" t="s">
        <v>29</v>
      </c>
      <c r="M2340" t="s">
        <v>30</v>
      </c>
      <c r="N2340" t="s">
        <v>31</v>
      </c>
      <c r="Q2340" t="s">
        <v>6224</v>
      </c>
      <c r="R2340" t="s">
        <v>6224</v>
      </c>
    </row>
    <row r="2341" spans="1:18" x14ac:dyDescent="0.3">
      <c r="A2341" s="2" t="str">
        <f>HYPERLINK(B2341,"Oppna PDF")</f>
        <v>Oppna PDF</v>
      </c>
      <c r="B2341" t="s">
        <v>6219</v>
      </c>
      <c r="C2341" t="s">
        <v>6225</v>
      </c>
      <c r="D2341" t="s">
        <v>6221</v>
      </c>
      <c r="E2341" t="s">
        <v>6222</v>
      </c>
      <c r="F2341" t="s">
        <v>266</v>
      </c>
      <c r="G2341" t="s">
        <v>267</v>
      </c>
      <c r="H2341" t="s">
        <v>61</v>
      </c>
      <c r="I2341" t="s">
        <v>6223</v>
      </c>
      <c r="J2341" t="s">
        <v>48</v>
      </c>
      <c r="K2341" t="s">
        <v>49</v>
      </c>
      <c r="L2341" t="s">
        <v>29</v>
      </c>
      <c r="M2341" t="s">
        <v>30</v>
      </c>
      <c r="N2341" t="s">
        <v>31</v>
      </c>
      <c r="Q2341" t="s">
        <v>6226</v>
      </c>
      <c r="R2341" t="s">
        <v>6226</v>
      </c>
    </row>
    <row r="2342" spans="1:18" x14ac:dyDescent="0.3">
      <c r="A2342" s="2" t="str">
        <f>HYPERLINK(B2342,"Oppna PDF")</f>
        <v>Oppna PDF</v>
      </c>
      <c r="B2342" t="s">
        <v>6219</v>
      </c>
      <c r="C2342" t="s">
        <v>6227</v>
      </c>
      <c r="D2342" t="s">
        <v>6221</v>
      </c>
      <c r="E2342" t="s">
        <v>6222</v>
      </c>
      <c r="F2342" t="s">
        <v>266</v>
      </c>
      <c r="G2342" t="s">
        <v>267</v>
      </c>
      <c r="H2342" t="s">
        <v>61</v>
      </c>
      <c r="I2342" t="s">
        <v>6223</v>
      </c>
      <c r="J2342" t="s">
        <v>91</v>
      </c>
      <c r="K2342" t="s">
        <v>92</v>
      </c>
      <c r="L2342" t="s">
        <v>29</v>
      </c>
      <c r="M2342" t="s">
        <v>30</v>
      </c>
      <c r="N2342" t="s">
        <v>31</v>
      </c>
      <c r="Q2342" t="s">
        <v>6228</v>
      </c>
      <c r="R2342" t="s">
        <v>6228</v>
      </c>
    </row>
    <row r="2343" spans="1:18" x14ac:dyDescent="0.3">
      <c r="A2343" s="2" t="str">
        <f>HYPERLINK(B2343,"Oppna PDF")</f>
        <v>Oppna PDF</v>
      </c>
      <c r="B2343" t="s">
        <v>6229</v>
      </c>
      <c r="C2343" t="s">
        <v>6230</v>
      </c>
      <c r="D2343" t="s">
        <v>6231</v>
      </c>
      <c r="E2343" t="s">
        <v>6232</v>
      </c>
      <c r="F2343" t="s">
        <v>6233</v>
      </c>
      <c r="G2343" t="s">
        <v>6234</v>
      </c>
      <c r="H2343" t="s">
        <v>61</v>
      </c>
      <c r="I2343" t="s">
        <v>6235</v>
      </c>
      <c r="J2343" t="s">
        <v>27</v>
      </c>
      <c r="K2343" t="s">
        <v>28</v>
      </c>
      <c r="L2343" t="s">
        <v>29</v>
      </c>
      <c r="M2343" t="s">
        <v>30</v>
      </c>
      <c r="N2343" t="s">
        <v>31</v>
      </c>
      <c r="Q2343" t="s">
        <v>6236</v>
      </c>
      <c r="R2343" t="s">
        <v>6236</v>
      </c>
    </row>
    <row r="2344" spans="1:18" x14ac:dyDescent="0.3">
      <c r="A2344" s="2" t="str">
        <f>HYPERLINK(B2344,"Oppna PDF")</f>
        <v>Oppna PDF</v>
      </c>
      <c r="B2344" t="s">
        <v>6229</v>
      </c>
      <c r="C2344" t="s">
        <v>6237</v>
      </c>
      <c r="D2344" t="s">
        <v>6231</v>
      </c>
      <c r="E2344" t="s">
        <v>6232</v>
      </c>
      <c r="F2344" t="s">
        <v>6233</v>
      </c>
      <c r="G2344" t="s">
        <v>6234</v>
      </c>
      <c r="H2344" t="s">
        <v>61</v>
      </c>
      <c r="I2344" t="s">
        <v>6235</v>
      </c>
      <c r="J2344" t="s">
        <v>27</v>
      </c>
      <c r="K2344" t="s">
        <v>28</v>
      </c>
      <c r="L2344" t="s">
        <v>29</v>
      </c>
      <c r="M2344" t="s">
        <v>30</v>
      </c>
      <c r="N2344" t="s">
        <v>31</v>
      </c>
      <c r="Q2344" t="s">
        <v>6238</v>
      </c>
      <c r="R2344" t="s">
        <v>6239</v>
      </c>
    </row>
    <row r="2345" spans="1:18" x14ac:dyDescent="0.3">
      <c r="A2345" s="2" t="str">
        <f>HYPERLINK(B2345,"Oppna PDF")</f>
        <v>Oppna PDF</v>
      </c>
      <c r="B2345" t="s">
        <v>6229</v>
      </c>
      <c r="C2345" t="s">
        <v>6240</v>
      </c>
      <c r="D2345" t="s">
        <v>6231</v>
      </c>
      <c r="E2345" t="s">
        <v>6232</v>
      </c>
      <c r="F2345" t="s">
        <v>6233</v>
      </c>
      <c r="G2345" t="s">
        <v>6234</v>
      </c>
      <c r="H2345" t="s">
        <v>61</v>
      </c>
      <c r="I2345" t="s">
        <v>6235</v>
      </c>
      <c r="J2345" t="s">
        <v>34</v>
      </c>
      <c r="K2345" t="s">
        <v>35</v>
      </c>
      <c r="L2345" t="s">
        <v>142</v>
      </c>
      <c r="M2345" t="s">
        <v>30</v>
      </c>
      <c r="N2345" t="s">
        <v>31</v>
      </c>
      <c r="Q2345" t="s">
        <v>6241</v>
      </c>
      <c r="R2345" t="s">
        <v>6241</v>
      </c>
    </row>
    <row r="2346" spans="1:18" x14ac:dyDescent="0.3">
      <c r="A2346" s="2" t="str">
        <f>HYPERLINK(B2346,"Oppna PDF")</f>
        <v>Oppna PDF</v>
      </c>
      <c r="B2346" t="s">
        <v>6242</v>
      </c>
      <c r="C2346" t="s">
        <v>6243</v>
      </c>
      <c r="D2346" t="s">
        <v>6231</v>
      </c>
      <c r="E2346" t="s">
        <v>6244</v>
      </c>
      <c r="F2346" t="s">
        <v>6233</v>
      </c>
      <c r="G2346" t="s">
        <v>6234</v>
      </c>
      <c r="H2346" t="s">
        <v>61</v>
      </c>
      <c r="I2346" t="s">
        <v>6235</v>
      </c>
      <c r="J2346" t="s">
        <v>34</v>
      </c>
      <c r="K2346" t="s">
        <v>35</v>
      </c>
      <c r="L2346" t="s">
        <v>29</v>
      </c>
      <c r="M2346" t="s">
        <v>30</v>
      </c>
      <c r="N2346" t="s">
        <v>31</v>
      </c>
      <c r="Q2346" t="s">
        <v>6245</v>
      </c>
      <c r="R2346" t="s">
        <v>6245</v>
      </c>
    </row>
    <row r="2347" spans="1:18" x14ac:dyDescent="0.3">
      <c r="A2347" s="2" t="str">
        <f>HYPERLINK(B2347,"Oppna PDF")</f>
        <v>Oppna PDF</v>
      </c>
      <c r="B2347" t="s">
        <v>6242</v>
      </c>
      <c r="C2347" t="s">
        <v>6246</v>
      </c>
      <c r="D2347" t="s">
        <v>6231</v>
      </c>
      <c r="E2347" t="s">
        <v>6244</v>
      </c>
      <c r="F2347" t="s">
        <v>6233</v>
      </c>
      <c r="G2347" t="s">
        <v>6234</v>
      </c>
      <c r="H2347" t="s">
        <v>61</v>
      </c>
      <c r="I2347" t="s">
        <v>6235</v>
      </c>
      <c r="J2347" t="s">
        <v>34</v>
      </c>
      <c r="K2347" t="s">
        <v>35</v>
      </c>
      <c r="L2347" t="s">
        <v>142</v>
      </c>
      <c r="M2347" t="s">
        <v>30</v>
      </c>
      <c r="N2347" t="s">
        <v>31</v>
      </c>
      <c r="Q2347" t="s">
        <v>6070</v>
      </c>
      <c r="R2347" t="s">
        <v>6070</v>
      </c>
    </row>
    <row r="2348" spans="1:18" x14ac:dyDescent="0.3">
      <c r="A2348" s="2" t="str">
        <f>HYPERLINK(B2348,"Oppna PDF")</f>
        <v>Oppna PDF</v>
      </c>
      <c r="B2348" t="s">
        <v>6242</v>
      </c>
      <c r="C2348" t="s">
        <v>6247</v>
      </c>
      <c r="D2348" t="s">
        <v>6231</v>
      </c>
      <c r="E2348" t="s">
        <v>6244</v>
      </c>
      <c r="F2348" t="s">
        <v>6233</v>
      </c>
      <c r="G2348" t="s">
        <v>6234</v>
      </c>
      <c r="H2348" t="s">
        <v>61</v>
      </c>
      <c r="I2348" t="s">
        <v>6235</v>
      </c>
      <c r="J2348" t="s">
        <v>34</v>
      </c>
      <c r="K2348" t="s">
        <v>35</v>
      </c>
      <c r="L2348" t="s">
        <v>29</v>
      </c>
      <c r="M2348" t="s">
        <v>30</v>
      </c>
      <c r="N2348" t="s">
        <v>31</v>
      </c>
      <c r="Q2348" t="s">
        <v>6074</v>
      </c>
      <c r="R2348" t="s">
        <v>6074</v>
      </c>
    </row>
    <row r="2349" spans="1:18" x14ac:dyDescent="0.3">
      <c r="A2349" s="2" t="str">
        <f>HYPERLINK(B2349,"Oppna PDF")</f>
        <v>Oppna PDF</v>
      </c>
      <c r="B2349" t="s">
        <v>6248</v>
      </c>
      <c r="C2349" t="s">
        <v>6249</v>
      </c>
      <c r="D2349" t="s">
        <v>6231</v>
      </c>
      <c r="E2349" t="s">
        <v>6250</v>
      </c>
      <c r="F2349" t="s">
        <v>6233</v>
      </c>
      <c r="G2349" t="s">
        <v>6234</v>
      </c>
      <c r="H2349" t="s">
        <v>61</v>
      </c>
      <c r="I2349" t="s">
        <v>6235</v>
      </c>
      <c r="J2349" t="s">
        <v>91</v>
      </c>
      <c r="K2349" t="s">
        <v>92</v>
      </c>
      <c r="L2349" t="s">
        <v>29</v>
      </c>
      <c r="M2349" t="s">
        <v>30</v>
      </c>
      <c r="N2349" t="s">
        <v>31</v>
      </c>
      <c r="Q2349" t="s">
        <v>6251</v>
      </c>
      <c r="R2349" t="s">
        <v>6252</v>
      </c>
    </row>
    <row r="2350" spans="1:18" x14ac:dyDescent="0.3">
      <c r="A2350" s="2" t="str">
        <f>HYPERLINK(B2350,"Oppna PDF")</f>
        <v>Oppna PDF</v>
      </c>
      <c r="B2350" t="s">
        <v>6248</v>
      </c>
      <c r="C2350" t="s">
        <v>6253</v>
      </c>
      <c r="D2350" t="s">
        <v>6231</v>
      </c>
      <c r="E2350" t="s">
        <v>6250</v>
      </c>
      <c r="F2350" t="s">
        <v>6233</v>
      </c>
      <c r="G2350" t="s">
        <v>6234</v>
      </c>
      <c r="H2350" t="s">
        <v>61</v>
      </c>
      <c r="I2350" t="s">
        <v>6235</v>
      </c>
      <c r="J2350" t="s">
        <v>91</v>
      </c>
      <c r="K2350" t="s">
        <v>92</v>
      </c>
      <c r="L2350" t="s">
        <v>29</v>
      </c>
      <c r="M2350" t="s">
        <v>30</v>
      </c>
      <c r="N2350" t="s">
        <v>31</v>
      </c>
      <c r="Q2350" t="s">
        <v>6254</v>
      </c>
      <c r="R2350" t="s">
        <v>6255</v>
      </c>
    </row>
    <row r="2351" spans="1:18" x14ac:dyDescent="0.3">
      <c r="A2351" s="2" t="str">
        <f>HYPERLINK(B2351,"Oppna PDF")</f>
        <v>Oppna PDF</v>
      </c>
      <c r="B2351" t="s">
        <v>6248</v>
      </c>
      <c r="C2351" t="s">
        <v>6256</v>
      </c>
      <c r="D2351" t="s">
        <v>6231</v>
      </c>
      <c r="E2351" t="s">
        <v>6250</v>
      </c>
      <c r="F2351" t="s">
        <v>6233</v>
      </c>
      <c r="G2351" t="s">
        <v>6234</v>
      </c>
      <c r="H2351" t="s">
        <v>61</v>
      </c>
      <c r="I2351" t="s">
        <v>6235</v>
      </c>
      <c r="J2351" t="s">
        <v>91</v>
      </c>
      <c r="K2351" t="s">
        <v>92</v>
      </c>
      <c r="L2351" t="s">
        <v>29</v>
      </c>
      <c r="M2351" t="s">
        <v>30</v>
      </c>
      <c r="N2351" t="s">
        <v>31</v>
      </c>
      <c r="Q2351" t="s">
        <v>6257</v>
      </c>
      <c r="R2351" t="s">
        <v>6252</v>
      </c>
    </row>
    <row r="2352" spans="1:18" x14ac:dyDescent="0.3">
      <c r="A2352" s="2" t="str">
        <f>HYPERLINK(B2352,"Oppna PDF")</f>
        <v>Oppna PDF</v>
      </c>
      <c r="B2352" t="s">
        <v>6258</v>
      </c>
      <c r="C2352" t="s">
        <v>6259</v>
      </c>
      <c r="D2352" t="s">
        <v>6231</v>
      </c>
      <c r="E2352" t="s">
        <v>6260</v>
      </c>
      <c r="F2352" t="s">
        <v>6233</v>
      </c>
      <c r="G2352" t="s">
        <v>6234</v>
      </c>
      <c r="H2352" t="s">
        <v>61</v>
      </c>
      <c r="I2352" t="s">
        <v>6235</v>
      </c>
      <c r="J2352" t="s">
        <v>27</v>
      </c>
      <c r="K2352" t="s">
        <v>28</v>
      </c>
      <c r="L2352" t="s">
        <v>29</v>
      </c>
      <c r="M2352" t="s">
        <v>30</v>
      </c>
      <c r="N2352" t="s">
        <v>31</v>
      </c>
      <c r="Q2352" t="s">
        <v>6261</v>
      </c>
      <c r="R2352" t="s">
        <v>6262</v>
      </c>
    </row>
    <row r="2353" spans="1:18" x14ac:dyDescent="0.3">
      <c r="A2353" s="2" t="str">
        <f>HYPERLINK(B2353,"Oppna PDF")</f>
        <v>Oppna PDF</v>
      </c>
      <c r="B2353" t="s">
        <v>6263</v>
      </c>
      <c r="C2353" t="s">
        <v>6264</v>
      </c>
      <c r="D2353" t="s">
        <v>6231</v>
      </c>
      <c r="E2353" t="s">
        <v>6265</v>
      </c>
      <c r="F2353" t="s">
        <v>6233</v>
      </c>
      <c r="G2353" t="s">
        <v>6234</v>
      </c>
      <c r="H2353" t="s">
        <v>61</v>
      </c>
      <c r="I2353" t="s">
        <v>6235</v>
      </c>
      <c r="J2353" t="s">
        <v>27</v>
      </c>
      <c r="K2353" t="s">
        <v>28</v>
      </c>
      <c r="L2353" t="s">
        <v>29</v>
      </c>
      <c r="M2353" t="s">
        <v>30</v>
      </c>
      <c r="N2353" t="s">
        <v>31</v>
      </c>
      <c r="Q2353" t="s">
        <v>6266</v>
      </c>
      <c r="R2353" t="s">
        <v>6267</v>
      </c>
    </row>
    <row r="2354" spans="1:18" x14ac:dyDescent="0.3">
      <c r="A2354" s="2" t="str">
        <f>HYPERLINK(B2354,"Oppna PDF")</f>
        <v>Oppna PDF</v>
      </c>
      <c r="B2354" t="s">
        <v>6263</v>
      </c>
      <c r="C2354" t="s">
        <v>6268</v>
      </c>
      <c r="D2354" t="s">
        <v>6231</v>
      </c>
      <c r="E2354" t="s">
        <v>6265</v>
      </c>
      <c r="F2354" t="s">
        <v>6233</v>
      </c>
      <c r="G2354" t="s">
        <v>6234</v>
      </c>
      <c r="H2354" t="s">
        <v>61</v>
      </c>
      <c r="I2354" t="s">
        <v>6235</v>
      </c>
      <c r="J2354" t="s">
        <v>38</v>
      </c>
      <c r="K2354" t="s">
        <v>39</v>
      </c>
      <c r="L2354" t="s">
        <v>29</v>
      </c>
      <c r="M2354" t="s">
        <v>30</v>
      </c>
      <c r="N2354" t="s">
        <v>31</v>
      </c>
      <c r="Q2354" t="s">
        <v>6269</v>
      </c>
      <c r="R2354" t="s">
        <v>6269</v>
      </c>
    </row>
    <row r="2355" spans="1:18" x14ac:dyDescent="0.3">
      <c r="A2355" s="2" t="str">
        <f>HYPERLINK(B2355,"Oppna PDF")</f>
        <v>Oppna PDF</v>
      </c>
      <c r="B2355" t="s">
        <v>6263</v>
      </c>
      <c r="C2355" t="s">
        <v>6270</v>
      </c>
      <c r="D2355" t="s">
        <v>6231</v>
      </c>
      <c r="E2355" t="s">
        <v>6265</v>
      </c>
      <c r="F2355" t="s">
        <v>6233</v>
      </c>
      <c r="G2355" t="s">
        <v>6234</v>
      </c>
      <c r="H2355" t="s">
        <v>61</v>
      </c>
      <c r="I2355" t="s">
        <v>6235</v>
      </c>
      <c r="J2355" t="s">
        <v>27</v>
      </c>
      <c r="K2355" t="s">
        <v>28</v>
      </c>
      <c r="L2355" t="s">
        <v>29</v>
      </c>
      <c r="M2355" t="s">
        <v>30</v>
      </c>
      <c r="N2355" t="s">
        <v>31</v>
      </c>
      <c r="Q2355" t="s">
        <v>6271</v>
      </c>
      <c r="R2355" t="s">
        <v>6271</v>
      </c>
    </row>
    <row r="2356" spans="1:18" x14ac:dyDescent="0.3">
      <c r="A2356" s="2" t="str">
        <f>HYPERLINK(B2356,"Oppna PDF")</f>
        <v>Oppna PDF</v>
      </c>
      <c r="B2356" t="s">
        <v>6272</v>
      </c>
      <c r="C2356" t="s">
        <v>6273</v>
      </c>
      <c r="D2356" t="s">
        <v>6231</v>
      </c>
      <c r="E2356" t="s">
        <v>6274</v>
      </c>
      <c r="F2356" t="s">
        <v>6233</v>
      </c>
      <c r="G2356" t="s">
        <v>6234</v>
      </c>
      <c r="H2356" t="s">
        <v>61</v>
      </c>
      <c r="I2356" t="s">
        <v>6235</v>
      </c>
      <c r="J2356" t="s">
        <v>34</v>
      </c>
      <c r="K2356" t="s">
        <v>35</v>
      </c>
      <c r="L2356" t="s">
        <v>29</v>
      </c>
      <c r="M2356" t="s">
        <v>30</v>
      </c>
      <c r="N2356" t="s">
        <v>31</v>
      </c>
      <c r="Q2356" t="s">
        <v>6275</v>
      </c>
      <c r="R2356" t="s">
        <v>6276</v>
      </c>
    </row>
    <row r="2357" spans="1:18" x14ac:dyDescent="0.3">
      <c r="A2357" s="2" t="str">
        <f>HYPERLINK(B2357,"Oppna PDF")</f>
        <v>Oppna PDF</v>
      </c>
      <c r="B2357" t="s">
        <v>6277</v>
      </c>
      <c r="C2357" t="s">
        <v>6278</v>
      </c>
      <c r="D2357" t="s">
        <v>6231</v>
      </c>
      <c r="E2357" t="s">
        <v>6279</v>
      </c>
      <c r="F2357" t="s">
        <v>6233</v>
      </c>
      <c r="G2357" t="s">
        <v>6234</v>
      </c>
      <c r="H2357" t="s">
        <v>61</v>
      </c>
      <c r="I2357" t="s">
        <v>6235</v>
      </c>
      <c r="J2357" t="s">
        <v>27</v>
      </c>
      <c r="K2357" t="s">
        <v>28</v>
      </c>
      <c r="L2357" t="s">
        <v>29</v>
      </c>
      <c r="M2357" t="s">
        <v>30</v>
      </c>
      <c r="N2357" t="s">
        <v>31</v>
      </c>
      <c r="Q2357" t="s">
        <v>6280</v>
      </c>
      <c r="R2357" t="s">
        <v>6281</v>
      </c>
    </row>
    <row r="2358" spans="1:18" x14ac:dyDescent="0.3">
      <c r="A2358" s="2" t="str">
        <f>HYPERLINK(B2358,"Oppna PDF")</f>
        <v>Oppna PDF</v>
      </c>
      <c r="B2358" t="s">
        <v>6282</v>
      </c>
      <c r="C2358" t="s">
        <v>6283</v>
      </c>
      <c r="D2358" t="s">
        <v>6231</v>
      </c>
      <c r="E2358" t="s">
        <v>6284</v>
      </c>
      <c r="F2358" t="s">
        <v>6233</v>
      </c>
      <c r="G2358" t="s">
        <v>6234</v>
      </c>
      <c r="H2358" t="s">
        <v>61</v>
      </c>
      <c r="I2358" t="s">
        <v>6235</v>
      </c>
      <c r="J2358" t="s">
        <v>91</v>
      </c>
      <c r="K2358" t="s">
        <v>92</v>
      </c>
      <c r="L2358" t="s">
        <v>29</v>
      </c>
      <c r="M2358" t="s">
        <v>30</v>
      </c>
      <c r="N2358" t="s">
        <v>31</v>
      </c>
      <c r="Q2358" t="s">
        <v>6285</v>
      </c>
      <c r="R2358" t="s">
        <v>6286</v>
      </c>
    </row>
    <row r="2359" spans="1:18" x14ac:dyDescent="0.3">
      <c r="A2359" s="2" t="str">
        <f>HYPERLINK(B2359,"Oppna PDF")</f>
        <v>Oppna PDF</v>
      </c>
      <c r="B2359" t="s">
        <v>6282</v>
      </c>
      <c r="C2359" t="s">
        <v>6287</v>
      </c>
      <c r="D2359" t="s">
        <v>6231</v>
      </c>
      <c r="E2359" t="s">
        <v>6284</v>
      </c>
      <c r="F2359" t="s">
        <v>6233</v>
      </c>
      <c r="G2359" t="s">
        <v>6234</v>
      </c>
      <c r="H2359" t="s">
        <v>61</v>
      </c>
      <c r="I2359" t="s">
        <v>6235</v>
      </c>
      <c r="J2359" t="s">
        <v>91</v>
      </c>
      <c r="K2359" t="s">
        <v>92</v>
      </c>
      <c r="L2359" t="s">
        <v>29</v>
      </c>
      <c r="M2359" t="s">
        <v>30</v>
      </c>
      <c r="N2359" t="s">
        <v>31</v>
      </c>
      <c r="Q2359" t="s">
        <v>6288</v>
      </c>
      <c r="R2359" t="s">
        <v>6289</v>
      </c>
    </row>
    <row r="2360" spans="1:18" x14ac:dyDescent="0.3">
      <c r="A2360" s="2" t="str">
        <f>HYPERLINK(B2360,"Oppna PDF")</f>
        <v>Oppna PDF</v>
      </c>
      <c r="B2360" t="s">
        <v>6282</v>
      </c>
      <c r="C2360" t="s">
        <v>6290</v>
      </c>
      <c r="D2360" t="s">
        <v>6231</v>
      </c>
      <c r="E2360" t="s">
        <v>6284</v>
      </c>
      <c r="F2360" t="s">
        <v>6233</v>
      </c>
      <c r="G2360" t="s">
        <v>6234</v>
      </c>
      <c r="H2360" t="s">
        <v>61</v>
      </c>
      <c r="I2360" t="s">
        <v>6235</v>
      </c>
      <c r="J2360" t="s">
        <v>91</v>
      </c>
      <c r="K2360" t="s">
        <v>92</v>
      </c>
      <c r="L2360" t="s">
        <v>29</v>
      </c>
      <c r="M2360" t="s">
        <v>30</v>
      </c>
      <c r="N2360" t="s">
        <v>31</v>
      </c>
      <c r="Q2360" t="s">
        <v>6291</v>
      </c>
      <c r="R2360" t="s">
        <v>6292</v>
      </c>
    </row>
    <row r="2361" spans="1:18" x14ac:dyDescent="0.3">
      <c r="A2361" s="2" t="str">
        <f>HYPERLINK(B2361,"Oppna PDF")</f>
        <v>Oppna PDF</v>
      </c>
      <c r="B2361" t="s">
        <v>6293</v>
      </c>
      <c r="C2361" t="s">
        <v>6294</v>
      </c>
      <c r="D2361" t="s">
        <v>6295</v>
      </c>
      <c r="E2361" t="s">
        <v>6296</v>
      </c>
      <c r="F2361" t="s">
        <v>6297</v>
      </c>
      <c r="G2361" t="s">
        <v>6298</v>
      </c>
      <c r="H2361" t="s">
        <v>61</v>
      </c>
      <c r="I2361" t="s">
        <v>6299</v>
      </c>
      <c r="J2361" t="s">
        <v>27</v>
      </c>
      <c r="K2361" t="s">
        <v>28</v>
      </c>
      <c r="L2361" t="s">
        <v>29</v>
      </c>
      <c r="M2361" t="s">
        <v>30</v>
      </c>
      <c r="N2361" t="s">
        <v>31</v>
      </c>
      <c r="Q2361" t="s">
        <v>6300</v>
      </c>
      <c r="R2361" t="s">
        <v>6300</v>
      </c>
    </row>
    <row r="2362" spans="1:18" x14ac:dyDescent="0.3">
      <c r="A2362" s="2" t="str">
        <f>HYPERLINK(B2362,"Oppna PDF")</f>
        <v>Oppna PDF</v>
      </c>
      <c r="B2362" t="s">
        <v>6293</v>
      </c>
      <c r="C2362" t="s">
        <v>6301</v>
      </c>
      <c r="D2362" t="s">
        <v>6295</v>
      </c>
      <c r="E2362" t="s">
        <v>6296</v>
      </c>
      <c r="F2362" t="s">
        <v>6297</v>
      </c>
      <c r="G2362" t="s">
        <v>6298</v>
      </c>
      <c r="H2362" t="s">
        <v>61</v>
      </c>
      <c r="I2362" t="s">
        <v>6299</v>
      </c>
      <c r="J2362" t="s">
        <v>34</v>
      </c>
      <c r="K2362" t="s">
        <v>35</v>
      </c>
      <c r="L2362" t="s">
        <v>142</v>
      </c>
      <c r="M2362" t="s">
        <v>30</v>
      </c>
      <c r="N2362" t="s">
        <v>31</v>
      </c>
      <c r="Q2362" t="s">
        <v>6070</v>
      </c>
      <c r="R2362" t="s">
        <v>6070</v>
      </c>
    </row>
    <row r="2363" spans="1:18" x14ac:dyDescent="0.3">
      <c r="A2363" s="2" t="str">
        <f>HYPERLINK(B2363,"Oppna PDF")</f>
        <v>Oppna PDF</v>
      </c>
      <c r="B2363" t="s">
        <v>6293</v>
      </c>
      <c r="C2363" t="s">
        <v>6302</v>
      </c>
      <c r="D2363" t="s">
        <v>6295</v>
      </c>
      <c r="E2363" t="s">
        <v>6296</v>
      </c>
      <c r="F2363" t="s">
        <v>6297</v>
      </c>
      <c r="G2363" t="s">
        <v>6298</v>
      </c>
      <c r="H2363" t="s">
        <v>61</v>
      </c>
      <c r="I2363" t="s">
        <v>6299</v>
      </c>
      <c r="J2363" t="s">
        <v>34</v>
      </c>
      <c r="K2363" t="s">
        <v>35</v>
      </c>
      <c r="L2363" t="s">
        <v>29</v>
      </c>
      <c r="M2363" t="s">
        <v>30</v>
      </c>
      <c r="N2363" t="s">
        <v>31</v>
      </c>
      <c r="Q2363" t="s">
        <v>6303</v>
      </c>
      <c r="R2363" t="s">
        <v>6303</v>
      </c>
    </row>
    <row r="2364" spans="1:18" x14ac:dyDescent="0.3">
      <c r="A2364" s="2" t="str">
        <f>HYPERLINK(B2364,"Oppna PDF")</f>
        <v>Oppna PDF</v>
      </c>
      <c r="B2364" t="s">
        <v>6304</v>
      </c>
      <c r="C2364" t="s">
        <v>6305</v>
      </c>
      <c r="D2364" t="s">
        <v>6295</v>
      </c>
      <c r="E2364" t="s">
        <v>6306</v>
      </c>
      <c r="F2364" t="s">
        <v>6297</v>
      </c>
      <c r="G2364" t="s">
        <v>6298</v>
      </c>
      <c r="H2364" t="s">
        <v>61</v>
      </c>
      <c r="I2364" t="s">
        <v>6299</v>
      </c>
      <c r="J2364" t="s">
        <v>38</v>
      </c>
      <c r="K2364" t="s">
        <v>39</v>
      </c>
      <c r="L2364" t="s">
        <v>29</v>
      </c>
      <c r="M2364" t="s">
        <v>30</v>
      </c>
      <c r="N2364" t="s">
        <v>31</v>
      </c>
      <c r="Q2364" t="s">
        <v>6307</v>
      </c>
      <c r="R2364" t="s">
        <v>6307</v>
      </c>
    </row>
    <row r="2365" spans="1:18" x14ac:dyDescent="0.3">
      <c r="A2365" s="2" t="str">
        <f>HYPERLINK(B2365,"Oppna PDF")</f>
        <v>Oppna PDF</v>
      </c>
      <c r="B2365" t="s">
        <v>6304</v>
      </c>
      <c r="C2365" t="s">
        <v>6308</v>
      </c>
      <c r="D2365" t="s">
        <v>6295</v>
      </c>
      <c r="E2365" t="s">
        <v>6306</v>
      </c>
      <c r="F2365" t="s">
        <v>6297</v>
      </c>
      <c r="G2365" t="s">
        <v>6298</v>
      </c>
      <c r="H2365" t="s">
        <v>61</v>
      </c>
      <c r="I2365" t="s">
        <v>6299</v>
      </c>
      <c r="J2365" t="s">
        <v>34</v>
      </c>
      <c r="K2365" t="s">
        <v>35</v>
      </c>
      <c r="L2365" t="s">
        <v>142</v>
      </c>
      <c r="M2365" t="s">
        <v>30</v>
      </c>
      <c r="N2365" t="s">
        <v>31</v>
      </c>
      <c r="Q2365" t="s">
        <v>6146</v>
      </c>
      <c r="R2365" t="s">
        <v>6147</v>
      </c>
    </row>
    <row r="2366" spans="1:18" x14ac:dyDescent="0.3">
      <c r="A2366" s="2" t="str">
        <f>HYPERLINK(B2366,"Oppna PDF")</f>
        <v>Oppna PDF</v>
      </c>
      <c r="B2366" t="s">
        <v>6304</v>
      </c>
      <c r="C2366" t="s">
        <v>6309</v>
      </c>
      <c r="D2366" t="s">
        <v>6295</v>
      </c>
      <c r="E2366" t="s">
        <v>6306</v>
      </c>
      <c r="F2366" t="s">
        <v>6297</v>
      </c>
      <c r="G2366" t="s">
        <v>6298</v>
      </c>
      <c r="H2366" t="s">
        <v>61</v>
      </c>
      <c r="I2366" t="s">
        <v>6299</v>
      </c>
      <c r="J2366" t="s">
        <v>27</v>
      </c>
      <c r="K2366" t="s">
        <v>28</v>
      </c>
      <c r="L2366" t="s">
        <v>29</v>
      </c>
      <c r="M2366" t="s">
        <v>30</v>
      </c>
      <c r="N2366" t="s">
        <v>31</v>
      </c>
      <c r="Q2366" t="s">
        <v>6310</v>
      </c>
      <c r="R2366" t="s">
        <v>6310</v>
      </c>
    </row>
    <row r="2367" spans="1:18" x14ac:dyDescent="0.3">
      <c r="A2367" s="2" t="str">
        <f>HYPERLINK(B2367,"Oppna PDF")</f>
        <v>Oppna PDF</v>
      </c>
      <c r="B2367" t="s">
        <v>6311</v>
      </c>
      <c r="C2367" t="s">
        <v>6312</v>
      </c>
      <c r="D2367" t="s">
        <v>6295</v>
      </c>
      <c r="E2367" t="s">
        <v>6313</v>
      </c>
      <c r="F2367" t="s">
        <v>6297</v>
      </c>
      <c r="G2367" t="s">
        <v>6298</v>
      </c>
      <c r="H2367" t="s">
        <v>61</v>
      </c>
      <c r="I2367" t="s">
        <v>6299</v>
      </c>
      <c r="J2367" t="s">
        <v>27</v>
      </c>
      <c r="K2367" t="s">
        <v>28</v>
      </c>
      <c r="L2367" t="s">
        <v>29</v>
      </c>
      <c r="M2367" t="s">
        <v>30</v>
      </c>
      <c r="N2367" t="s">
        <v>31</v>
      </c>
      <c r="Q2367" t="s">
        <v>6314</v>
      </c>
      <c r="R2367" t="s">
        <v>6315</v>
      </c>
    </row>
    <row r="2368" spans="1:18" x14ac:dyDescent="0.3">
      <c r="A2368" s="2" t="str">
        <f>HYPERLINK(B2368,"Oppna PDF")</f>
        <v>Oppna PDF</v>
      </c>
      <c r="B2368" t="s">
        <v>6311</v>
      </c>
      <c r="C2368" t="s">
        <v>6316</v>
      </c>
      <c r="D2368" t="s">
        <v>6295</v>
      </c>
      <c r="E2368" t="s">
        <v>6313</v>
      </c>
      <c r="F2368" t="s">
        <v>6297</v>
      </c>
      <c r="G2368" t="s">
        <v>6298</v>
      </c>
      <c r="H2368" t="s">
        <v>61</v>
      </c>
      <c r="I2368" t="s">
        <v>6299</v>
      </c>
      <c r="J2368" t="s">
        <v>34</v>
      </c>
      <c r="K2368" t="s">
        <v>35</v>
      </c>
      <c r="L2368" t="s">
        <v>29</v>
      </c>
      <c r="M2368" t="s">
        <v>30</v>
      </c>
      <c r="N2368" t="s">
        <v>31</v>
      </c>
      <c r="Q2368" t="s">
        <v>6317</v>
      </c>
      <c r="R2368" t="s">
        <v>6317</v>
      </c>
    </row>
    <row r="2369" spans="1:18" x14ac:dyDescent="0.3">
      <c r="A2369" s="2" t="str">
        <f>HYPERLINK(B2369,"Oppna PDF")</f>
        <v>Oppna PDF</v>
      </c>
      <c r="B2369" t="s">
        <v>6318</v>
      </c>
      <c r="C2369" t="s">
        <v>6319</v>
      </c>
      <c r="D2369" t="s">
        <v>6295</v>
      </c>
      <c r="E2369" t="s">
        <v>6320</v>
      </c>
      <c r="F2369" t="s">
        <v>6297</v>
      </c>
      <c r="G2369" t="s">
        <v>6298</v>
      </c>
      <c r="H2369" t="s">
        <v>61</v>
      </c>
      <c r="I2369" t="s">
        <v>6299</v>
      </c>
      <c r="J2369" t="s">
        <v>34</v>
      </c>
      <c r="K2369" t="s">
        <v>35</v>
      </c>
      <c r="L2369" t="s">
        <v>29</v>
      </c>
      <c r="M2369" t="s">
        <v>30</v>
      </c>
      <c r="N2369" t="s">
        <v>31</v>
      </c>
      <c r="Q2369" t="s">
        <v>6317</v>
      </c>
      <c r="R2369" t="s">
        <v>6317</v>
      </c>
    </row>
    <row r="2370" spans="1:18" x14ac:dyDescent="0.3">
      <c r="A2370" s="2" t="str">
        <f>HYPERLINK(B2370,"Oppna PDF")</f>
        <v>Oppna PDF</v>
      </c>
      <c r="B2370" t="s">
        <v>6321</v>
      </c>
      <c r="C2370" t="s">
        <v>6322</v>
      </c>
      <c r="D2370" t="s">
        <v>6295</v>
      </c>
      <c r="E2370" t="s">
        <v>6323</v>
      </c>
      <c r="F2370" t="s">
        <v>6297</v>
      </c>
      <c r="G2370" t="s">
        <v>6298</v>
      </c>
      <c r="H2370" t="s">
        <v>61</v>
      </c>
      <c r="I2370" t="s">
        <v>6299</v>
      </c>
      <c r="J2370" t="s">
        <v>27</v>
      </c>
      <c r="K2370" t="s">
        <v>28</v>
      </c>
      <c r="L2370" t="s">
        <v>29</v>
      </c>
      <c r="M2370" t="s">
        <v>30</v>
      </c>
      <c r="N2370" t="s">
        <v>31</v>
      </c>
      <c r="Q2370" t="s">
        <v>6324</v>
      </c>
      <c r="R2370" t="s">
        <v>6324</v>
      </c>
    </row>
    <row r="2371" spans="1:18" x14ac:dyDescent="0.3">
      <c r="A2371" s="2" t="str">
        <f>HYPERLINK(B2371,"Oppna PDF")</f>
        <v>Oppna PDF</v>
      </c>
      <c r="B2371" t="s">
        <v>6321</v>
      </c>
      <c r="C2371" t="s">
        <v>6325</v>
      </c>
      <c r="D2371" t="s">
        <v>6295</v>
      </c>
      <c r="E2371" t="s">
        <v>6323</v>
      </c>
      <c r="F2371" t="s">
        <v>6297</v>
      </c>
      <c r="G2371" t="s">
        <v>6298</v>
      </c>
      <c r="H2371" t="s">
        <v>61</v>
      </c>
      <c r="I2371" t="s">
        <v>6299</v>
      </c>
      <c r="J2371" t="s">
        <v>27</v>
      </c>
      <c r="K2371" t="s">
        <v>28</v>
      </c>
      <c r="L2371" t="s">
        <v>29</v>
      </c>
      <c r="M2371" t="s">
        <v>30</v>
      </c>
      <c r="N2371" t="s">
        <v>31</v>
      </c>
      <c r="Q2371" t="s">
        <v>6326</v>
      </c>
      <c r="R2371" t="s">
        <v>6326</v>
      </c>
    </row>
    <row r="2372" spans="1:18" x14ac:dyDescent="0.3">
      <c r="A2372" s="2" t="str">
        <f>HYPERLINK(B2372,"Oppna PDF")</f>
        <v>Oppna PDF</v>
      </c>
      <c r="B2372" t="s">
        <v>6321</v>
      </c>
      <c r="C2372" t="s">
        <v>6327</v>
      </c>
      <c r="D2372" t="s">
        <v>6295</v>
      </c>
      <c r="E2372" t="s">
        <v>6323</v>
      </c>
      <c r="F2372" t="s">
        <v>6297</v>
      </c>
      <c r="G2372" t="s">
        <v>6298</v>
      </c>
      <c r="H2372" t="s">
        <v>61</v>
      </c>
      <c r="I2372" t="s">
        <v>6299</v>
      </c>
      <c r="J2372" t="s">
        <v>209</v>
      </c>
      <c r="K2372" t="s">
        <v>210</v>
      </c>
      <c r="L2372" t="s">
        <v>29</v>
      </c>
      <c r="M2372" t="s">
        <v>30</v>
      </c>
      <c r="N2372" t="s">
        <v>31</v>
      </c>
      <c r="Q2372" t="s">
        <v>6328</v>
      </c>
      <c r="R2372" t="s">
        <v>6328</v>
      </c>
    </row>
    <row r="2373" spans="1:18" x14ac:dyDescent="0.3">
      <c r="A2373" s="2" t="str">
        <f>HYPERLINK(B2373,"Oppna PDF")</f>
        <v>Oppna PDF</v>
      </c>
      <c r="B2373" t="s">
        <v>6329</v>
      </c>
      <c r="C2373" t="s">
        <v>6330</v>
      </c>
      <c r="D2373" t="s">
        <v>6295</v>
      </c>
      <c r="E2373" t="s">
        <v>6331</v>
      </c>
      <c r="F2373" t="s">
        <v>6297</v>
      </c>
      <c r="G2373" t="s">
        <v>6298</v>
      </c>
      <c r="H2373" t="s">
        <v>61</v>
      </c>
      <c r="I2373" t="s">
        <v>6299</v>
      </c>
      <c r="J2373" t="s">
        <v>87</v>
      </c>
      <c r="K2373" t="s">
        <v>88</v>
      </c>
      <c r="L2373" t="s">
        <v>29</v>
      </c>
      <c r="M2373" t="s">
        <v>30</v>
      </c>
      <c r="N2373" t="s">
        <v>31</v>
      </c>
      <c r="Q2373" t="s">
        <v>6332</v>
      </c>
      <c r="R2373" t="s">
        <v>6332</v>
      </c>
    </row>
    <row r="2374" spans="1:18" x14ac:dyDescent="0.3">
      <c r="A2374" s="2" t="str">
        <f>HYPERLINK(B2374,"Oppna PDF")</f>
        <v>Oppna PDF</v>
      </c>
      <c r="B2374" t="s">
        <v>6329</v>
      </c>
      <c r="C2374" t="s">
        <v>6333</v>
      </c>
      <c r="D2374" t="s">
        <v>6295</v>
      </c>
      <c r="E2374" t="s">
        <v>6331</v>
      </c>
      <c r="F2374" t="s">
        <v>6297</v>
      </c>
      <c r="G2374" t="s">
        <v>6298</v>
      </c>
      <c r="H2374" t="s">
        <v>61</v>
      </c>
      <c r="I2374" t="s">
        <v>6299</v>
      </c>
      <c r="J2374" t="s">
        <v>48</v>
      </c>
      <c r="K2374" t="s">
        <v>49</v>
      </c>
      <c r="L2374" t="s">
        <v>29</v>
      </c>
      <c r="M2374" t="s">
        <v>30</v>
      </c>
      <c r="N2374" t="s">
        <v>31</v>
      </c>
      <c r="Q2374" t="s">
        <v>6334</v>
      </c>
      <c r="R2374" t="s">
        <v>6334</v>
      </c>
    </row>
    <row r="2375" spans="1:18" x14ac:dyDescent="0.3">
      <c r="A2375" s="2" t="str">
        <f>HYPERLINK(B2375,"Oppna PDF")</f>
        <v>Oppna PDF</v>
      </c>
      <c r="B2375" t="s">
        <v>6329</v>
      </c>
      <c r="C2375" t="s">
        <v>6335</v>
      </c>
      <c r="D2375" t="s">
        <v>6295</v>
      </c>
      <c r="E2375" t="s">
        <v>6331</v>
      </c>
      <c r="F2375" t="s">
        <v>6297</v>
      </c>
      <c r="G2375" t="s">
        <v>6298</v>
      </c>
      <c r="H2375" t="s">
        <v>61</v>
      </c>
      <c r="I2375" t="s">
        <v>6299</v>
      </c>
      <c r="J2375" t="s">
        <v>34</v>
      </c>
      <c r="K2375" t="s">
        <v>35</v>
      </c>
      <c r="L2375" t="s">
        <v>29</v>
      </c>
      <c r="M2375" t="s">
        <v>30</v>
      </c>
      <c r="N2375" t="s">
        <v>31</v>
      </c>
      <c r="Q2375" t="s">
        <v>6336</v>
      </c>
      <c r="R2375" t="s">
        <v>6336</v>
      </c>
    </row>
    <row r="2376" spans="1:18" x14ac:dyDescent="0.3">
      <c r="A2376" s="2" t="str">
        <f>HYPERLINK(B2376,"Oppna PDF")</f>
        <v>Oppna PDF</v>
      </c>
      <c r="B2376" t="s">
        <v>6337</v>
      </c>
      <c r="C2376" t="s">
        <v>6338</v>
      </c>
      <c r="D2376" t="s">
        <v>6295</v>
      </c>
      <c r="E2376" t="s">
        <v>6339</v>
      </c>
      <c r="F2376" t="s">
        <v>6297</v>
      </c>
      <c r="G2376" t="s">
        <v>6298</v>
      </c>
      <c r="H2376" t="s">
        <v>61</v>
      </c>
      <c r="I2376" t="s">
        <v>6299</v>
      </c>
      <c r="J2376" t="s">
        <v>34</v>
      </c>
      <c r="K2376" t="s">
        <v>35</v>
      </c>
      <c r="L2376" t="s">
        <v>29</v>
      </c>
      <c r="M2376" t="s">
        <v>30</v>
      </c>
      <c r="N2376" t="s">
        <v>31</v>
      </c>
      <c r="Q2376" t="s">
        <v>6070</v>
      </c>
      <c r="R2376" t="s">
        <v>6070</v>
      </c>
    </row>
    <row r="2377" spans="1:18" x14ac:dyDescent="0.3">
      <c r="A2377" s="2" t="str">
        <f>HYPERLINK(B2377,"Oppna PDF")</f>
        <v>Oppna PDF</v>
      </c>
      <c r="B2377" t="s">
        <v>6337</v>
      </c>
      <c r="C2377" t="s">
        <v>6340</v>
      </c>
      <c r="D2377" t="s">
        <v>6295</v>
      </c>
      <c r="E2377" t="s">
        <v>6339</v>
      </c>
      <c r="F2377" t="s">
        <v>6297</v>
      </c>
      <c r="G2377" t="s">
        <v>6298</v>
      </c>
      <c r="H2377" t="s">
        <v>61</v>
      </c>
      <c r="I2377" t="s">
        <v>6299</v>
      </c>
      <c r="J2377" t="s">
        <v>34</v>
      </c>
      <c r="K2377" t="s">
        <v>35</v>
      </c>
      <c r="L2377" t="s">
        <v>29</v>
      </c>
      <c r="M2377" t="s">
        <v>30</v>
      </c>
      <c r="N2377" t="s">
        <v>31</v>
      </c>
      <c r="Q2377" t="s">
        <v>6303</v>
      </c>
      <c r="R2377" t="s">
        <v>6303</v>
      </c>
    </row>
    <row r="2378" spans="1:18" x14ac:dyDescent="0.3">
      <c r="A2378" s="2" t="str">
        <f>HYPERLINK(B2378,"Oppna PDF")</f>
        <v>Oppna PDF</v>
      </c>
      <c r="B2378" t="s">
        <v>6337</v>
      </c>
      <c r="C2378" t="s">
        <v>6341</v>
      </c>
      <c r="D2378" t="s">
        <v>6295</v>
      </c>
      <c r="E2378" t="s">
        <v>6339</v>
      </c>
      <c r="F2378" t="s">
        <v>6297</v>
      </c>
      <c r="G2378" t="s">
        <v>6298</v>
      </c>
      <c r="H2378" t="s">
        <v>61</v>
      </c>
      <c r="I2378" t="s">
        <v>6299</v>
      </c>
      <c r="J2378" t="s">
        <v>87</v>
      </c>
      <c r="K2378" t="s">
        <v>88</v>
      </c>
      <c r="L2378" t="s">
        <v>29</v>
      </c>
      <c r="M2378" t="s">
        <v>30</v>
      </c>
      <c r="N2378" t="s">
        <v>31</v>
      </c>
      <c r="Q2378" t="s">
        <v>6332</v>
      </c>
      <c r="R2378" t="s">
        <v>6332</v>
      </c>
    </row>
    <row r="2379" spans="1:18" x14ac:dyDescent="0.3">
      <c r="A2379" s="2" t="str">
        <f>HYPERLINK(B2379,"Oppna PDF")</f>
        <v>Oppna PDF</v>
      </c>
      <c r="B2379" t="s">
        <v>6342</v>
      </c>
      <c r="C2379" t="s">
        <v>6343</v>
      </c>
      <c r="D2379" t="s">
        <v>6295</v>
      </c>
      <c r="E2379" t="s">
        <v>6344</v>
      </c>
      <c r="F2379" t="s">
        <v>6297</v>
      </c>
      <c r="G2379" t="s">
        <v>6298</v>
      </c>
      <c r="H2379" t="s">
        <v>61</v>
      </c>
      <c r="I2379" t="s">
        <v>6299</v>
      </c>
      <c r="J2379" t="s">
        <v>34</v>
      </c>
      <c r="K2379" t="s">
        <v>35</v>
      </c>
      <c r="L2379" t="s">
        <v>142</v>
      </c>
      <c r="M2379" t="s">
        <v>30</v>
      </c>
      <c r="N2379" t="s">
        <v>31</v>
      </c>
      <c r="Q2379" t="s">
        <v>6070</v>
      </c>
      <c r="R2379" t="s">
        <v>6070</v>
      </c>
    </row>
    <row r="2380" spans="1:18" x14ac:dyDescent="0.3">
      <c r="A2380" s="2" t="str">
        <f>HYPERLINK(B2380,"Oppna PDF")</f>
        <v>Oppna PDF</v>
      </c>
      <c r="B2380" t="s">
        <v>6342</v>
      </c>
      <c r="C2380" t="s">
        <v>6345</v>
      </c>
      <c r="D2380" t="s">
        <v>6295</v>
      </c>
      <c r="E2380" t="s">
        <v>6344</v>
      </c>
      <c r="F2380" t="s">
        <v>6297</v>
      </c>
      <c r="G2380" t="s">
        <v>6298</v>
      </c>
      <c r="H2380" t="s">
        <v>61</v>
      </c>
      <c r="I2380" t="s">
        <v>6299</v>
      </c>
      <c r="J2380" t="s">
        <v>34</v>
      </c>
      <c r="K2380" t="s">
        <v>35</v>
      </c>
      <c r="L2380" t="s">
        <v>29</v>
      </c>
      <c r="M2380" t="s">
        <v>30</v>
      </c>
      <c r="N2380" t="s">
        <v>31</v>
      </c>
      <c r="Q2380" t="s">
        <v>6303</v>
      </c>
      <c r="R2380" t="s">
        <v>6303</v>
      </c>
    </row>
    <row r="2381" spans="1:18" x14ac:dyDescent="0.3">
      <c r="A2381" s="2" t="str">
        <f>HYPERLINK(B2381,"Oppna PDF")</f>
        <v>Oppna PDF</v>
      </c>
      <c r="B2381" t="s">
        <v>6342</v>
      </c>
      <c r="C2381" t="s">
        <v>6346</v>
      </c>
      <c r="D2381" t="s">
        <v>6295</v>
      </c>
      <c r="E2381" t="s">
        <v>6344</v>
      </c>
      <c r="F2381" t="s">
        <v>6297</v>
      </c>
      <c r="G2381" t="s">
        <v>6298</v>
      </c>
      <c r="H2381" t="s">
        <v>61</v>
      </c>
      <c r="I2381" t="s">
        <v>6299</v>
      </c>
      <c r="J2381" t="s">
        <v>27</v>
      </c>
      <c r="K2381" t="s">
        <v>28</v>
      </c>
      <c r="L2381" t="s">
        <v>29</v>
      </c>
      <c r="M2381" t="s">
        <v>30</v>
      </c>
      <c r="N2381" t="s">
        <v>31</v>
      </c>
      <c r="Q2381" t="s">
        <v>6347</v>
      </c>
      <c r="R2381" t="s">
        <v>6347</v>
      </c>
    </row>
    <row r="2382" spans="1:18" x14ac:dyDescent="0.3">
      <c r="A2382" s="2" t="str">
        <f>HYPERLINK(B2382,"Oppna PDF")</f>
        <v>Oppna PDF</v>
      </c>
      <c r="B2382" t="s">
        <v>6348</v>
      </c>
      <c r="C2382" t="s">
        <v>6349</v>
      </c>
      <c r="D2382" t="s">
        <v>57</v>
      </c>
      <c r="E2382" t="s">
        <v>6350</v>
      </c>
      <c r="F2382" t="s">
        <v>59</v>
      </c>
      <c r="G2382" t="s">
        <v>60</v>
      </c>
      <c r="H2382" t="s">
        <v>61</v>
      </c>
      <c r="I2382" t="s">
        <v>62</v>
      </c>
      <c r="J2382" t="s">
        <v>91</v>
      </c>
      <c r="K2382" t="s">
        <v>92</v>
      </c>
      <c r="L2382" t="s">
        <v>142</v>
      </c>
      <c r="M2382" t="s">
        <v>30</v>
      </c>
      <c r="N2382" t="s">
        <v>31</v>
      </c>
      <c r="Q2382" t="s">
        <v>6351</v>
      </c>
      <c r="R2382" t="s">
        <v>6352</v>
      </c>
    </row>
    <row r="2383" spans="1:18" x14ac:dyDescent="0.3">
      <c r="A2383" s="2" t="str">
        <f>HYPERLINK(B2383,"Oppna PDF")</f>
        <v>Oppna PDF</v>
      </c>
      <c r="B2383" t="s">
        <v>6348</v>
      </c>
      <c r="C2383" t="s">
        <v>6353</v>
      </c>
      <c r="D2383" t="s">
        <v>57</v>
      </c>
      <c r="E2383" t="s">
        <v>6350</v>
      </c>
      <c r="F2383" t="s">
        <v>59</v>
      </c>
      <c r="G2383" t="s">
        <v>60</v>
      </c>
      <c r="H2383" t="s">
        <v>61</v>
      </c>
      <c r="I2383" t="s">
        <v>62</v>
      </c>
      <c r="J2383" t="s">
        <v>27</v>
      </c>
      <c r="K2383" t="s">
        <v>28</v>
      </c>
      <c r="L2383" t="s">
        <v>300</v>
      </c>
      <c r="M2383" t="s">
        <v>30</v>
      </c>
      <c r="N2383" t="s">
        <v>31</v>
      </c>
      <c r="Q2383" t="s">
        <v>890</v>
      </c>
      <c r="R2383" t="s">
        <v>890</v>
      </c>
    </row>
    <row r="2384" spans="1:18" x14ac:dyDescent="0.3">
      <c r="A2384" s="2" t="str">
        <f>HYPERLINK(B2384,"Oppna PDF")</f>
        <v>Oppna PDF</v>
      </c>
      <c r="B2384" t="s">
        <v>6348</v>
      </c>
      <c r="C2384" t="s">
        <v>6354</v>
      </c>
      <c r="D2384" t="s">
        <v>57</v>
      </c>
      <c r="E2384" t="s">
        <v>6350</v>
      </c>
      <c r="F2384" t="s">
        <v>59</v>
      </c>
      <c r="G2384" t="s">
        <v>60</v>
      </c>
      <c r="H2384" t="s">
        <v>61</v>
      </c>
      <c r="I2384" t="s">
        <v>62</v>
      </c>
      <c r="J2384" t="s">
        <v>87</v>
      </c>
      <c r="K2384" t="s">
        <v>88</v>
      </c>
      <c r="L2384" t="s">
        <v>29</v>
      </c>
      <c r="M2384" t="s">
        <v>30</v>
      </c>
      <c r="N2384" t="s">
        <v>31</v>
      </c>
      <c r="Q2384" t="s">
        <v>6355</v>
      </c>
      <c r="R2384" t="s">
        <v>6355</v>
      </c>
    </row>
    <row r="2385" spans="1:18" x14ac:dyDescent="0.3">
      <c r="A2385" s="2" t="str">
        <f>HYPERLINK(B2385,"Oppna PDF")</f>
        <v>Oppna PDF</v>
      </c>
      <c r="B2385" t="s">
        <v>6356</v>
      </c>
      <c r="C2385" t="s">
        <v>6357</v>
      </c>
      <c r="D2385" t="s">
        <v>57</v>
      </c>
      <c r="E2385" t="s">
        <v>6358</v>
      </c>
      <c r="F2385" t="s">
        <v>59</v>
      </c>
      <c r="G2385" t="s">
        <v>60</v>
      </c>
      <c r="H2385" t="s">
        <v>61</v>
      </c>
      <c r="I2385" t="s">
        <v>62</v>
      </c>
      <c r="J2385" t="s">
        <v>48</v>
      </c>
      <c r="K2385" t="s">
        <v>49</v>
      </c>
      <c r="L2385" t="s">
        <v>142</v>
      </c>
      <c r="M2385" t="s">
        <v>30</v>
      </c>
      <c r="N2385" t="s">
        <v>31</v>
      </c>
      <c r="Q2385" t="s">
        <v>6359</v>
      </c>
      <c r="R2385" t="s">
        <v>6360</v>
      </c>
    </row>
    <row r="2386" spans="1:18" x14ac:dyDescent="0.3">
      <c r="A2386" s="2" t="str">
        <f>HYPERLINK(B2386,"Oppna PDF")</f>
        <v>Oppna PDF</v>
      </c>
      <c r="B2386" t="s">
        <v>6356</v>
      </c>
      <c r="C2386" t="s">
        <v>6361</v>
      </c>
      <c r="D2386" t="s">
        <v>57</v>
      </c>
      <c r="E2386" t="s">
        <v>6358</v>
      </c>
      <c r="F2386" t="s">
        <v>59</v>
      </c>
      <c r="G2386" t="s">
        <v>60</v>
      </c>
      <c r="H2386" t="s">
        <v>61</v>
      </c>
      <c r="I2386" t="s">
        <v>62</v>
      </c>
      <c r="J2386" t="s">
        <v>87</v>
      </c>
      <c r="K2386" t="s">
        <v>88</v>
      </c>
      <c r="L2386" t="s">
        <v>29</v>
      </c>
      <c r="M2386" t="s">
        <v>30</v>
      </c>
      <c r="N2386" t="s">
        <v>31</v>
      </c>
      <c r="Q2386" t="s">
        <v>6362</v>
      </c>
      <c r="R2386" t="s">
        <v>6362</v>
      </c>
    </row>
  </sheetData>
  <autoFilter ref="A1:S2386" xr:uid="{CB2044F6-6B1C-47E5-8C50-F393270C729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PivotGuide</vt:lpstr>
      <vt:lpstr>Verifiering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Jimmy Bruce</cp:lastModifiedBy>
  <dcterms:created xsi:type="dcterms:W3CDTF">2026-03-04T12:33:47Z</dcterms:created>
  <dcterms:modified xsi:type="dcterms:W3CDTF">2026-03-04T12:34:58Z</dcterms:modified>
</cp:coreProperties>
</file>