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mmy\Desktop\Examens arbete\Kod\Ny mapp\remix_-copy-of-miljöbeslut.se-portal\docs\qa\requirements-model\"/>
    </mc:Choice>
  </mc:AlternateContent>
  <xr:revisionPtr revIDLastSave="0" documentId="8_{E0CE5EFE-117B-4550-9C96-BA6E4AEE1B9D}" xr6:coauthVersionLast="47" xr6:coauthVersionMax="47" xr10:uidLastSave="{00000000-0000-0000-0000-000000000000}"/>
  <bookViews>
    <workbookView xWindow="-108" yWindow="-108" windowWidth="23256" windowHeight="12456" xr2:uid="{7187ECCD-EEEA-4EB6-B6F8-709F1F65367F}"/>
  </bookViews>
  <sheets>
    <sheet name="requirement_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" l="1"/>
  <c r="J16" i="1"/>
  <c r="H51" i="1"/>
  <c r="J51" i="1"/>
  <c r="H72" i="1"/>
  <c r="J72" i="1"/>
  <c r="H74" i="1"/>
  <c r="J74" i="1"/>
  <c r="H79" i="1"/>
  <c r="J79" i="1"/>
  <c r="H82" i="1"/>
  <c r="J82" i="1"/>
  <c r="H87" i="1"/>
  <c r="J87" i="1"/>
  <c r="H92" i="1"/>
  <c r="J92" i="1"/>
  <c r="H94" i="1"/>
  <c r="J94" i="1"/>
  <c r="H132" i="1"/>
  <c r="J132" i="1"/>
</calcChain>
</file>

<file path=xl/sharedStrings.xml><?xml version="1.0" encoding="utf-8"?>
<sst xmlns="http://schemas.openxmlformats.org/spreadsheetml/2006/main" count="3344" uniqueCount="1579">
  <si>
    <t>CaseId</t>
  </si>
  <si>
    <t>DocumentId</t>
  </si>
  <si>
    <t>PdfViewUrl</t>
  </si>
  <si>
    <t>PdfOpenLinkSv</t>
  </si>
  <si>
    <t>PdfOpenLinkEn</t>
  </si>
  <si>
    <t>ProjectId</t>
  </si>
  <si>
    <t>OrganisationId</t>
  </si>
  <si>
    <t>Kommun</t>
  </si>
  <si>
    <t>Myndighetstyp</t>
  </si>
  <si>
    <t>Myndighet</t>
  </si>
  <si>
    <t>Diarienummer</t>
  </si>
  <si>
    <t>Dokumenttyp</t>
  </si>
  <si>
    <t>Dokumentdatum</t>
  </si>
  <si>
    <t>KallaFil</t>
  </si>
  <si>
    <t>Kallrubrik</t>
  </si>
  <si>
    <t>CaseReviewStatus</t>
  </si>
  <si>
    <t>ValidatedBy</t>
  </si>
  <si>
    <t>ValidatedAt</t>
  </si>
  <si>
    <t>Notes</t>
  </si>
  <si>
    <t>ADMIN-INDEX-2026-02-27-00000000125C043F57453246863FE664CAFE6A3F0700950291EA24F0614FB6ACEDB12BF0E31D00000000010C0000950291EA24F0614FB6ACEDB12BF0E31D00002087B1E10000</t>
  </si>
  <si>
    <t>cmm4yumxa005ecuqwd2rfqss7</t>
  </si>
  <si>
    <t>http://localhost:8787/api/admin/requirements/documents/cmm4yumxa005ecuqwd2rfqss7/view</t>
  </si>
  <si>
    <t>=HYPERLÃ„NK("http://localhost:8787/api/admin/requirements/documents/cmm4yumxa005ecuqwd2rfqss7/view";"Ã–ppna PDF")</t>
  </si>
  <si>
    <t>=HYPERLINK("http://localhost:8787/api/admin/requirements/documents/cmm4yumxa005ecuqwd2rfqss7/view","Open PDF")</t>
  </si>
  <si>
    <t>cmm55w57p0004cuisfrtpqly8</t>
  </si>
  <si>
    <t>cmm4xvu980000cuh4vj0usz09</t>
  </si>
  <si>
    <t>VÃ¤sterviks</t>
  </si>
  <si>
    <t>VÃ¤sterviks kommun</t>
  </si>
  <si>
    <t>Anmalan</t>
  </si>
  <si>
    <t>2024-786 AnmÃ¤lan.pdf</t>
  </si>
  <si>
    <t>Sv: till registrator</t>
  </si>
  <si>
    <t>AUTO</t>
  </si>
  <si>
    <t>AUTO_GENERERAD. Bekrafta metadata mot kallfil.</t>
  </si>
  <si>
    <t>ADMIN-INDEX-2026-02-27-00000000125C043F57453246863FE664CAFE6A3F0700950291EA24F0614FB6ACEDB12BF0E31D00000000010C0000950291EA24F0614FB6ACEDB12BF0E31D00002087B1D20000</t>
  </si>
  <si>
    <t>cmm4yumyz0075cuqwsj0akxcx</t>
  </si>
  <si>
    <t>http://localhost:8787/api/admin/requirements/documents/cmm4yumyz0075cuqwsj0akxcx/view</t>
  </si>
  <si>
    <t>=HYPERLÃ„NK("http://localhost:8787/api/admin/requirements/documents/cmm4yumyz0075cuqwsj0akxcx/view";"Ã–ppna PDF")</t>
  </si>
  <si>
    <t>=HYPERLINK("http://localhost:8787/api/admin/requirements/documents/cmm4yumyz0075cuqwsj0akxcx/view","Open PDF")</t>
  </si>
  <si>
    <t>Falkenberg Postadress Falkenbergs</t>
  </si>
  <si>
    <t>Falkenberg Postadress Falkenbergs kommun</t>
  </si>
  <si>
    <t>Beslut</t>
  </si>
  <si>
    <t>M-2024-2727_2025-01-10_Beslut (MHF MHN)_VÃ¤stra GÃ¤rdet 2 1.pdf</t>
  </si>
  <si>
    <t>efterfrÃ¥gade handlingar</t>
  </si>
  <si>
    <t>ADMIN-INDEX-2026-02-27-00000000125C043F57453246863FE664CAFE6A3F0700950291EA24F0614FB6ACEDB12BF0E31D00000000010C0000950291EA24F0614FB6ACEDB12BF0E31D00002087B1DD0000</t>
  </si>
  <si>
    <t>cmm4yumy7006ecuqwnx9sxuen</t>
  </si>
  <si>
    <t>http://localhost:8787/api/admin/requirements/documents/cmm4yumy7006ecuqwnx9sxuen/view</t>
  </si>
  <si>
    <t>=HYPERLÃ„NK("http://localhost:8787/api/admin/requirements/documents/cmm4yumy7006ecuqwnx9sxuen/view";"Ã–ppna PDF")</t>
  </si>
  <si>
    <t>=HYPERLINK("http://localhost:8787/api/admin/requirements/documents/cmm4yumy7006ecuqwnx9sxuen/view","Open PDF")</t>
  </si>
  <si>
    <t>2024-06150267</t>
  </si>
  <si>
    <t>Deponi 1301_177-2024-06150267_01 (1).pdf</t>
  </si>
  <si>
    <t>Re: till registrator</t>
  </si>
  <si>
    <t>ADMIN-INDEX-2026-02-27-00000000125C043F57453246863FE664CAFE6A3F0700950291EA24F0614FB6ACEDB12BF0E31D00000000010C0000950291EA24F0614FB6ACEDB12BF0E31D00002087B1D50000</t>
  </si>
  <si>
    <t>cmm4yumye006kcuqwoqjb4otw</t>
  </si>
  <si>
    <t>http://localhost:8787/api/admin/requirements/documents/cmm4yumye006kcuqwoqjb4otw/view</t>
  </si>
  <si>
    <t>=HYPERLÃ„NK("http://localhost:8787/api/admin/requirements/documents/cmm4yumye006kcuqwoqjb4otw/view";"Ã–ppna PDF")</t>
  </si>
  <si>
    <t>=HYPERLINK("http://localhost:8787/api/admin/requirements/documents/cmm4yumye006kcuqwoqjb4otw/view","Open PDF")</t>
  </si>
  <si>
    <t>FurunÃ¤sets miljÃ¶central Ã–verkalix</t>
  </si>
  <si>
    <t>FurunÃ¤sets miljÃ¶central Ã–verkalix kommun</t>
  </si>
  <si>
    <t>Egenkontrollprogram FMC_sep 2020_med bilagor_200917.pdf</t>
  </si>
  <si>
    <t>Sv: frÃ¥ga om sophÃ¤mtning</t>
  </si>
  <si>
    <t>ADMIN-INDEX-2026-02-27-00000000125C043F57453246863FE664CAFE6A3F0700950291EA24F0614FB6ACEDB12BF0E31D00000000010C0000950291EA24F0614FB6ACEDB12BF0E31D00002087B5EE0000</t>
  </si>
  <si>
    <t>cmm4yumvp003zcuqwqxlxa6rl</t>
  </si>
  <si>
    <t>http://localhost:8787/api/admin/requirements/documents/cmm4yumvp003zcuqwqxlxa6rl/view</t>
  </si>
  <si>
    <t>=HYPERLÃ„NK("http://localhost:8787/api/admin/requirements/documents/cmm4yumvp003zcuqwqxlxa6rl/view";"Ã–ppna PDF")</t>
  </si>
  <si>
    <t>=HYPERLINK("http://localhost:8787/api/admin/requirements/documents/cmm4yumvp003zcuqwqxlxa6rl/view","Open PDF")</t>
  </si>
  <si>
    <t>i Haparanda</t>
  </si>
  <si>
    <t>i Haparanda kommun</t>
  </si>
  <si>
    <t>Sbn-2025-457-Beslut anmÃ¤lan om miljÃ¶farlig verksamhet.pdf</t>
  </si>
  <si>
    <t>FÃ¶rfrÃ¥gan C-verksamheter</t>
  </si>
  <si>
    <t>ADMIN-INDEX-2026-02-27-00000000125C043F57453246863FE664CAFE6A3F0700950291EA24F0614FB6ACEDB12BF0E31D00000000010C0000950291EA24F0614FB6ACEDB12BF0E31D00002087B5F30000</t>
  </si>
  <si>
    <t>cmm4yumv4003hcuqw0spjrgud</t>
  </si>
  <si>
    <t>http://localhost:8787/api/admin/requirements/documents/cmm4yumv4003hcuqw0spjrgud/view</t>
  </si>
  <si>
    <t>=HYPERLÃ„NK("http://localhost:8787/api/admin/requirements/documents/cmm4yumv4003hcuqw0spjrgud/view";"Ã–ppna PDF")</t>
  </si>
  <si>
    <t>=HYPERLINK("http://localhost:8787/api/admin/requirements/documents/cmm4yumv4003hcuqw0spjrgud/view","Open PDF")</t>
  </si>
  <si>
    <t>MBN-2026-126-Ã–vrigt-0840-106.pdf</t>
  </si>
  <si>
    <t>VB: till registrator</t>
  </si>
  <si>
    <t>ADMIN-INDEX-2026-02-27-00000000125C043F57453246863FE664CAFE6A3F0700950291EA24F0614FB6ACEDB12BF0E31D00000000010C0000950291EA24F0614FB6ACEDB12BF0E31D00002087B7B90000</t>
  </si>
  <si>
    <t>cmm4yumue002wcuqwf5lxobhn</t>
  </si>
  <si>
    <t>http://localhost:8787/api/admin/requirements/documents/cmm4yumue002wcuqwf5lxobhn/view</t>
  </si>
  <si>
    <t>=HYPERLÃ„NK("http://localhost:8787/api/admin/requirements/documents/cmm4yumue002wcuqwf5lxobhn/view";"Ã–ppna PDF")</t>
  </si>
  <si>
    <t>=HYPERLINK("http://localhost:8787/api/admin/requirements/documents/cmm4yumue002wcuqwf5lxobhn/view","Open PDF")</t>
  </si>
  <si>
    <t>pdf Karlstads</t>
  </si>
  <si>
    <t>pdf Karlstads kommun</t>
  </si>
  <si>
    <t>Forelaggande</t>
  </si>
  <si>
    <t>MIL FÃ¶relÃ¤ggande fÃ¶rsiktighetsÃ¥tgÃ¤rder (3).pdf</t>
  </si>
  <si>
    <t>Ang. BegÃ¤ran om utlÃ¤mnande av allmÃ¤n handling â€“ AnmÃ¤lningar och beslut rÃ¶rande mellanlagring av avfall samt anlÃ¤ggning av ytor</t>
  </si>
  <si>
    <t>ADMIN-INDEX-2026-02-27-00000000125C043F57453246863FE664CAFE6A3F0700950291EA24F0614FB6ACEDB12BF0E31D00000000010C0000950291EA24F0614FB6ACEDB12BF0E31D00002087B7BA0000</t>
  </si>
  <si>
    <t>cmm4yumu4002ncuqwsv6yg2uz</t>
  </si>
  <si>
    <t>http://localhost:8787/api/admin/requirements/documents/cmm4yumu4002ncuqwsv6yg2uz/view</t>
  </si>
  <si>
    <t>=HYPERLÃ„NK("http://localhost:8787/api/admin/requirements/documents/cmm4yumu4002ncuqwsv6yg2uz/view";"Ã–ppna PDF")</t>
  </si>
  <si>
    <t>=HYPERLINK("http://localhost:8787/api/admin/requirements/documents/cmm4yumu4002ncuqwsv6yg2uz/view","Open PDF")</t>
  </si>
  <si>
    <t>MiljÃ¶-2024-62-1_Bilaga 2. FullstÃ¤ndiga analysprotokoll.pdf</t>
  </si>
  <si>
    <t>Sv:  BegÃ¤ran om utlÃ¤mnande av allmÃ¤n handling â€“ AnmÃ¤lningar och beslut rÃ¶rande mellanlagring av avfall samt anlÃ¤ggning av ytor</t>
  </si>
  <si>
    <t>ADMIN-INDEX-2026-02-27-00000000125C043F57453246863FE664CAFE6A3F0700950291EA24F0614FB6ACEDB12BF0E31D00000000010C0000950291EA24F0614FB6ACEDB12BF0E31D00002087AE560000</t>
  </si>
  <si>
    <t>cmm4yupsi02xhcuqwgbgcjc0r</t>
  </si>
  <si>
    <t>http://localhost:8787/api/admin/requirements/documents/cmm4yupsi02xhcuqwgbgcjc0r/view</t>
  </si>
  <si>
    <t>=HYPERLÃ„NK("http://localhost:8787/api/admin/requirements/documents/cmm4yupsi02xhcuqwgbgcjc0r/view";"Ã–ppna PDF")</t>
  </si>
  <si>
    <t>=HYPERLINK("http://localhost:8787/api/admin/requirements/documents/cmm4yupsi02xhcuqwgbgcjc0r/view","Open PDF")</t>
  </si>
  <si>
    <t>2024-576</t>
  </si>
  <si>
    <t>SÃ¤kerhetsdatablad Nordic Shampoo.pdf</t>
  </si>
  <si>
    <t>ADMIN-INDEX-2026-02-27-00000000125C043F57453246863FE664CAFE6A3F0700950291EA24F0614FB6ACEDB12BF0E31D00000000010C0000950291EA24F0614FB6ACEDB12BF0E31D00002087AE390000</t>
  </si>
  <si>
    <t>cmm4yuq2p036zcuqwaceu4qia</t>
  </si>
  <si>
    <t>http://localhost:8787/api/admin/requirements/documents/cmm4yuq2p036zcuqwaceu4qia/view</t>
  </si>
  <si>
    <t>=HYPERLÃ„NK("http://localhost:8787/api/admin/requirements/documents/cmm4yuq2p036zcuqwaceu4qia/view";"Ã–ppna PDF")</t>
  </si>
  <si>
    <t>=HYPERLINK("http://localhost:8787/api/admin/requirements/documents/cmm4yuq2p036zcuqwaceu4qia/view","Open PDF")</t>
  </si>
  <si>
    <t>Lilla Edets</t>
  </si>
  <si>
    <t>Lilla Edets kommun</t>
  </si>
  <si>
    <t>MB-2024-625-1 13.3 MiljÃ¶teknisk markundersÃ¶kning.pdf</t>
  </si>
  <si>
    <t>ADMIN-INDEX-2026-02-27-00000000125C043F57453246863FE664CAFE6A3F0700950291EA24F0614FB6ACEDB12BF0E31D00000000010C0000950291EA24F0614FB6ACEDB12BF0E31D00002087AE050000</t>
  </si>
  <si>
    <t>cmm4yuqbf03fecuqw8hit9x13</t>
  </si>
  <si>
    <t>http://localhost:8787/api/admin/requirements/documents/cmm4yuqbf03fecuqw8hit9x13/view</t>
  </si>
  <si>
    <t>=HYPERLÃ„NK("http://localhost:8787/api/admin/requirements/documents/cmm4yuqbf03fecuqw8hit9x13/view";"Ã–ppna PDF")</t>
  </si>
  <si>
    <t>=HYPERLINK("http://localhost:8787/api/admin/requirements/documents/cmm4yuqbf03fecuqw8hit9x13/view","Open PDF")</t>
  </si>
  <si>
    <t>i Huddinge</t>
  </si>
  <si>
    <t>i Huddinge kommun</t>
  </si>
  <si>
    <t>2025-2029</t>
  </si>
  <si>
    <t>M-2025-2937 Beslut om fÃ¶relÃ¤ggande fÃ¶rsiktighetsmÃ¥tt.pdf</t>
  </si>
  <si>
    <t>Sv: till registrator [2026SC9796]</t>
  </si>
  <si>
    <t>ADMIN-INDEX-2026-02-27-00000000125C043F57453246863FE664CAFE6A3F0700950291EA24F0614FB6ACEDB12BF0E31D00000000010C0000950291EA24F0614FB6ACEDB12BF0E31D00002087A5DB0000</t>
  </si>
  <si>
    <t>cmm4yuqq103u2cuqwxq5c1oxv</t>
  </si>
  <si>
    <t>http://localhost:8787/api/admin/requirements/documents/cmm4yuqq103u2cuqwxq5c1oxv/view</t>
  </si>
  <si>
    <t>=HYPERLÃ„NK("http://localhost:8787/api/admin/requirements/documents/cmm4yuqq103u2cuqwxq5c1oxv/view";"Ã–ppna PDF")</t>
  </si>
  <si>
    <t>=HYPERLINK("http://localhost:8787/api/admin/requirements/documents/cmm4yuqq103u2cuqwxq5c1oxv/view","Open PDF")</t>
  </si>
  <si>
    <t>HÃ¤ssleholms</t>
  </si>
  <si>
    <t>HÃ¤ssleholms kommun</t>
  </si>
  <si>
    <t>0451-26</t>
  </si>
  <si>
    <t>M-2025-1599 - MFV C-verksamhet.pdf</t>
  </si>
  <si>
    <t>ADMIN-INDEX-2026-02-27-00000000125C043F57453246863FE664CAFE6A3F0700950291EA24F0614FB6ACEDB12BF0E31D00000000010C0000950291EA24F0614FB6ACEDB12BF0E31D00002087AE3A0000</t>
  </si>
  <si>
    <t>cmm4yuq04034hcuqwue9hvqhc</t>
  </si>
  <si>
    <t>http://localhost:8787/api/admin/requirements/documents/cmm4yuq04034hcuqwue9hvqhc/view</t>
  </si>
  <si>
    <t>=HYPERLÃ„NK("http://localhost:8787/api/admin/requirements/documents/cmm4yuq04034hcuqwue9hvqhc/view";"Ã–ppna PDF")</t>
  </si>
  <si>
    <t>=HYPERLINK("http://localhost:8787/api/admin/requirements/documents/cmm4yuq04034hcuqwue9hvqhc/view","Open PDF")</t>
  </si>
  <si>
    <t>MB-2024-625-7 13.3 MiljÃ¶teknisk markundersÃ¶kning m bilagor.pdf</t>
  </si>
  <si>
    <t>ADMIN-INDEX-2026-02-27-00000000125C043F57453246863FE664CAFE6A3F0700950291EA24F0614FB6ACEDB12BF0E31D00000000010C0000950291EA24F0614FB6ACEDB12BF0E31D00002087A5BD0000</t>
  </si>
  <si>
    <t>cmm4yur13043ncuqw78adtuo1</t>
  </si>
  <si>
    <t>http://localhost:8787/api/admin/requirements/documents/cmm4yur13043ncuqw78adtuo1/view</t>
  </si>
  <si>
    <t>=HYPERLÃ„NK("http://localhost:8787/api/admin/requirements/documents/cmm4yur13043ncuqw78adtuo1/view";"Ã–ppna PDF")</t>
  </si>
  <si>
    <t>=HYPERLINK("http://localhost:8787/api/admin/requirements/documents/cmm4yur13043ncuqw78adtuo1/view","Open PDF")</t>
  </si>
  <si>
    <t>MiljÃ¶prÃ¶vningsdelegationen Jokkmokks</t>
  </si>
  <si>
    <t>MiljÃ¶prÃ¶vningsdelegationen Jokkmokks kommun</t>
  </si>
  <si>
    <t>2013:251</t>
  </si>
  <si>
    <t>Beslut(26289851) (0)_TMP.pdf</t>
  </si>
  <si>
    <t>ADMIN-INDEX-2026-02-27-00000000125C043F57453246863FE664CAFE6A3F0700950291EA24F0614FB6ACEDB12BF0E31D00000000010C0000950291EA24F0614FB6ACEDB12BF0E31D00002087B1790000</t>
  </si>
  <si>
    <t>cmm4yunmd00twcuqw2m7dyyg5</t>
  </si>
  <si>
    <t>http://localhost:8787/api/admin/requirements/documents/cmm4yunmd00twcuqw2m7dyyg5/view</t>
  </si>
  <si>
    <t>=HYPERLÃ„NK("http://localhost:8787/api/admin/requirements/documents/cmm4yunmd00twcuqw2m7dyyg5/view";"Ã–ppna PDF")</t>
  </si>
  <si>
    <t>=HYPERLINK("http://localhost:8787/api/admin/requirements/documents/cmm4yunmd00twcuqw2m7dyyg5/view","Open PDF")</t>
  </si>
  <si>
    <t>MBNV-2024-602_2024-05-15_AnmÃ¤lan.pdf</t>
  </si>
  <si>
    <t>SV: till registrator</t>
  </si>
  <si>
    <t>ADMIN-INDEX-2026-02-27-00000000125C043F57453246863FE664CAFE6A3F0700950291EA24F0614FB6ACEDB12BF0E31D00000000010C0000950291EA24F0614FB6ACEDB12BF0E31D00002087AE340000</t>
  </si>
  <si>
    <t>cmm4yuq3a037kcuqwpi0d7k4c</t>
  </si>
  <si>
    <t>http://localhost:8787/api/admin/requirements/documents/cmm4yuq3a037kcuqwpi0d7k4c/view</t>
  </si>
  <si>
    <t>=HYPERLÃ„NK("http://localhost:8787/api/admin/requirements/documents/cmm4yuq3a037kcuqwpi0d7k4c/view";"Ã–ppna PDF")</t>
  </si>
  <si>
    <t>=HYPERLINK("http://localhost:8787/api/admin/requirements/documents/cmm4yuq3a037kcuqwpi0d7k4c/view","Open PDF")</t>
  </si>
  <si>
    <t>Analysresultat - Muraren 4.pdf</t>
  </si>
  <si>
    <t>ADMIN-INDEX-2026-02-27-00000000125C043F57453246863FE664CAFE6A3F0700950291EA24F0614FB6ACEDB12BF0E31D00000000010C0000950291EA24F0614FB6ACEDB12BF0E31D00002087A59A0000</t>
  </si>
  <si>
    <t>cmm4yur6y048tcuqwl5ag5aul</t>
  </si>
  <si>
    <t>http://localhost:8787/api/admin/requirements/documents/cmm4yur6y048tcuqwl5ag5aul/view</t>
  </si>
  <si>
    <t>=HYPERLÃ„NK("http://localhost:8787/api/admin/requirements/documents/cmm4yur6y048tcuqwl5ag5aul/view";"Ã–ppna PDF")</t>
  </si>
  <si>
    <t>=HYPERLINK("http://localhost:8787/api/admin/requirements/documents/cmm4yur6y048tcuqwl5ag5aul/view","Open PDF")</t>
  </si>
  <si>
    <t>MN-2025-455-4 Krossning.pdf</t>
  </si>
  <si>
    <t>AnmÃ¤lningspliktiga verksamheter rÃ¶rande avfall</t>
  </si>
  <si>
    <t>ADMIN-INDEX-2026-02-27-00000000125C043F57453246863FE664CAFE6A3F0700950291EA24F0614FB6ACEDB12BF0E31D00000000010C0000950291EA24F0614FB6ACEDB12BF0E31D00002087A59F0000</t>
  </si>
  <si>
    <t>cmm4yur5z047wcuqwz6szyfhk</t>
  </si>
  <si>
    <t>http://localhost:8787/api/admin/requirements/documents/cmm4yur5z047wcuqwz6szyfhk/view</t>
  </si>
  <si>
    <t>=HYPERLÃ„NK("http://localhost:8787/api/admin/requirements/documents/cmm4yur5z047wcuqwz6szyfhk/view";"Ã–ppna PDF")</t>
  </si>
  <si>
    <t>=HYPERLINK("http://localhost:8787/api/admin/requirements/documents/cmm4yur5z047wcuqwz6szyfhk/view","Open PDF")</t>
  </si>
  <si>
    <t>Ã…tvidabergs</t>
  </si>
  <si>
    <t>Ã…tvidabergs kommun</t>
  </si>
  <si>
    <t>MK-2025-452-6_Beslut_2025-11-14.pdf</t>
  </si>
  <si>
    <t>BegÃ¤rda handlingar</t>
  </si>
  <si>
    <t>ADMIN-INDEX-2026-02-27-00000000125C043F57453246863FE664CAFE6A3F0700950291EA24F0614FB6ACEDB12BF0E31D00000000010C0000950291EA24F0614FB6ACEDB12BF0E31D00002087AE450000</t>
  </si>
  <si>
    <t>cmm4yupwf031ecuqwcuwsaack</t>
  </si>
  <si>
    <t>http://localhost:8787/api/admin/requirements/documents/cmm4yupwf031ecuqwcuwsaack/view</t>
  </si>
  <si>
    <t>=HYPERLÃ„NK("http://localhost:8787/api/admin/requirements/documents/cmm4yupwf031ecuqwcuwsaack/view";"Ã–ppna PDF")</t>
  </si>
  <si>
    <t>=HYPERLINK("http://localhost:8787/api/admin/requirements/documents/cmm4yupwf031ecuqwcuwsaack/view","Open PDF")</t>
  </si>
  <si>
    <t>AnmÃ¤lan miljÃ¶farlig verksamhet v1.pdf</t>
  </si>
  <si>
    <t>Verksamhet i Tidaholm</t>
  </si>
  <si>
    <t>ADMIN-INDEX-2026-02-27-00000000125C043F57453246863FE664CAFE6A3F0700950291EA24F0614FB6ACEDB12BF0E31D00000000010C0000950291EA24F0614FB6ACEDB12BF0E31D00002087AE460000</t>
  </si>
  <si>
    <t>cmm4yupvw030wcuqwlg1cpc8c</t>
  </si>
  <si>
    <t>http://localhost:8787/api/admin/requirements/documents/cmm4yupvw030wcuqwlg1cpc8c/view</t>
  </si>
  <si>
    <t>=HYPERLÃ„NK("http://localhost:8787/api/admin/requirements/documents/cmm4yupvw030wcuqwlg1cpc8c/view";"Ã–ppna PDF")</t>
  </si>
  <si>
    <t>=HYPERLINK("http://localhost:8787/api/admin/requirements/documents/cmm4yupvw030wcuqwlg1cpc8c/view","Open PDF")</t>
  </si>
  <si>
    <t>AnmÃ¤lan miljÃ¶farlig verksamhet.pdf</t>
  </si>
  <si>
    <t>ADMIN-INDEX-2026-02-27-00000000125C043F57453246863FE664CAFE6A3F0700950291EA24F0614FB6ACEDB12BF0E31D00000000010C0000950291EA24F0614FB6ACEDB12BF0E31D00002087A5DC0000</t>
  </si>
  <si>
    <t>cmm4yuqnj03rhcuqw5kt2masi</t>
  </si>
  <si>
    <t>http://localhost:8787/api/admin/requirements/documents/cmm4yuqnj03rhcuqw5kt2masi/view</t>
  </si>
  <si>
    <t>=HYPERLÃ„NK("http://localhost:8787/api/admin/requirements/documents/cmm4yuqnj03rhcuqw5kt2masi/view";"Ã–ppna PDF")</t>
  </si>
  <si>
    <t>=HYPERLINK("http://localhost:8787/api/admin/requirements/documents/cmm4yuqnj03rhcuqw5kt2masi/view","Open PDF")</t>
  </si>
  <si>
    <t>M-2025-2674 - Avskrivning.pdf</t>
  </si>
  <si>
    <t>ADMIN-INDEX-2026-02-27-00000000125C043F57453246863FE664CAFE6A3F0700950291EA24F0614FB6ACEDB12BF0E31D00000000010C0000950291EA24F0614FB6ACEDB12BF0E31D00002087AE4B0000</t>
  </si>
  <si>
    <t>cmm4yupvf030ecuqwvyai5yx8</t>
  </si>
  <si>
    <t>http://localhost:8787/api/admin/requirements/documents/cmm4yupvf030ecuqwvyai5yx8/view</t>
  </si>
  <si>
    <t>=HYPERLÃ„NK("http://localhost:8787/api/admin/requirements/documents/cmm4yupvf030ecuqwvyai5yx8/view";"Ã–ppna PDF")</t>
  </si>
  <si>
    <t>=HYPERLINK("http://localhost:8787/api/admin/requirements/documents/cmm4yupvf030ecuqwvyai5yx8/view","Open PDF")</t>
  </si>
  <si>
    <t>AnmÃ¤lan Hynboholm terminal 240313_Redacted.pdf</t>
  </si>
  <si>
    <t>VB:  BegÃ¤ran om utlÃ¤mnande av allmÃ¤n handling â€“ AnmÃ¤lningar och beslut rÃ¶rande mellanlagring av avfall samt anlÃ¤ggning av ytor</t>
  </si>
  <si>
    <t>ADMIN-INDEX-2026-02-27-00000000125C043F57453246863FE664CAFE6A3F0700950291EA24F0614FB6ACEDB12BF0E31D00000000010C0000950291EA24F0614FB6ACEDB12BF0E31D00002087AE4C0000</t>
  </si>
  <si>
    <t>cmm4yupv90308cuqwbgubbii1</t>
  </si>
  <si>
    <t>http://localhost:8787/api/admin/requirements/documents/cmm4yupv90308cuqwbgubbii1/view</t>
  </si>
  <si>
    <t>=HYPERLÃ„NK("http://localhost:8787/api/admin/requirements/documents/cmm4yupv90308cuqwbgubbii1/view";"Ã–ppna PDF")</t>
  </si>
  <si>
    <t>=HYPERLINK("http://localhost:8787/api/admin/requirements/documents/cmm4yupv90308cuqwbgubbii1/view","Open PDF")</t>
  </si>
  <si>
    <t>ADMIN-INDEX-2026-02-27-00000000125C043F57453246863FE664CAFE6A3F0700950291EA24F0614FB6ACEDB12BF0E31D00000000010C0000950291EA24F0614FB6ACEDB12BF0E31D00002087AE550000</t>
  </si>
  <si>
    <t>cmm4yupu002yzcuqw92mpgtbw</t>
  </si>
  <si>
    <t>http://localhost:8787/api/admin/requirements/documents/cmm4yupu002yzcuqw92mpgtbw/view</t>
  </si>
  <si>
    <t>=HYPERLÃ„NK("http://localhost:8787/api/admin/requirements/documents/cmm4yupu002yzcuqw92mpgtbw/view";"Ã–ppna PDF")</t>
  </si>
  <si>
    <t>=HYPERLINK("http://localhost:8787/api/admin/requirements/documents/cmm4yupu002yzcuqw92mpgtbw/view","Open PDF")</t>
  </si>
  <si>
    <t>SÃ¤kerhetsdatablad Sonax Gloss Dryer.pdf</t>
  </si>
  <si>
    <t>ADMIN-INDEX-2026-02-27-00000000125C043F57453246863FE664CAFE6A3F0700950291EA24F0614FB6ACEDB12BF0E31D00000000010C0000950291EA24F0614FB6ACEDB12BF0E31D00002087A5B20000</t>
  </si>
  <si>
    <t>cmm4yur3i045ncuqwdc30ai1k</t>
  </si>
  <si>
    <t>http://localhost:8787/api/admin/requirements/documents/cmm4yur3i045ncuqwdc30ai1k/view</t>
  </si>
  <si>
    <t>=HYPERLÃ„NK("http://localhost:8787/api/admin/requirements/documents/cmm4yur3i045ncuqwdc30ai1k/view";"Ã–ppna PDF")</t>
  </si>
  <si>
    <t>=HYPERLINK("http://localhost:8787/api/admin/requirements/documents/cmm4yur3i045ncuqwdc30ai1k/view","Open PDF")</t>
  </si>
  <si>
    <t>Beslut - svar pÃ¥ anmÃ¤lan.pdf</t>
  </si>
  <si>
    <t>ADMIN-INDEX-2026-02-27-00000000125C043F57453246863FE664CAFE6A3F0700950291EA24F0614FB6ACEDB12BF0E31D00000000010C0000950291EA24F0614FB6ACEDB12BF0E31D00002087A5B70000</t>
  </si>
  <si>
    <t>cmm4yur1h043zcuqw32zc4vim</t>
  </si>
  <si>
    <t>http://localhost:8787/api/admin/requirements/documents/cmm4yur1h043zcuqw32zc4vim/view</t>
  </si>
  <si>
    <t>=HYPERLÃ„NK("http://localhost:8787/api/admin/requirements/documents/cmm4yur1h043zcuqw32zc4vim/view";"Ã–ppna PDF")</t>
  </si>
  <si>
    <t>=HYPERLINK("http://localhost:8787/api/admin/requirements/documents/cmm4yur1h043zcuqw32zc4vim/view","Open PDF")</t>
  </si>
  <si>
    <t>i Upplands VÃ¤sby</t>
  </si>
  <si>
    <t>i Upplands VÃ¤sby kommun</t>
  </si>
  <si>
    <t>MiljÃ¶teknisk markundersÃ¶kning, SkÃ¤lby 2.3.pdf</t>
  </si>
  <si>
    <t>till registrator [2026KC17362]</t>
  </si>
  <si>
    <t>ADMIN-INDEX-2026-02-27-00000000125C043F57453246863FE664CAFE6A3F0700950291EA24F0614FB6ACEDB12BF0E31D00000000010C0000950291EA24F0614FB6ACEDB12BF0E31D00002087A5C60000</t>
  </si>
  <si>
    <t>cmm4yur0a042qcuqwf2d6fl9v</t>
  </si>
  <si>
    <t>http://localhost:8787/api/admin/requirements/documents/cmm4yur0a042qcuqwf2d6fl9v/view</t>
  </si>
  <si>
    <t>=HYPERLÃ„NK("http://localhost:8787/api/admin/requirements/documents/cmm4yur0a042qcuqwf2d6fl9v/view";"Ã–ppna PDF")</t>
  </si>
  <si>
    <t>=HYPERLINK("http://localhost:8787/api/admin/requirements/documents/cmm4yur0a042qcuqwf2d6fl9v/view","Open PDF")</t>
  </si>
  <si>
    <t>MILJ20241464.pdf</t>
  </si>
  <si>
    <t>Handlingar</t>
  </si>
  <si>
    <t>ADMIN-INDEX-2026-02-27-00000000125C043F57453246863FE664CAFE6A3F0700950291EA24F0614FB6ACEDB12BF0E31D00000000010C0000950291EA24F0614FB6ACEDB12BF0E31D00002087A5CF0000</t>
  </si>
  <si>
    <t>cmm4yuqzn041zcuqwy7h3npzx</t>
  </si>
  <si>
    <t>http://localhost:8787/api/admin/requirements/documents/cmm4yuqzn041zcuqwy7h3npzx/view</t>
  </si>
  <si>
    <t>=HYPERLÃ„NK("http://localhost:8787/api/admin/requirements/documents/cmm4yuqzn041zcuqwy7h3npzx/view";"Ã–ppna PDF")</t>
  </si>
  <si>
    <t>=HYPERLINK("http://localhost:8787/api/admin/requirements/documents/cmm4yuqzn041zcuqwy7h3npzx/view","Open PDF")</t>
  </si>
  <si>
    <t>Ã„rendenr 2025-88. MaserFrakt AB. AnmÃ¤lan och Beslut (2).pdf</t>
  </si>
  <si>
    <t>ADMIN-INDEX-2026-02-27-00000000125C043F57453246863FE664CAFE6A3F0700950291EA24F0614FB6ACEDB12BF0E31D00000000010C0000950291EA24F0614FB6ACEDB12BF0E31D00002087A5D10000</t>
  </si>
  <si>
    <t>cmm4yuqwv0415cuqw0pl0005p</t>
  </si>
  <si>
    <t>http://localhost:8787/api/admin/requirements/documents/cmm4yuqwv0415cuqw0pl0005p/view</t>
  </si>
  <si>
    <t>=HYPERLÃ„NK("http://localhost:8787/api/admin/requirements/documents/cmm4yuqwv0415cuqw0pl0005p/view";"Ã–ppna PDF")</t>
  </si>
  <si>
    <t>=HYPERLINK("http://localhost:8787/api/admin/requirements/documents/cmm4yuqwv0415cuqw0pl0005p/view","Open PDF")</t>
  </si>
  <si>
    <t>0381-66</t>
  </si>
  <si>
    <t>YDR MiljÃ¶ Registrering C-anlÃ¤ggning YDM 2025 131.pdf</t>
  </si>
  <si>
    <t>ADMIN-INDEX-2026-02-27-00000000125C043F57453246863FE664CAFE6A3F0700950291EA24F0614FB6ACEDB12BF0E31D00000000010C0000950291EA24F0614FB6ACEDB12BF0E31D00002087A5D70000</t>
  </si>
  <si>
    <t>cmm4yuqwe040ncuqwqo98vhru</t>
  </si>
  <si>
    <t>http://localhost:8787/api/admin/requirements/documents/cmm4yuqwe040ncuqwqo98vhru/view</t>
  </si>
  <si>
    <t>=HYPERLÃ„NK("http://localhost:8787/api/admin/requirements/documents/cmm4yuqwe040ncuqwqo98vhru/view";"Ã–ppna PDF")</t>
  </si>
  <si>
    <t>=HYPERLINK("http://localhost:8787/api/admin/requirements/documents/cmm4yuqwe040ncuqwqo98vhru/view","Open PDF")</t>
  </si>
  <si>
    <t>2024-877</t>
  </si>
  <si>
    <t>M-2024-877 - AnmÃ¤lan.pdf</t>
  </si>
  <si>
    <t>ADMIN-INDEX-2026-02-27-00000000125C043F57453246863FE664CAFE6A3F0700950291EA24F0614FB6ACEDB12BF0E31D00000000010C0000950291EA24F0614FB6ACEDB12BF0E31D00002087A5D80000</t>
  </si>
  <si>
    <t>cmm4yuqvk03ztcuqwn64kirb8</t>
  </si>
  <si>
    <t>http://localhost:8787/api/admin/requirements/documents/cmm4yuqvk03ztcuqwn64kirb8/view</t>
  </si>
  <si>
    <t>=HYPERLÃ„NK("http://localhost:8787/api/admin/requirements/documents/cmm4yuqvk03ztcuqwn64kirb8/view";"Ã–ppna PDF")</t>
  </si>
  <si>
    <t>=HYPERLINK("http://localhost:8787/api/admin/requirements/documents/cmm4yuqvk03ztcuqwn64kirb8/view","Open PDF")</t>
  </si>
  <si>
    <t>ADMIN-INDEX-2026-02-27-00000000125C043F57453246863FE664CAFE6A3F0700950291EA24F0614FB6ACEDB12BF0E31D00000000010C0000950291EA24F0614FB6ACEDB12BF0E31D00002087A5D90000</t>
  </si>
  <si>
    <t>cmm4yuquq03yzcuqwmekbklcz</t>
  </si>
  <si>
    <t>http://localhost:8787/api/admin/requirements/documents/cmm4yuquq03yzcuqwmekbklcz/view</t>
  </si>
  <si>
    <t>=HYPERLÃ„NK("http://localhost:8787/api/admin/requirements/documents/cmm4yuquq03yzcuqwmekbklcz/view";"Ã–ppna PDF")</t>
  </si>
  <si>
    <t>=HYPERLINK("http://localhost:8787/api/admin/requirements/documents/cmm4yuquq03yzcuqwmekbklcz/view","Open PDF")</t>
  </si>
  <si>
    <t>2024-2225</t>
  </si>
  <si>
    <t>M-2024-2225 - AnmÃ¤lan (2).pdf</t>
  </si>
  <si>
    <t>ADMIN-INDEX-2026-02-27-00000000125C043F57453246863FE664CAFE6A3F0700950291EA24F0614FB6ACEDB12BF0E31D00000000010C0000950291EA24F0614FB6ACEDB12BF0E31D00002087A5DA0000</t>
  </si>
  <si>
    <t>cmm4yuqt403xbcuqwn5w6kvre</t>
  </si>
  <si>
    <t>http://localhost:8787/api/admin/requirements/documents/cmm4yuqt403xbcuqwn5w6kvre/view</t>
  </si>
  <si>
    <t>=HYPERLÃ„NK("http://localhost:8787/api/admin/requirements/documents/cmm4yuqt403xbcuqwn5w6kvre/view";"Ã–ppna PDF")</t>
  </si>
  <si>
    <t>=HYPERLINK("http://localhost:8787/api/admin/requirements/documents/cmm4yuqt403xbcuqwn5w6kvre/view","Open PDF")</t>
  </si>
  <si>
    <t>2024-2166</t>
  </si>
  <si>
    <t>M-2024-2166 - AnmÃ¤lan.pdf</t>
  </si>
  <si>
    <t>ADMIN-INDEX-2026-02-27-00000000125C043F57453246863FE664CAFE6A3F0700950291EA24F0614FB6ACEDB12BF0E31D00000000010C0000950291EA24F0614FB6ACEDB12BF0E31D000073AF24010000</t>
  </si>
  <si>
    <t>cmm4yurgk04j2cuqw5vz3m5i0</t>
  </si>
  <si>
    <t>http://localhost:8787/api/admin/requirements/documents/cmm4yurgk04j2cuqw5vz3m5i0/view</t>
  </si>
  <si>
    <t>=HYPERLÃ„NK("http://localhost:8787/api/admin/requirements/documents/cmm4yurgk04j2cuqw5vz3m5i0/view";"Ã–ppna PDF")</t>
  </si>
  <si>
    <t>=HYPERLINK("http://localhost:8787/api/admin/requirements/documents/cmm4yurgk04j2cuqw5vz3m5i0/view","Open PDF")</t>
  </si>
  <si>
    <t>VÃ¤rnamo</t>
  </si>
  <si>
    <t>VÃ¤rnamo kommun</t>
  </si>
  <si>
    <t>TFF bre sit.pdf</t>
  </si>
  <si>
    <t>SV: till registrator [2026KC7547]</t>
  </si>
  <si>
    <t>ADMIN-INDEX-2026-02-27-00000000125C043F57453246863FE664CAFE6A3F0700950291EA24F0614FB6ACEDB12BF0E31D00000000010C0000950291EA24F0614FB6ACEDB12BF0E31D000073AF24000000</t>
  </si>
  <si>
    <t>cmm4yurfq04i5cuqw1drt61jr</t>
  </si>
  <si>
    <t>http://localhost:8787/api/admin/requirements/documents/cmm4yurfq04i5cuqw1drt61jr/view</t>
  </si>
  <si>
    <t>=HYPERLÃ„NK("http://localhost:8787/api/admin/requirements/documents/cmm4yurfq04i5cuqw1drt61jr/view";"Ã–ppna PDF")</t>
  </si>
  <si>
    <t>=HYPERLINK("http://localhost:8787/api/admin/requirements/documents/cmm4yurfq04i5cuqw1drt61jr/view","Open PDF")</t>
  </si>
  <si>
    <t>VGS-MH-2025-2444.pdf</t>
  </si>
  <si>
    <t>ADMIN-INDEX-2026-02-27-00000000125C043F57453246863FE664CAFE6A3F0700950291EA24F0614FB6ACEDB12BF0E31D00000000010C0000950291EA24F0614FB6ACEDB12BF0E31D00002087A5800000</t>
  </si>
  <si>
    <t>cmm4yurbv04e2cuqwb1kd6w43</t>
  </si>
  <si>
    <t>http://localhost:8787/api/admin/requirements/documents/cmm4yurbv04e2cuqwb1kd6w43/view</t>
  </si>
  <si>
    <t>=HYPERLÃ„NK("http://localhost:8787/api/admin/requirements/documents/cmm4yurbv04e2cuqwb1kd6w43/view";"Ã–ppna PDF")</t>
  </si>
  <si>
    <t>=HYPERLINK("http://localhost:8787/api/admin/requirements/documents/cmm4yurbv04e2cuqwb1kd6w43/view","Open PDF")</t>
  </si>
  <si>
    <t>MB-2023-716-6 - MiljÃ¶farlig verksamhet_anmÃ¤lan.pdf</t>
  </si>
  <si>
    <t>ADMIN-INDEX-2026-02-27-00000000125C043F57453246863FE664CAFE6A3F0700950291EA24F0614FB6ACEDB12BF0E31D00000000010C0000950291EA24F0614FB6ACEDB12BF0E31D00002087A5950000</t>
  </si>
  <si>
    <t>cmm4yur7g049ecuqw03gdal1n</t>
  </si>
  <si>
    <t>http://localhost:8787/api/admin/requirements/documents/cmm4yur7g049ecuqw03gdal1n/view</t>
  </si>
  <si>
    <t>=HYPERLÃ„NK("http://localhost:8787/api/admin/requirements/documents/cmm4yur7g049ecuqw03gdal1n/view";"Ã–ppna PDF")</t>
  </si>
  <si>
    <t>=HYPERLINK("http://localhost:8787/api/admin/requirements/documents/cmm4yur7g049ecuqw03gdal1n/view","Open PDF")</t>
  </si>
  <si>
    <t>mottagning av verksamhetsavfall Hagfors</t>
  </si>
  <si>
    <t>mottagning av verksamhetsavfall Hagfors kommun</t>
  </si>
  <si>
    <t>GetContent (25).pdf</t>
  </si>
  <si>
    <t>AnmÃ¤lningspliktiga C-verksamheter</t>
  </si>
  <si>
    <t>ADMIN-INDEX-2026-02-27-00000000125C043F57453246863FE664CAFE6A3F0700950291EA24F0614FB6ACEDB12BF0E31D00000000010C0000950291EA24F0614FB6ACEDB12BF0E31D00002087A5B40000</t>
  </si>
  <si>
    <t>cmm4yur1z044ecuqwtn36cfk3</t>
  </si>
  <si>
    <t>http://localhost:8787/api/admin/requirements/documents/cmm4yur1z044ecuqwtn36cfk3/view</t>
  </si>
  <si>
    <t>=HYPERLÃ„NK("http://localhost:8787/api/admin/requirements/documents/cmm4yur1z044ecuqwtn36cfk3/view";"Ã–ppna PDF")</t>
  </si>
  <si>
    <t>=HYPERLINK("http://localhost:8787/api/admin/requirements/documents/cmm4yur1z044ecuqwtn36cfk3/view","Open PDF")</t>
  </si>
  <si>
    <t>i Pajala</t>
  </si>
  <si>
    <t>i Pajala kommun</t>
  </si>
  <si>
    <t>M-2024-109Beslut om bifall med villkor(29439417).pdf</t>
  </si>
  <si>
    <t>ADMIN-INDEX-2026-02-27-00000000125C043F57453246863FE664CAFE6A3F0700950291EA24F0614FB6ACEDB12BF0E31D00000000010C0000950291EA24F0614FB6ACEDB12BF0E31D00002087A5D00000</t>
  </si>
  <si>
    <t>cmm4yuqx2041bcuqw058z69j7</t>
  </si>
  <si>
    <t>http://localhost:8787/api/admin/requirements/documents/cmm4yuqx2041bcuqw058z69j7/view</t>
  </si>
  <si>
    <t>=HYPERLÃ„NK("http://localhost:8787/api/admin/requirements/documents/cmm4yuqx2041bcuqw058z69j7/view";"Ã–ppna PDF")</t>
  </si>
  <si>
    <t>=HYPERLINK("http://localhost:8787/api/admin/requirements/documents/cmm4yuqx2041bcuqw058z69j7/view","Open PDF")</t>
  </si>
  <si>
    <t>Ã„rendenr 2023-1413. Motor-Ola AB. AnmÃ¤lan och Beslut (2).pdf</t>
  </si>
  <si>
    <t>ADMIN-INDEX-2026-02-27-00000000125C043F57453246863FE664CAFE6A3F0700950291EA24F0614FB6ACEDB12BF0E31D00000000010C0000950291EA24F0614FB6ACEDB12BF0E31D00002087ADE30000</t>
  </si>
  <si>
    <t>cmm4yuqm903q5cuqw4e2lm0yq</t>
  </si>
  <si>
    <t>http://localhost:8787/api/admin/requirements/documents/cmm4yuqm903q5cuqw4e2lm0yq/view</t>
  </si>
  <si>
    <t>=HYPERLÃ„NK("http://localhost:8787/api/admin/requirements/documents/cmm4yuqm903q5cuqw4e2lm0yq/view";"Ã–ppna PDF")</t>
  </si>
  <si>
    <t>=HYPERLINK("http://localhost:8787/api/admin/requirements/documents/cmm4yuqm903q5cuqw4e2lm0yq/view","Open PDF")</t>
  </si>
  <si>
    <t>MiljÃ¶inspektÃ¶r Bygg och MiljÃ¶ Ljusdals</t>
  </si>
  <si>
    <t>MiljÃ¶inspektÃ¶r Bygg och MiljÃ¶ Ljusdals kommun</t>
  </si>
  <si>
    <t>0651-18</t>
  </si>
  <si>
    <t>MFV.2025.230.pdf</t>
  </si>
  <si>
    <t>Sv: Skickat till MILJÃ–             Extern: till registrator</t>
  </si>
  <si>
    <t>ADMIN-INDEX-2026-02-27-00000000125C043F57453246863FE664CAFE6A3F0700950291EA24F0614FB6ACEDB12BF0E31D00000000010C0000950291EA24F0614FB6ACEDB12BF0E31D00002087ADEF0000</t>
  </si>
  <si>
    <t>cmm4yuqkr03oncuqwctsx0nxt</t>
  </si>
  <si>
    <t>http://localhost:8787/api/admin/requirements/documents/cmm4yuqkr03oncuqwctsx0nxt/view</t>
  </si>
  <si>
    <t>=HYPERLÃ„NK("http://localhost:8787/api/admin/requirements/documents/cmm4yuqkr03oncuqwctsx0nxt/view";"Ã–ppna PDF")</t>
  </si>
  <si>
    <t>=HYPERLINK("http://localhost:8787/api/admin/requirements/documents/cmm4yuqkr03oncuqwctsx0nxt/view","Open PDF")</t>
  </si>
  <si>
    <t>2022/1163</t>
  </si>
  <si>
    <t>Avgiftstaxa.pdf</t>
  </si>
  <si>
    <t>VB: UtlÃ¤mnande av allmÃ¤nna handlingar</t>
  </si>
  <si>
    <t>ADMIN-INDEX-2026-02-27-00000000125C043F57453246863FE664CAFE6A3F0700950291EA24F0614FB6ACEDB12BF0E31D00000000010C0000950291EA24F0614FB6ACEDB12BF0E31D00002087ADF30000</t>
  </si>
  <si>
    <t>cmm4yuqhc03l8cuqwfjrfoy1e</t>
  </si>
  <si>
    <t>http://localhost:8787/api/admin/requirements/documents/cmm4yuqhc03l8cuqwfjrfoy1e/view</t>
  </si>
  <si>
    <t>=HYPERLÃ„NK("http://localhost:8787/api/admin/requirements/documents/cmm4yuqhc03l8cuqwfjrfoy1e/view";"Ã–ppna PDF")</t>
  </si>
  <si>
    <t>=HYPERLINK("http://localhost:8787/api/admin/requirements/documents/cmm4yuqhc03l8cuqwfjrfoy1e/view","Open PDF")</t>
  </si>
  <si>
    <t>251021-MMAVANLAN-CD02 2025-3268.pdf</t>
  </si>
  <si>
    <t>ADMIN-INDEX-2026-02-27-00000000125C043F57453246863FE664CAFE6A3F0700950291EA24F0614FB6ACEDB12BF0E31D00000000010C0000950291EA24F0614FB6ACEDB12BF0E31D00002087ADF90000</t>
  </si>
  <si>
    <t>cmm4yuqf403iwcuqwm70zklx6</t>
  </si>
  <si>
    <t>http://localhost:8787/api/admin/requirements/documents/cmm4yuqf403iwcuqwm70zklx6/view</t>
  </si>
  <si>
    <t>=HYPERLÃ„NK("http://localhost:8787/api/admin/requirements/documents/cmm4yuqf403iwcuqwm70zklx6/view";"Ã–ppna PDF")</t>
  </si>
  <si>
    <t>=HYPERLINK("http://localhost:8787/api/admin/requirements/documents/cmm4yuqf403iwcuqwm70zklx6/view","Open PDF")</t>
  </si>
  <si>
    <t>Skanska Sverige AB AnmÃ¤lan Flisan 2 Beslut 240214.pdf</t>
  </si>
  <si>
    <t>BegÃ¤ran om utlÃ¤mnande av allmÃ¤n handling â€“ AnmÃ¤lningar och beslut rÃ¶rande mellanlagring av avfall samt anlÃ¤ggning av ytor</t>
  </si>
  <si>
    <t>ADMIN-INDEX-2026-02-27-00000000125C043F57453246863FE664CAFE6A3F0700950291EA24F0614FB6ACEDB12BF0E31D00000000010C0000950291EA24F0614FB6ACEDB12BF0E31D00002087ADFA0000</t>
  </si>
  <si>
    <t>cmm4yuqev03incuqwhki43c68</t>
  </si>
  <si>
    <t>http://localhost:8787/api/admin/requirements/documents/cmm4yuqev03incuqwhki43c68/view</t>
  </si>
  <si>
    <t>=HYPERLÃ„NK("http://localhost:8787/api/admin/requirements/documents/cmm4yuqev03incuqwhki43c68/view";"Ã–ppna PDF")</t>
  </si>
  <si>
    <t>=HYPERLINK("http://localhost:8787/api/admin/requirements/documents/cmm4yuqev03incuqwhki43c68/view","Open PDF")</t>
  </si>
  <si>
    <t>ADMIN-INDEX-2026-02-27-00000000125C043F57453246863FE664CAFE6A3F0700950291EA24F0614FB6ACEDB12BF0E31D00000000010C0000950291EA24F0614FB6ACEDB12BF0E31D00002087ADFB0000</t>
  </si>
  <si>
    <t>cmm4yuqej03ibcuqw3s2t4bqi</t>
  </si>
  <si>
    <t>http://localhost:8787/api/admin/requirements/documents/cmm4yuqej03ibcuqw3s2t4bqi/view</t>
  </si>
  <si>
    <t>=HYPERLÃ„NK("http://localhost:8787/api/admin/requirements/documents/cmm4yuqej03ibcuqw3s2t4bqi/view";"Ã–ppna PDF")</t>
  </si>
  <si>
    <t>=HYPERLINK("http://localhost:8787/api/admin/requirements/documents/cmm4yuqej03ibcuqw3s2t4bqi/view","Open PDF")</t>
  </si>
  <si>
    <t>SkyddsÃ¥tgÃ¤rder vid mellanlagring.pdf</t>
  </si>
  <si>
    <t>ADMIN-INDEX-2026-02-27-00000000125C043F57453246863FE664CAFE6A3F0700950291EA24F0614FB6ACEDB12BF0E31D00000000010C0000950291EA24F0614FB6ACEDB12BF0E31D00002087ADFD0000</t>
  </si>
  <si>
    <t>cmm4yuqdi03h8cuqwtpenx3af</t>
  </si>
  <si>
    <t>http://localhost:8787/api/admin/requirements/documents/cmm4yuqdi03h8cuqwtpenx3af/view</t>
  </si>
  <si>
    <t>=HYPERLÃ„NK("http://localhost:8787/api/admin/requirements/documents/cmm4yuqdi03h8cuqwtpenx3af/view";"Ã–ppna PDF")</t>
  </si>
  <si>
    <t>=HYPERLINK("http://localhost:8787/api/admin/requirements/documents/cmm4yuqdi03h8cuqwtpenx3af/view","Open PDF")</t>
  </si>
  <si>
    <t>Karlstads</t>
  </si>
  <si>
    <t>Karlstads kommun</t>
  </si>
  <si>
    <t>SERAB VÃ¥lberg 1 431 Beslut 250609.pdf</t>
  </si>
  <si>
    <t>ADMIN-INDEX-2026-02-27-00000000125C043F57453246863FE664CAFE6A3F0700950291EA24F0614FB6ACEDB12BF0E31D00000000010C0000950291EA24F0614FB6ACEDB12BF0E31D00002087ADFE0000</t>
  </si>
  <si>
    <t>cmm4yuqd303gtcuqw3vlw8j3n</t>
  </si>
  <si>
    <t>http://localhost:8787/api/admin/requirements/documents/cmm4yuqd303gtcuqw3vlw8j3n/view</t>
  </si>
  <si>
    <t>=HYPERLÃ„NK("http://localhost:8787/api/admin/requirements/documents/cmm4yuqd303gtcuqw3vlw8j3n/view";"Ã–ppna PDF")</t>
  </si>
  <si>
    <t>=HYPERLINK("http://localhost:8787/api/admin/requirements/documents/cmm4yuqd303gtcuqw3vlw8j3n/view","Open PDF")</t>
  </si>
  <si>
    <t>Styrning och kontroll - GIFA.pdf</t>
  </si>
  <si>
    <t>ADMIN-INDEX-2026-02-27-00000000125C043F57453246863FE664CAFE6A3F0700950291EA24F0614FB6ACEDB12BF0E31D00000000010C0000950291EA24F0614FB6ACEDB12BF0E31D00002087AE060000</t>
  </si>
  <si>
    <t>cmm4yuqad03ekcuqwsjee53ix</t>
  </si>
  <si>
    <t>http://localhost:8787/api/admin/requirements/documents/cmm4yuqad03ekcuqwsjee53ix/view</t>
  </si>
  <si>
    <t>=HYPERLÃ„NK("http://localhost:8787/api/admin/requirements/documents/cmm4yuqad03ekcuqwsjee53ix/view";"Ã–ppna PDF")</t>
  </si>
  <si>
    <t>=HYPERLINK("http://localhost:8787/api/admin/requirements/documents/cmm4yuqad03ekcuqwsjee53ix/view","Open PDF")</t>
  </si>
  <si>
    <t>MILJ.2025.963.pdf</t>
  </si>
  <si>
    <t>ADMIN-INDEX-2026-02-27-00000000125C043F57453246863FE664CAFE6A3F0700950291EA24F0614FB6ACEDB12BF0E31D00000000010C0000950291EA24F0614FB6ACEDB12BF0E31D00002087AE100000</t>
  </si>
  <si>
    <t>cmm4yuq7u03c2cuqwlx068jjt</t>
  </si>
  <si>
    <t>http://localhost:8787/api/admin/requirements/documents/cmm4yuq7u03c2cuqwlx068jjt/view</t>
  </si>
  <si>
    <t>=HYPERLÃ„NK("http://localhost:8787/api/admin/requirements/documents/cmm4yuq7u03c2cuqwlx068jjt/view";"Ã–ppna PDF")</t>
  </si>
  <si>
    <t>=HYPERLINK("http://localhost:8787/api/admin/requirements/documents/cmm4yuq7u03c2cuqwlx068jjt/view","Open PDF")</t>
  </si>
  <si>
    <t>Ã–stersunds</t>
  </si>
  <si>
    <t>Ã–stersunds kommun</t>
  </si>
  <si>
    <t>Handlingar fÃ¶r Ã¤rende TN-00592-2025.pdf</t>
  </si>
  <si>
    <t>Handlingar fÃ¶r Ã¤rende TN-00592-2025, AnmÃ¤lan av miljÃ¶farlig verksamhet - TillfÃ¤llig insamling av trÃ¤dgÃ¥rdsavfall FrÃ¶sÃ¶n - FrÃ¶sÃ¶-Berge 21:212</t>
  </si>
  <si>
    <t>ADMIN-INDEX-2026-02-27-00000000125C043F57453246863FE664CAFE6A3F0700950291EA24F0614FB6ACEDB12BF0E31D00000000010C0000950291EA24F0614FB6ACEDB12BF0E31D00002087AE2C0000</t>
  </si>
  <si>
    <t>cmm4yuq6d03ahcuqwmgnuflvh</t>
  </si>
  <si>
    <t>http://localhost:8787/api/admin/requirements/documents/cmm4yuq6d03ahcuqwmgnuflvh/view</t>
  </si>
  <si>
    <t>=HYPERLÃ„NK("http://localhost:8787/api/admin/requirements/documents/cmm4yuq6d03ahcuqwmgnuflvh/view";"Ã–ppna PDF")</t>
  </si>
  <si>
    <t>=HYPERLINK("http://localhost:8787/api/admin/requirements/documents/cmm4yuq6d03ahcuqwmgnuflvh/view","Open PDF")</t>
  </si>
  <si>
    <t>FÃ–RA 8_4 MBN-2023-1561 Delegationsbeslut 2023-12-27.pdf</t>
  </si>
  <si>
    <t>ADMIN-INDEX-2026-02-27-00000000125C043F57453246863FE664CAFE6A3F0700950291EA24F0614FB6ACEDB12BF0E31D00000000010C0000950291EA24F0614FB6ACEDB12BF0E31D00002087A5860000</t>
  </si>
  <si>
    <t>cmm4yurb604dbcuqwpk6azwk6</t>
  </si>
  <si>
    <t>http://localhost:8787/api/admin/requirements/documents/cmm4yurb604dbcuqwpk6azwk6/view</t>
  </si>
  <si>
    <t>=HYPERLÃ„NK("http://localhost:8787/api/admin/requirements/documents/cmm4yurb604dbcuqwpk6azwk6/view";"Ã–ppna PDF")</t>
  </si>
  <si>
    <t>=HYPERLINK("http://localhost:8787/api/admin/requirements/documents/cmm4yurb604dbcuqwpk6azwk6/view","Open PDF")</t>
  </si>
  <si>
    <t>0472-150</t>
  </si>
  <si>
    <t>2024.1848..pdf</t>
  </si>
  <si>
    <t>ADMIN-INDEX-2026-02-27-00000000125C043F57453246863FE664CAFE6A3F0700950291EA24F0614FB6ACEDB12BF0E31D00000000010C0000950291EA24F0614FB6ACEDB12BF0E31D00002087A57E0000</t>
  </si>
  <si>
    <t>cmm4yure104gbcuqw0iyq01tw</t>
  </si>
  <si>
    <t>http://localhost:8787/api/admin/requirements/documents/cmm4yure104gbcuqw0iyq01tw/view</t>
  </si>
  <si>
    <t>=HYPERLÃ„NK("http://localhost:8787/api/admin/requirements/documents/cmm4yure104gbcuqw0iyq01tw/view";"Ã–ppna PDF")</t>
  </si>
  <si>
    <t>=HYPERLINK("http://localhost:8787/api/admin/requirements/documents/cmm4yure104gbcuqw0iyq01tw/view","Open PDF")</t>
  </si>
  <si>
    <t>i Ã–rnskÃ¶ldsviks</t>
  </si>
  <si>
    <t>i Ã–rnskÃ¶ldsviks kommun</t>
  </si>
  <si>
    <t>0660-880</t>
  </si>
  <si>
    <t>E-2025-840, beslut.pdf</t>
  </si>
  <si>
    <t>ADMIN-INDEX-2026-02-27-00000000125C043F57453246863FE664CAFE6A3F0700950291EA24F0614FB6ACEDB12BF0E31D00000000010C0000950291EA24F0614FB6ACEDB12BF0E31D00002087A58B0000</t>
  </si>
  <si>
    <t>cmm4yura904cecuqwjfm8vkfa</t>
  </si>
  <si>
    <t>http://localhost:8787/api/admin/requirements/documents/cmm4yura904cecuqwjfm8vkfa/view</t>
  </si>
  <si>
    <t>=HYPERLÃ„NK("http://localhost:8787/api/admin/requirements/documents/cmm4yura904cecuqwjfm8vkfa/view";"Ã–ppna PDF")</t>
  </si>
  <si>
    <t>=HYPERLINK("http://localhost:8787/api/admin/requirements/documents/cmm4yura904cecuqwjfm8vkfa/view","Open PDF")</t>
  </si>
  <si>
    <t>1998:808</t>
  </si>
  <si>
    <t>Beslut slamlager.pdf</t>
  </si>
  <si>
    <t>AnmÃ¤lan och beslut</t>
  </si>
  <si>
    <t>ADMIN-INDEX-2026-02-27-00000000125C043F57453246863FE664CAFE6A3F0700950291EA24F0614FB6ACEDB12BF0E31D00000000010C0000950291EA24F0614FB6ACEDB12BF0E31D00002087ADE40000</t>
  </si>
  <si>
    <t>cmm4yuqm603q2cuqw6h2pp8a0</t>
  </si>
  <si>
    <t>http://localhost:8787/api/admin/requirements/documents/cmm4yuqm603q2cuqw6h2pp8a0/view</t>
  </si>
  <si>
    <t>=HYPERLÃ„NK("http://localhost:8787/api/admin/requirements/documents/cmm4yuqm603q2cuqw6h2pp8a0/view";"Ã–ppna PDF")</t>
  </si>
  <si>
    <t>=HYPERLINK("http://localhost:8787/api/admin/requirements/documents/cmm4yuqm603q2cuqw6h2pp8a0/view","Open PDF")</t>
  </si>
  <si>
    <t>Ã¤mnden beslutar att fÃ¶relÃ¤gga Ljusdals</t>
  </si>
  <si>
    <t>Ã¤mnden beslutar att fÃ¶relÃ¤gga Ljusdals kommun</t>
  </si>
  <si>
    <t>0651-180</t>
  </si>
  <si>
    <t>MFV.2024.202.pdf</t>
  </si>
  <si>
    <t>ADMIN-INDEX-2026-02-27-00000000125C043F57453246863FE664CAFE6A3F0700950291EA24F0614FB6ACEDB12BF0E31D00000000010C0000950291EA24F0614FB6ACEDB12BF0E31D00002087ADEB0000</t>
  </si>
  <si>
    <t>cmm4yuqlm03pkcuqwjxh8oxe1</t>
  </si>
  <si>
    <t>http://localhost:8787/api/admin/requirements/documents/cmm4yuqlm03pkcuqwjxh8oxe1/view</t>
  </si>
  <si>
    <t>=HYPERLÃ„NK("http://localhost:8787/api/admin/requirements/documents/cmm4yuqlm03pkcuqwjxh8oxe1/view";"Ã–ppna PDF")</t>
  </si>
  <si>
    <t>=HYPERLINK("http://localhost:8787/api/admin/requirements/documents/cmm4yuqlm03pkcuqwjxh8oxe1/view","Open PDF")</t>
  </si>
  <si>
    <t>NorsjÃ¶</t>
  </si>
  <si>
    <t>NorsjÃ¶ kommun</t>
  </si>
  <si>
    <t>MBN-2024-178_1377_001_2024-04-12.pdf</t>
  </si>
  <si>
    <t>BegÃ¤ran om allmÃ¤nna handlingar</t>
  </si>
  <si>
    <t>ADMIN-INDEX-2026-02-27-00000000125C043F57453246863FE664CAFE6A3F0700950291EA24F0614FB6ACEDB12BF0E31D00000000010C0000950291EA24F0614FB6ACEDB12BF0E31D00002087ADEC0000</t>
  </si>
  <si>
    <t>cmm4yuql503p2cuqwh5xr4lq2</t>
  </si>
  <si>
    <t>http://localhost:8787/api/admin/requirements/documents/cmm4yuql503p2cuqwh5xr4lq2/view</t>
  </si>
  <si>
    <t>=HYPERLÃ„NK("http://localhost:8787/api/admin/requirements/documents/cmm4yuql503p2cuqwh5xr4lq2/view";"Ã–ppna PDF")</t>
  </si>
  <si>
    <t>=HYPERLINK("http://localhost:8787/api/admin/requirements/documents/cmm4yuql503p2cuqwh5xr4lq2/view","Open PDF")</t>
  </si>
  <si>
    <t>ADMIN-INDEX-2026-02-27-00000000125C043F57453246863FE664CAFE6A3F0700950291EA24F0614FB6ACEDB12BF0E31D00000000010C0000950291EA24F0614FB6ACEDB12BF0E31D00002087A57F0000</t>
  </si>
  <si>
    <t>cmm4yurd804fhcuqw6hiurhyu</t>
  </si>
  <si>
    <t>http://localhost:8787/api/admin/requirements/documents/cmm4yurd804fhcuqw6hiurhyu/view</t>
  </si>
  <si>
    <t>=HYPERLÃ„NK("http://localhost:8787/api/admin/requirements/documents/cmm4yurd804fhcuqw6hiurhyu/view";"Ã–ppna PDF")</t>
  </si>
  <si>
    <t>=HYPERLINK("http://localhost:8787/api/admin/requirements/documents/cmm4yurd804fhcuqw6hiurhyu/view","Open PDF")</t>
  </si>
  <si>
    <t>2024-923MiljÃ¶farlig verksamhet, anmÃ¤lan _ Ã¤ndring - 10928.pdf</t>
  </si>
  <si>
    <t>ADMIN-INDEX-2026-02-27-00000000125C043F57453246863FE664CAFE6A3F0700950291EA24F0614FB6ACEDB12BF0E31D00000000010C0000950291EA24F0614FB6ACEDB12BF0E31D00002087A58C0000</t>
  </si>
  <si>
    <t>cmm4yur9304b5cuqwauhbo864</t>
  </si>
  <si>
    <t>http://localhost:8787/api/admin/requirements/documents/cmm4yur9304b5cuqwauhbo864/view</t>
  </si>
  <si>
    <t>=HYPERLÃ„NK("http://localhost:8787/api/admin/requirements/documents/cmm4yur9304b5cuqwauhbo864/view";"Ã–ppna PDF")</t>
  </si>
  <si>
    <t>=HYPERLINK("http://localhost:8787/api/admin/requirements/documents/cmm4yur9304b5cuqwauhbo864/view","Open PDF")</t>
  </si>
  <si>
    <t>2025-447</t>
  </si>
  <si>
    <t>m-2025-851_FÃ¶relÃ¤ggande om fÃ¶rsiktighetsmÃ¥tt.pdf</t>
  </si>
  <si>
    <t>ADMIN-INDEX-2026-02-27-00000000125C043F57453246863FE664CAFE6A3F0700950291EA24F0614FB6ACEDB12BF0E31D00000000010C0000950291EA24F0614FB6ACEDB12BF0E31D00002087A58F0000</t>
  </si>
  <si>
    <t>cmm4yur8f04ahcuqwwwzodl6h</t>
  </si>
  <si>
    <t>http://localhost:8787/api/admin/requirements/documents/cmm4yur8f04ahcuqwwwzodl6h/view</t>
  </si>
  <si>
    <t>=HYPERLÃ„NK("http://localhost:8787/api/admin/requirements/documents/cmm4yur8f04ahcuqwwwzodl6h/view";"Ã–ppna PDF")</t>
  </si>
  <si>
    <t>=HYPERLINK("http://localhost:8787/api/admin/requirements/documents/cmm4yur8f04ahcuqwwwzodl6h/view","Open PDF")</t>
  </si>
  <si>
    <t>Marks</t>
  </si>
  <si>
    <t>Marks kommun</t>
  </si>
  <si>
    <t>MIL.2025.1276.pdf</t>
  </si>
  <si>
    <t>ADMIN-INDEX-2026-02-27-00000000125C043F57453246863FE664CAFE6A3F0700950291EA24F0614FB6ACEDB12BF0E31D00000000010C0000950291EA24F0614FB6ACEDB12BF0E31D00002087ADF10000</t>
  </si>
  <si>
    <t>cmm4yuqjs03nncuqw2tfjq4a3</t>
  </si>
  <si>
    <t>http://localhost:8787/api/admin/requirements/documents/cmm4yuqjs03nncuqw2tfjq4a3/view</t>
  </si>
  <si>
    <t>=HYPERLÃ„NK("http://localhost:8787/api/admin/requirements/documents/cmm4yuqjs03nncuqw2tfjq4a3/view";"Ã–ppna PDF")</t>
  </si>
  <si>
    <t>=HYPERLINK("http://localhost:8787/api/admin/requirements/documents/cmm4yuqjs03nncuqw2tfjq4a3/view","Open PDF")</t>
  </si>
  <si>
    <t>anmÃ¤lan 2024-1627.pdf</t>
  </si>
  <si>
    <t>ADMIN-INDEX-2026-02-27-00000000125C043F57453246863FE664CAFE6A3F0700950291EA24F0614FB6ACEDB12BF0E31D00000000010C0000950291EA24F0614FB6ACEDB12BF0E31D00002087A5AF0000</t>
  </si>
  <si>
    <t>cmm4yur4a046bcuqwmcjygg3z</t>
  </si>
  <si>
    <t>http://localhost:8787/api/admin/requirements/documents/cmm4yur4a046bcuqwmcjygg3z/view</t>
  </si>
  <si>
    <t>=HYPERLÃ„NK("http://localhost:8787/api/admin/requirements/documents/cmm4yur4a046bcuqwmcjygg3z/view";"Ã–ppna PDF")</t>
  </si>
  <si>
    <t>=HYPERLINK("http://localhost:8787/api/admin/requirements/documents/cmm4yur4a046bcuqwmcjygg3z/view","Open PDF")</t>
  </si>
  <si>
    <t>Beskrivning av avnmÃ¤lan.pdf</t>
  </si>
  <si>
    <t>ADMIN-INDEX-2026-02-27-00000000125C043F57453246863FE664CAFE6A3F0700950291EA24F0614FB6ACEDB12BF0E31D00000000010C0000950291EA24F0614FB6ACEDB12BF0E31D00002087A5B00000</t>
  </si>
  <si>
    <t>cmm4yur3u045wcuqwtxlgiv42</t>
  </si>
  <si>
    <t>http://localhost:8787/api/admin/requirements/documents/cmm4yur3u045wcuqwtxlgiv42/view</t>
  </si>
  <si>
    <t>=HYPERLÃ„NK("http://localhost:8787/api/admin/requirements/documents/cmm4yur3u045wcuqwtxlgiv42/view";"Ã–ppna PDF")</t>
  </si>
  <si>
    <t>=HYPERLINK("http://localhost:8787/api/admin/requirements/documents/cmm4yur3u045wcuqwtxlgiv42/view","Open PDF")</t>
  </si>
  <si>
    <t>Situationsplan.pdf</t>
  </si>
  <si>
    <t>BegÃ¤ran om handlingar</t>
  </si>
  <si>
    <t>ADMIN-INDEX-2026-02-27-00000000125C043F57453246863FE664CAFE6A3F0700950291EA24F0614FB6ACEDB12BF0E31D00000000010C0000950291EA24F0614FB6ACEDB12BF0E31D00002087A5B60000</t>
  </si>
  <si>
    <t>cmm4yur1o0445cuqwxuhvyn1e</t>
  </si>
  <si>
    <t>http://localhost:8787/api/admin/requirements/documents/cmm4yur1o0445cuqwxuhvyn1e/view</t>
  </si>
  <si>
    <t>=HYPERLÃ„NK("http://localhost:8787/api/admin/requirements/documents/cmm4yur1o0445cuqwxuhvyn1e/view";"Ã–ppna PDF")</t>
  </si>
  <si>
    <t>=HYPERLINK("http://localhost:8787/api/admin/requirements/documents/cmm4yur1o0445cuqwxuhvyn1e/view","Open PDF")</t>
  </si>
  <si>
    <t>E-POSTADRESS Varbergs</t>
  </si>
  <si>
    <t>E-POSTADRESS Varbergs kommun</t>
  </si>
  <si>
    <t>2025-1187</t>
  </si>
  <si>
    <t>Beslut GrÃ¤vtjÃ¤nst.pdf</t>
  </si>
  <si>
    <t>ADMIN-INDEX-2026-02-27-00000000125C043F57453246863FE664CAFE6A3F0700950291EA24F0614FB6ACEDB12BF0E31D00000000010C0000950291EA24F0614FB6ACEDB12BF0E31D00002087A5C50000</t>
  </si>
  <si>
    <t>cmm4yur0g042wcuqw7dqgvnqv</t>
  </si>
  <si>
    <t>http://localhost:8787/api/admin/requirements/documents/cmm4yur0g042wcuqw7dqgvnqv/view</t>
  </si>
  <si>
    <t>=HYPERLÃ„NK("http://localhost:8787/api/admin/requirements/documents/cmm4yur0g042wcuqw7dqgvnqv/view";"Ã–ppna PDF")</t>
  </si>
  <si>
    <t>=HYPERLINK("http://localhost:8787/api/admin/requirements/documents/cmm4yur0g042wcuqw7dqgvnqv/view","Open PDF")</t>
  </si>
  <si>
    <t>MILJ2024450.pdf</t>
  </si>
  <si>
    <t>ADMIN-INDEX-2026-02-27-00000000125C043F57453246863FE664CAFE6A3F0700950291EA24F0614FB6ACEDB12BF0E31D00000000010C0000950291EA24F0614FB6ACEDB12BF0E31D00002087A5CC0000</t>
  </si>
  <si>
    <t>cmm4yuqzv0428cuqw5ms9lenv</t>
  </si>
  <si>
    <t>http://localhost:8787/api/admin/requirements/documents/cmm4yuqzv0428cuqw5ms9lenv/view</t>
  </si>
  <si>
    <t>=HYPERLÃ„NK("http://localhost:8787/api/admin/requirements/documents/cmm4yuqzv0428cuqw5ms9lenv/view";"Ã–ppna PDF")</t>
  </si>
  <si>
    <t>=HYPERLINK("http://localhost:8787/api/admin/requirements/documents/cmm4yuqzv0428cuqw5ms9lenv/view","Open PDF")</t>
  </si>
  <si>
    <t>AnmÃ¤lan om miljÃ¶farlig verksamhet - signed.pdf</t>
  </si>
  <si>
    <t>ADMIN-INDEX-2026-02-27-00000000125C043F57453246863FE664CAFE6A3F0700950291EA24F0614FB6ACEDB12BF0E31D00000000010C0000950291EA24F0614FB6ACEDB12BF0E31D00002087A5C30000</t>
  </si>
  <si>
    <t>cmm4yur0n0435cuqwm93q1pqq</t>
  </si>
  <si>
    <t>http://localhost:8787/api/admin/requirements/documents/cmm4yur0n0435cuqwm93q1pqq/view</t>
  </si>
  <si>
    <t>=HYPERLÃ„NK("http://localhost:8787/api/admin/requirements/documents/cmm4yur0n0435cuqwm93q1pqq/view";"Ã–ppna PDF")</t>
  </si>
  <si>
    <t>=HYPERLINK("http://localhost:8787/api/admin/requirements/documents/cmm4yur0n0435cuqwm93q1pqq/view","Open PDF")</t>
  </si>
  <si>
    <t>MILJ20241666.pdf</t>
  </si>
  <si>
    <t>ADMIN-INDEX-2026-02-27-00000000125C043F57453246863FE664CAFE6A3F0700950291EA24F0614FB6ACEDB12BF0E31D00000000010C0000950291EA24F0614FB6ACEDB12BF0E31D00002087A5C40000</t>
  </si>
  <si>
    <t>cmm4yur0k0432cuqweo5zpqdy</t>
  </si>
  <si>
    <t>http://localhost:8787/api/admin/requirements/documents/cmm4yur0k0432cuqweo5zpqdy/view</t>
  </si>
  <si>
    <t>=HYPERLÃ„NK("http://localhost:8787/api/admin/requirements/documents/cmm4yur0k0432cuqweo5zpqdy/view";"Ã–ppna PDF")</t>
  </si>
  <si>
    <t>=HYPERLINK("http://localhost:8787/api/admin/requirements/documents/cmm4yur0k0432cuqweo5zpqdy/view","Open PDF")</t>
  </si>
  <si>
    <t>ADMIN-INDEX-2026-02-27-00000000125C043F57453246863FE664CAFE6A3F0700950291EA24F0614FB6ACEDB12BF0E31D00000000010C0000950291EA24F0614FB6ACEDB12BF0E31D00002087A5D50000</t>
  </si>
  <si>
    <t>cmm4yuqwp040zcuqw83rklvza</t>
  </si>
  <si>
    <t>http://localhost:8787/api/admin/requirements/documents/cmm4yuqwp040zcuqw83rklvza/view</t>
  </si>
  <si>
    <t>=HYPERLÃ„NK("http://localhost:8787/api/admin/requirements/documents/cmm4yuqwp040zcuqw83rklvza/view";"Ã–ppna PDF")</t>
  </si>
  <si>
    <t>=HYPERLINK("http://localhost:8787/api/admin/requirements/documents/cmm4yuqwp040zcuqw83rklvza/view","Open PDF")</t>
  </si>
  <si>
    <t>i Stenungsunds</t>
  </si>
  <si>
    <t>i Stenungsunds kommun</t>
  </si>
  <si>
    <t>M-2024-554.pdf</t>
  </si>
  <si>
    <t>ADMIN-INDEX-2026-02-27-00000000125C043F57453246863FE664CAFE6A3F0700950291EA24F0614FB6ACEDB12BF0E31D00000000010C0000950291EA24F0614FB6ACEDB12BF0E31D00002087A5D60000</t>
  </si>
  <si>
    <t>cmm4yuqwg040qcuqw4w3wh8u8</t>
  </si>
  <si>
    <t>http://localhost:8787/api/admin/requirements/documents/cmm4yuqwg040qcuqw4w3wh8u8/view</t>
  </si>
  <si>
    <t>=HYPERLÃ„NK("http://localhost:8787/api/admin/requirements/documents/cmm4yuqwg040qcuqw4w3wh8u8/view";"Ã–ppna PDF")</t>
  </si>
  <si>
    <t>=HYPERLINK("http://localhost:8787/api/admin/requirements/documents/cmm4yuqwg040qcuqw4w3wh8u8/view","Open PDF")</t>
  </si>
  <si>
    <t>M-2025-1072.pdf</t>
  </si>
  <si>
    <t>ADMIN-INDEX-2026-02-27-00000000125C043F57453246863FE664CAFE6A3F0700950291EA24F0614FB6ACEDB12BF0E31D00000000010C0000950291EA24F0614FB6ACEDB12BF0E31D00002087A5CB0000</t>
  </si>
  <si>
    <t>cmm4yur01042ecuqwjjvrz035</t>
  </si>
  <si>
    <t>http://localhost:8787/api/admin/requirements/documents/cmm4yur01042ecuqwjjvrz035/view</t>
  </si>
  <si>
    <t>=HYPERLÃ„NK("http://localhost:8787/api/admin/requirements/documents/cmm4yur01042ecuqwjjvrz035/view";"Ã–ppna PDF")</t>
  </si>
  <si>
    <t>=HYPERLINK("http://localhost:8787/api/admin/requirements/documents/cmm4yur01042ecuqwjjvrz035/view","Open PDF")</t>
  </si>
  <si>
    <t>ADMIN-INDEX-2026-02-27-00000000125C043F57453246863FE664CAFE6A3F0700950291EA24F0614FB6ACEDB12BF0E31D00000000010C0000950291EA24F0614FB6ACEDB12BF0E31D00002087A5DE0000</t>
  </si>
  <si>
    <t>cmm4yuqmh03qecuqwuamnbmp4</t>
  </si>
  <si>
    <t>http://localhost:8787/api/admin/requirements/documents/cmm4yuqmh03qecuqwuamnbmp4/view</t>
  </si>
  <si>
    <t>=HYPERLÃ„NK("http://localhost:8787/api/admin/requirements/documents/cmm4yuqmh03qecuqwuamnbmp4/view";"Ã–ppna PDF")</t>
  </si>
  <si>
    <t>=HYPERLINK("http://localhost:8787/api/admin/requirements/documents/cmm4yuqmh03qecuqwuamnbmp4/view","Open PDF")</t>
  </si>
  <si>
    <t>AnmÃ¤lan slamkompostering.pdf</t>
  </si>
  <si>
    <t>ADMIN-INDEX-2026-02-27-00000000125C043F57453246863FE664CAFE6A3F0700950291EA24F0614FB6ACEDB12BF0E31D00000000010C0000950291EA24F0614FB6ACEDB12BF0E31D00002087A5BE0000</t>
  </si>
  <si>
    <t>cmm4yur0v043ecuqw8uyv5zks</t>
  </si>
  <si>
    <t>http://localhost:8787/api/admin/requirements/documents/cmm4yur0v043ecuqw8uyv5zks/view</t>
  </si>
  <si>
    <t>=HYPERLÃ„NK("http://localhost:8787/api/admin/requirements/documents/cmm4yur0v043ecuqw8uyv5zks/view";"Ã–ppna PDF")</t>
  </si>
  <si>
    <t>=HYPERLINK("http://localhost:8787/api/admin/requirements/documents/cmm4yur0v043ecuqw8uyv5zks/view","Open PDF")</t>
  </si>
  <si>
    <t>Teknisk beskrivning.pdf</t>
  </si>
  <si>
    <t>ADMIN-INDEX-2026-02-27-00000000125C043F57453246863FE664CAFE6A3F0700950291EA24F0614FB6ACEDB12BF0E31D00000000010C0000950291EA24F0614FB6ACEDB12BF0E31D00002087A5900000</t>
  </si>
  <si>
    <t>cmm4yur8204a2cuqw8bjwvcaq</t>
  </si>
  <si>
    <t>http://localhost:8787/api/admin/requirements/documents/cmm4yur8204a2cuqw8bjwvcaq/view</t>
  </si>
  <si>
    <t>=HYPERLÃ„NK("http://localhost:8787/api/admin/requirements/documents/cmm4yur8204a2cuqw8bjwvcaq/view";"Ã–ppna PDF")</t>
  </si>
  <si>
    <t>=HYPERLINK("http://localhost:8787/api/admin/requirements/documents/cmm4yur8204a2cuqw8bjwvcaq/view","Open PDF")</t>
  </si>
  <si>
    <t>1998:899</t>
  </si>
  <si>
    <t>1043_001_BMN-2024-497_2024-06-17.pdf</t>
  </si>
  <si>
    <t>ADMIN-INDEX-2026-02-27-00000000125C043F57453246863FE664CAFE6A3F0700950291EA24F0614FB6ACEDB12BF0E31D00000000010C0000950291EA24F0614FB6ACEDB12BF0E31D00002087ADF20000</t>
  </si>
  <si>
    <t>cmm4yuqiy03mtcuqwzwa03bvg</t>
  </si>
  <si>
    <t>http://localhost:8787/api/admin/requirements/documents/cmm4yuqiy03mtcuqwzwa03bvg/view</t>
  </si>
  <si>
    <t>=HYPERLÃ„NK("http://localhost:8787/api/admin/requirements/documents/cmm4yuqiy03mtcuqwzwa03bvg/view";"Ã–ppna PDF")</t>
  </si>
  <si>
    <t>=HYPERLINK("http://localhost:8787/api/admin/requirements/documents/cmm4yuqiy03mtcuqwzwa03bvg/view","Open PDF")</t>
  </si>
  <si>
    <t>2024-1352</t>
  </si>
  <si>
    <t>Beslut 2024-1627.pdf</t>
  </si>
  <si>
    <t>ADMIN-INDEX-2026-02-27-00000000125C043F57453246863FE664CAFE6A3F0700950291EA24F0614FB6ACEDB12BF0E31D00000000010C0000950291EA24F0614FB6ACEDB12BF0E31D00002087ADF40000</t>
  </si>
  <si>
    <t>cmm4yuqgw03ktcuqwsj8z1sdd</t>
  </si>
  <si>
    <t>http://localhost:8787/api/admin/requirements/documents/cmm4yuqgw03ktcuqwsj8z1sdd/view</t>
  </si>
  <si>
    <t>=HYPERLÃ„NK("http://localhost:8787/api/admin/requirements/documents/cmm4yuqgw03ktcuqwsj8z1sdd/view";"Ã–ppna PDF")</t>
  </si>
  <si>
    <t>=HYPERLINK("http://localhost:8787/api/admin/requirements/documents/cmm4yuqgw03ktcuqwsj8z1sdd/view","Open PDF")</t>
  </si>
  <si>
    <t>fattat av MiljÃ¶skyddsenheten i Varbergs</t>
  </si>
  <si>
    <t>fattat av MiljÃ¶skyddsenheten i Varbergs kommun</t>
  </si>
  <si>
    <t>PM Sedimentationsdammar 2024-1596.pdf</t>
  </si>
  <si>
    <t>ADMIN-INDEX-2026-02-27-00000000125C043F57453246863FE664CAFE6A3F0700950291EA24F0614FB6ACEDB12BF0E31D00000000010C0000950291EA24F0614FB6ACEDB12BF0E31D00002087ADF50000</t>
  </si>
  <si>
    <t>cmm4yuqfo03jhcuqwgv6re8pd</t>
  </si>
  <si>
    <t>http://localhost:8787/api/admin/requirements/documents/cmm4yuqfo03jhcuqwgv6re8pd/view</t>
  </si>
  <si>
    <t>=HYPERLÃ„NK("http://localhost:8787/api/admin/requirements/documents/cmm4yuqfo03jhcuqwgv6re8pd/view";"Ã–ppna PDF")</t>
  </si>
  <si>
    <t>=HYPERLINK("http://localhost:8787/api/admin/requirements/documents/cmm4yuqfo03jhcuqwgv6re8pd/view","Open PDF")</t>
  </si>
  <si>
    <t>Omnires Holding AB AnmÃ¤lan om behandling av avfall 20250225.pdf</t>
  </si>
  <si>
    <t>ADMIN-INDEX-2026-02-27-00000000125C043F57453246863FE664CAFE6A3F0700950291EA24F0614FB6ACEDB12BF0E31D00000000010C0000950291EA24F0614FB6ACEDB12BF0E31D00002087ADF60000</t>
  </si>
  <si>
    <t>cmm4yuqfk03jecuqwviqg72hj</t>
  </si>
  <si>
    <t>http://localhost:8787/api/admin/requirements/documents/cmm4yuqfk03jecuqwviqg72hj/view</t>
  </si>
  <si>
    <t>=HYPERLÃ„NK("http://localhost:8787/api/admin/requirements/documents/cmm4yuqfk03jecuqwviqg72hj/view";"Ã–ppna PDF")</t>
  </si>
  <si>
    <t>=HYPERLINK("http://localhost:8787/api/admin/requirements/documents/cmm4yuqfk03jecuqwviqg72hj/view","Open PDF")</t>
  </si>
  <si>
    <t>ADMIN-INDEX-2026-02-27-00000000125C043F57453246863FE664CAFE6A3F0700950291EA24F0614FB6ACEDB12BF0E31D00000000010C0000950291EA24F0614FB6ACEDB12BF0E31D00002087ADF70000</t>
  </si>
  <si>
    <t>cmm4yuqfi03jbcuqw695vrv4c</t>
  </si>
  <si>
    <t>http://localhost:8787/api/admin/requirements/documents/cmm4yuqfi03jbcuqw695vrv4c/view</t>
  </si>
  <si>
    <t>=HYPERLÃ„NK("http://localhost:8787/api/admin/requirements/documents/cmm4yuqfi03jbcuqw695vrv4c/view";"Ã–ppna PDF")</t>
  </si>
  <si>
    <t>=HYPERLINK("http://localhost:8787/api/admin/requirements/documents/cmm4yuqfi03jbcuqw695vrv4c/view","Open PDF")</t>
  </si>
  <si>
    <t>Komplettering</t>
  </si>
  <si>
    <t>Per Eriksson Ã…sen 1 17 Komplettering av anmÃ¤lan.pdf</t>
  </si>
  <si>
    <t>ADMIN-INDEX-2026-02-27-00000000125C043F57453246863FE664CAFE6A3F0700950291EA24F0614FB6ACEDB12BF0E31D00000000010C0000950291EA24F0614FB6ACEDB12BF0E31D00002087AE000000</t>
  </si>
  <si>
    <t>cmm4yuqc903g5cuqwme802knw</t>
  </si>
  <si>
    <t>http://localhost:8787/api/admin/requirements/documents/cmm4yuqc903g5cuqwme802knw/view</t>
  </si>
  <si>
    <t>=HYPERLÃ„NK("http://localhost:8787/api/admin/requirements/documents/cmm4yuqc903g5cuqwme802knw/view";"Ã–ppna PDF")</t>
  </si>
  <si>
    <t>=HYPERLINK("http://localhost:8787/api/admin/requirements/documents/cmm4yuqc903g5cuqwme802knw/view","Open PDF")</t>
  </si>
  <si>
    <t>avfall samt anlÃ¤ggning av ytor Karlstads</t>
  </si>
  <si>
    <t>avfall samt anlÃ¤ggning av ytor Karlstads kommun</t>
  </si>
  <si>
    <t>Karlstads kommun AnmÃ¤lan om lagring av avfall SkÃ¥re 1 369 Beslut 250820.pdf</t>
  </si>
  <si>
    <t>ADMIN-INDEX-2026-02-27-00000000125C043F57453246863FE664CAFE6A3F0700950291EA24F0614FB6ACEDB12BF0E31D00000000010C0000950291EA24F0614FB6ACEDB12BF0E31D00002087AE070000</t>
  </si>
  <si>
    <t>cmm4yuq9d03dncuqwwomqoxjw</t>
  </si>
  <si>
    <t>http://localhost:8787/api/admin/requirements/documents/cmm4yuq9d03dncuqwwomqoxjw/view</t>
  </si>
  <si>
    <t>=HYPERLÃ„NK("http://localhost:8787/api/admin/requirements/documents/cmm4yuq9d03dncuqwwomqoxjw/view";"Ã–ppna PDF")</t>
  </si>
  <si>
    <t>=HYPERLINK("http://localhost:8787/api/admin/requirements/documents/cmm4yuq9d03dncuqwwomqoxjw/view","Open PDF")</t>
  </si>
  <si>
    <t>MN-2025-421-Sv_ Fyllnadsmassor Arvidsjaur 5_14.pdf</t>
  </si>
  <si>
    <t>ADMIN-INDEX-2026-02-27-00000000125C043F57453246863FE664CAFE6A3F0700950291EA24F0614FB6ACEDB12BF0E31D00000000010C0000950291EA24F0614FB6ACEDB12BF0E31D00002087AE080000</t>
  </si>
  <si>
    <t>cmm4yuq8h03cqcuqw79qvo0km</t>
  </si>
  <si>
    <t>http://localhost:8787/api/admin/requirements/documents/cmm4yuq8h03cqcuqw79qvo0km/view</t>
  </si>
  <si>
    <t>=HYPERLÃ„NK("http://localhost:8787/api/admin/requirements/documents/cmm4yuq8h03cqcuqw79qvo0km/view";"Ã–ppna PDF")</t>
  </si>
  <si>
    <t>=HYPERLINK("http://localhost:8787/api/admin/requirements/documents/cmm4yuq8h03cqcuqw79qvo0km/view","Open PDF")</t>
  </si>
  <si>
    <t>0600-1800</t>
  </si>
  <si>
    <t>MN-2025-421-AnmÃ¤lan.pdf</t>
  </si>
  <si>
    <t>ADMIN-INDEX-2026-02-27-00000000125C043F57453246863FE664CAFE6A3F0700950291EA24F0614FB6ACEDB12BF0E31D00000000010C0000950291EA24F0614FB6ACEDB12BF0E31D00002087AE0C0000</t>
  </si>
  <si>
    <t>cmm4yuq7z03c8cuqwfikjuwgu</t>
  </si>
  <si>
    <t>http://localhost:8787/api/admin/requirements/documents/cmm4yuq7z03c8cuqwfikjuwgu/view</t>
  </si>
  <si>
    <t>=HYPERLÃ„NK("http://localhost:8787/api/admin/requirements/documents/cmm4yuq7z03c8cuqwfikjuwgu/view";"Ã–ppna PDF")</t>
  </si>
  <si>
    <t>=HYPERLINK("http://localhost:8787/api/admin/requirements/documents/cmm4yuq7z03c8cuqwfikjuwgu/view","Open PDF")</t>
  </si>
  <si>
    <t>2019-4598</t>
  </si>
  <si>
    <t>Diariekort anmÃ¤lningspliktiga verksamheter.pdf</t>
  </si>
  <si>
    <t>ADMIN-INDEX-2026-02-27-00000000125C043F57453246863FE664CAFE6A3F0700950291EA24F0614FB6ACEDB12BF0E31D00000000010C0000950291EA24F0614FB6ACEDB12BF0E31D00002087AE0F0000</t>
  </si>
  <si>
    <t>cmm4yuq7w03c5cuqwlsylb0mg</t>
  </si>
  <si>
    <t>http://localhost:8787/api/admin/requirements/documents/cmm4yuq7w03c5cuqwlsylb0mg/view</t>
  </si>
  <si>
    <t>=HYPERLÃ„NK("http://localhost:8787/api/admin/requirements/documents/cmm4yuq7w03c5cuqwlsylb0mg/view";"Ã–ppna PDF")</t>
  </si>
  <si>
    <t>=HYPERLINK("http://localhost:8787/api/admin/requirements/documents/cmm4yuq7w03c5cuqwlsylb0mg/view","Open PDF")</t>
  </si>
  <si>
    <t>ADMIN-INDEX-2026-02-27-00000000125C043F57453246863FE664CAFE6A3F0700950291EA24F0614FB6ACEDB12BF0E31D00000000010C0000950291EA24F0614FB6ACEDB12BF0E31D00002087AE230000</t>
  </si>
  <si>
    <t>cmm4yuq7503bbcuqway70c0xj</t>
  </si>
  <si>
    <t>http://localhost:8787/api/admin/requirements/documents/cmm4yuq7503bbcuqway70c0xj/view</t>
  </si>
  <si>
    <t>=HYPERLÃ„NK("http://localhost:8787/api/admin/requirements/documents/cmm4yuq7503bbcuqway70c0xj/view";"Ã–ppna PDF")</t>
  </si>
  <si>
    <t>=HYPERLINK("http://localhost:8787/api/admin/requirements/documents/cmm4yuq7503bbcuqway70c0xj/view","Open PDF")</t>
  </si>
  <si>
    <t>anmÃ¤lan.pdf</t>
  </si>
  <si>
    <t>till registrator</t>
  </si>
  <si>
    <t>ADMIN-INDEX-2026-02-27-00000000125C043F57453246863FE664CAFE6A3F0700950291EA24F0614FB6ACEDB12BF0E31D00000000010C0000950291EA24F0614FB6ACEDB12BF0E31D00002087AE240000</t>
  </si>
  <si>
    <t>cmm4yuq6r03awcuqwq022xuhi</t>
  </si>
  <si>
    <t>http://localhost:8787/api/admin/requirements/documents/cmm4yuq6r03awcuqwq022xuhi/view</t>
  </si>
  <si>
    <t>=HYPERLÃ„NK("http://localhost:8787/api/admin/requirements/documents/cmm4yuq6r03awcuqwq022xuhi/view";"Ã–ppna PDF")</t>
  </si>
  <si>
    <t>=HYPERLINK("http://localhost:8787/api/admin/requirements/documents/cmm4yuq6r03awcuqwq022xuhi/view","Open PDF")</t>
  </si>
  <si>
    <t>Postadress Gagnefs</t>
  </si>
  <si>
    <t>Postadress Gagnefs kommun</t>
  </si>
  <si>
    <t>beslut.pdf</t>
  </si>
  <si>
    <t>ADMIN-INDEX-2026-02-27-00000000125C043F57453246863FE664CAFE6A3F0700950291EA24F0614FB6ACEDB12BF0E31D00000000010C0000950291EA24F0614FB6ACEDB12BF0E31D00002087AE2B0000</t>
  </si>
  <si>
    <t>cmm4yuq6o03atcuqwooffjadk</t>
  </si>
  <si>
    <t>http://localhost:8787/api/admin/requirements/documents/cmm4yuq6o03atcuqwooffjadk/view</t>
  </si>
  <si>
    <t>=HYPERLÃ„NK("http://localhost:8787/api/admin/requirements/documents/cmm4yuq6o03atcuqwooffjadk/view";"Ã–ppna PDF")</t>
  </si>
  <si>
    <t>=HYPERLINK("http://localhost:8787/api/admin/requirements/documents/cmm4yuq6o03atcuqwooffjadk/view","Open PDF")</t>
  </si>
  <si>
    <t>ADMIN-INDEX-2026-02-27-00000000125C043F57453246863FE664CAFE6A3F0700950291EA24F0614FB6ACEDB12BF0E31D00000000010C0000950291EA24F0614FB6ACEDB12BF0E31D00002087AE2E0000</t>
  </si>
  <si>
    <t>cmm4yuq5w039zcuqwnutcz35o</t>
  </si>
  <si>
    <t>http://localhost:8787/api/admin/requirements/documents/cmm4yuq5w039zcuqwnutcz35o/view</t>
  </si>
  <si>
    <t>=HYPERLÃ„NK("http://localhost:8787/api/admin/requirements/documents/cmm4yuq5w039zcuqwnutcz35o/view";"Ã–ppna PDF")</t>
  </si>
  <si>
    <t>=HYPERLINK("http://localhost:8787/api/admin/requirements/documents/cmm4yuq5w039zcuqwnutcz35o/view","Open PDF")</t>
  </si>
  <si>
    <t>FÃ¶relÃ¤ggande fÃ¶rsiktighetsÃ¥tgÃ¤rder_Bortredigerad.pdf</t>
  </si>
  <si>
    <t>ADMIN-INDEX-2026-02-27-00000000125C043F57453246863FE664CAFE6A3F0700950291EA24F0614FB6ACEDB12BF0E31D00000000010C0000950291EA24F0614FB6ACEDB12BF0E31D00002087AE330000</t>
  </si>
  <si>
    <t>cmm4yuq56039bcuqw31feylkb</t>
  </si>
  <si>
    <t>http://localhost:8787/api/admin/requirements/documents/cmm4yuq56039bcuqw31feylkb/view</t>
  </si>
  <si>
    <t>=HYPERLÃ„NK("http://localhost:8787/api/admin/requirements/documents/cmm4yuq56039bcuqw31feylkb/view";"Ã–ppna PDF")</t>
  </si>
  <si>
    <t>=HYPERLINK("http://localhost:8787/api/admin/requirements/documents/cmm4yuq56039bcuqw31feylkb/view","Open PDF")</t>
  </si>
  <si>
    <t>SÃ¤ffle</t>
  </si>
  <si>
    <t>SÃ¤ffle kommun</t>
  </si>
  <si>
    <t>0533-68</t>
  </si>
  <si>
    <t>AnmÃ¤lningsbeslut - AvelsÃ¤ter 1_46.pdf</t>
  </si>
  <si>
    <t>ADMIN-INDEX-2026-02-27-00000000125C043F57453246863FE664CAFE6A3F0700950291EA24F0614FB6ACEDB12BF0E31D00000000010C0000950291EA24F0614FB6ACEDB12BF0E31D00002087AE590000</t>
  </si>
  <si>
    <t>cmm4yuprg02whcuqwxnhw7fpc</t>
  </si>
  <si>
    <t>http://localhost:8787/api/admin/requirements/documents/cmm4yuprg02whcuqwxnhw7fpc/view</t>
  </si>
  <si>
    <t>=HYPERLÃ„NK("http://localhost:8787/api/admin/requirements/documents/cmm4yuprg02whcuqwxnhw7fpc/view";"Ã–ppna PDF")</t>
  </si>
  <si>
    <t>=HYPERLINK("http://localhost:8787/api/admin/requirements/documents/cmm4yuprg02whcuqwxnhw7fpc/view","Open PDF")</t>
  </si>
  <si>
    <t>2024-1293</t>
  </si>
  <si>
    <t>Ã„rende 2024-1293 - BegÃ¤ran om utdrag av allmÃ¤n handling</t>
  </si>
  <si>
    <t>ADMIN-INDEX-2026-02-27-00000000125C043F57453246863FE664CAFE6A3F0700950291EA24F0614FB6ACEDB12BF0E31D00000000010C0000950291EA24F0614FB6ACEDB12BF0E31D00002087A5D20000</t>
  </si>
  <si>
    <t>cmm4yuqws0412cuqw9oh6824u</t>
  </si>
  <si>
    <t>http://localhost:8787/api/admin/requirements/documents/cmm4yuqws0412cuqw9oh6824u/view</t>
  </si>
  <si>
    <t>=HYPERLÃ„NK("http://localhost:8787/api/admin/requirements/documents/cmm4yuqws0412cuqw9oh6824u/view";"Ã–ppna PDF")</t>
  </si>
  <si>
    <t>=HYPERLINK("http://localhost:8787/api/admin/requirements/documents/cmm4yuqws0412cuqw9oh6824u/view","Open PDF")</t>
  </si>
  <si>
    <t>ADMIN-INDEX-2026-02-27-00000000125C043F57453246863FE664CAFE6A3F0700950291EA24F0614FB6ACEDB12BF0E31D00000000010C0000950291EA24F0614FB6ACEDB12BF0E31D00002087A5DD0000</t>
  </si>
  <si>
    <t>cmm4yuqmk03qhcuqwkj7haeic</t>
  </si>
  <si>
    <t>http://localhost:8787/api/admin/requirements/documents/cmm4yuqmk03qhcuqwkj7haeic/view</t>
  </si>
  <si>
    <t>=HYPERLÃ„NK("http://localhost:8787/api/admin/requirements/documents/cmm4yuqmk03qhcuqwkj7haeic/view";"Ã–ppna PDF")</t>
  </si>
  <si>
    <t>=HYPERLINK("http://localhost:8787/api/admin/requirements/documents/cmm4yuqmk03qhcuqwkj7haeic/view","Open PDF")</t>
  </si>
  <si>
    <t>ADMIN-INDEX-2026-02-27-00000000125C043F57453246863FE664CAFE6A3F0700950291EA24F0614FB6ACEDB12BF0E31D00000000010C0000950291EA24F0614FB6ACEDB12BF0E31D00002087ADF00000</t>
  </si>
  <si>
    <t>cmm4yuqko03okcuqwqo9xwjbf</t>
  </si>
  <si>
    <t>http://localhost:8787/api/admin/requirements/documents/cmm4yuqko03okcuqwqo9xwjbf/view</t>
  </si>
  <si>
    <t>=HYPERLÃ„NK("http://localhost:8787/api/admin/requirements/documents/cmm4yuqko03okcuqwqo9xwjbf/view";"Ã–ppna PDF")</t>
  </si>
  <si>
    <t>=HYPERLINK("http://localhost:8787/api/admin/requirements/documents/cmm4yuqko03okcuqwqo9xwjbf/view","Open PDF")</t>
  </si>
  <si>
    <t>ADMIN-INDEX-2026-02-27-00000000125C043F57453246863FE664CAFE6A3F0700950291EA24F0614FB6ACEDB12BF0E31D00000000010C0000950291EA24F0614FB6ACEDB12BF0E31D00002087ADF80000</t>
  </si>
  <si>
    <t>cmm4yuqfc03j5cuqw55mjeltp</t>
  </si>
  <si>
    <t>http://localhost:8787/api/admin/requirements/documents/cmm4yuqfc03j5cuqw55mjeltp/view</t>
  </si>
  <si>
    <t>=HYPERLÃ„NK("http://localhost:8787/api/admin/requirements/documents/cmm4yuqfc03j5cuqw55mjeltp/view";"Ã–ppna PDF")</t>
  </si>
  <si>
    <t>=HYPERLINK("http://localhost:8787/api/admin/requirements/documents/cmm4yuqfc03j5cuqw55mjeltp/view","Open PDF")</t>
  </si>
  <si>
    <t>ADMIN-INDEX-2026-02-27-00000000125C043F57453246863FE664CAFE6A3F0700950291EA24F0614FB6ACEDB12BF0E31D00000000010C0000950291EA24F0614FB6ACEDB12BF0E31D00002087ADFC0000</t>
  </si>
  <si>
    <t>cmm4yuqe203htcuqwlv6hrhhn</t>
  </si>
  <si>
    <t>http://localhost:8787/api/admin/requirements/documents/cmm4yuqe203htcuqwlv6hrhhn/view</t>
  </si>
  <si>
    <t>=HYPERLÃ„NK("http://localhost:8787/api/admin/requirements/documents/cmm4yuqe203htcuqwlv6hrhhn/view";"Ã–ppna PDF")</t>
  </si>
  <si>
    <t>=HYPERLINK("http://localhost:8787/api/admin/requirements/documents/cmm4yuqe203htcuqwlv6hrhhn/view","Open PDF")</t>
  </si>
  <si>
    <t>2011:927</t>
  </si>
  <si>
    <t>Trafikverket anmÃ¤lan lagring av avfall Skepparen 6 240222.pdf</t>
  </si>
  <si>
    <t>ADMIN-INDEX-2026-02-27-00000000125C043F57453246863FE664CAFE6A3F0700950291EA24F0614FB6ACEDB12BF0E31D00000000010C0000950291EA24F0614FB6ACEDB12BF0E31D00002087ADFF0000</t>
  </si>
  <si>
    <t>cmm4yuqch03gbcuqwypxxpf85</t>
  </si>
  <si>
    <t>http://localhost:8787/api/admin/requirements/documents/cmm4yuqch03gbcuqwypxxpf85/view</t>
  </si>
  <si>
    <t>=HYPERLÃ„NK("http://localhost:8787/api/admin/requirements/documents/cmm4yuqch03gbcuqwypxxpf85/view";"Ã–ppna PDF")</t>
  </si>
  <si>
    <t>=HYPERLINK("http://localhost:8787/api/admin/requirements/documents/cmm4yuqch03gbcuqwypxxpf85/view","Open PDF")</t>
  </si>
  <si>
    <t>ADMIN-INDEX-2026-02-27-00000000125C043F57453246863FE664CAFE6A3F0700950291EA24F0614FB6ACEDB12BF0E31D00000000010C0000950291EA24F0614FB6ACEDB12BF0E31D00002087AE0B0000</t>
  </si>
  <si>
    <t>cmm4yuq8203cbcuqwt5vz11gj</t>
  </si>
  <si>
    <t>http://localhost:8787/api/admin/requirements/documents/cmm4yuq8203cbcuqwt5vz11gj/view</t>
  </si>
  <si>
    <t>=HYPERLÃ„NK("http://localhost:8787/api/admin/requirements/documents/cmm4yuq8203cbcuqwt5vz11gj/view";"Ã–ppna PDF")</t>
  </si>
  <si>
    <t>=HYPERLINK("http://localhost:8787/api/admin/requirements/documents/cmm4yuq8203cbcuqwt5vz11gj/view","Open PDF")</t>
  </si>
  <si>
    <t>ADMIN-INDEX-2026-02-27-00000000125C043F57453246863FE664CAFE6A3F0700950291EA24F0614FB6ACEDB12BF0E31D00000000010C0000950291EA24F0614FB6ACEDB12BF0E31D00002087AE2D0000</t>
  </si>
  <si>
    <t>cmm4yuq6203a5cuqwur3o5za9</t>
  </si>
  <si>
    <t>http://localhost:8787/api/admin/requirements/documents/cmm4yuq6203a5cuqwur3o5za9/view</t>
  </si>
  <si>
    <t>=HYPERLÃ„NK("http://localhost:8787/api/admin/requirements/documents/cmm4yuq6203a5cuqwur3o5za9/view";"Ã–ppna PDF")</t>
  </si>
  <si>
    <t>=HYPERLINK("http://localhost:8787/api/admin/requirements/documents/cmm4yuq6203a5cuqwur3o5za9/view","Open PDF")</t>
  </si>
  <si>
    <t>ADMIN-INDEX-2026-02-27-00000000125C043F57453246863FE664CAFE6A3F0700950291EA24F0614FB6ACEDB12BF0E31D00000000010C0000950291EA24F0614FB6ACEDB12BF0E31D00002087AE5A0000</t>
  </si>
  <si>
    <t>cmm4yupre02wecuqw90cyqwpp</t>
  </si>
  <si>
    <t>http://localhost:8787/api/admin/requirements/documents/cmm4yupre02wecuqw90cyqwpp/view</t>
  </si>
  <si>
    <t>=HYPERLÃ„NK("http://localhost:8787/api/admin/requirements/documents/cmm4yupre02wecuqw90cyqwpp/view";"Ã–ppna PDF")</t>
  </si>
  <si>
    <t>=HYPERLINK("http://localhost:8787/api/admin/requirements/documents/cmm4yupre02wecuqw90cyqwpp/view","Open PDF")</t>
  </si>
  <si>
    <t>Egenkontrollprogram.pdf</t>
  </si>
  <si>
    <t>ADMIN-INDEX-2026-02-27-00000000125C043F57453246863FE664CAFE6A3F0700950291EA24F0614FB6ACEDB12BF0E31D00000000010C0000950291EA24F0614FB6ACEDB12BF0E31D00002087AE5B0000</t>
  </si>
  <si>
    <t>cmm4yupr602w5cuqw1ydovq3h</t>
  </si>
  <si>
    <t>http://localhost:8787/api/admin/requirements/documents/cmm4yupr602w5cuqw1ydovq3h/view</t>
  </si>
  <si>
    <t>=HYPERLÃ„NK("http://localhost:8787/api/admin/requirements/documents/cmm4yupr602w5cuqw1ydovq3h/view";"Ã–ppna PDF")</t>
  </si>
  <si>
    <t>=HYPERLINK("http://localhost:8787/api/admin/requirements/documents/cmm4yupr602w5cuqw1ydovq3h/view","Open PDF")</t>
  </si>
  <si>
    <t>Ulricehamns</t>
  </si>
  <si>
    <t>Ulricehamns kommun</t>
  </si>
  <si>
    <t>0321-59</t>
  </si>
  <si>
    <t>MSB-2025-1907 Delegationsbeslut Â§ 402 FÃ¶relÃ¤ggande 2025-12-12.pdf</t>
  </si>
  <si>
    <t>ADMIN-INDEX-2026-02-27-00000000125C043F57453246863FE664CAFE6A3F0700950291EA24F0614FB6ACEDB12BF0E31D00000000010C0000950291EA24F0614FB6ACEDB12BF0E31D00002087AE5C0000</t>
  </si>
  <si>
    <t>cmm4yupqy02vwcuqwkpofglow</t>
  </si>
  <si>
    <t>http://localhost:8787/api/admin/requirements/documents/cmm4yupqy02vwcuqwkpofglow/view</t>
  </si>
  <si>
    <t>=HYPERLÃ„NK("http://localhost:8787/api/admin/requirements/documents/cmm4yupqy02vwcuqwkpofglow/view";"Ã–ppna PDF")</t>
  </si>
  <si>
    <t>=HYPERLINK("http://localhost:8787/api/admin/requirements/documents/cmm4yupqy02vwcuqwkpofglow/view","Open PDF")</t>
  </si>
  <si>
    <t>ADMIN-INDEX-2026-02-27-00000000125C043F57453246863FE664CAFE6A3F0700950291EA24F0614FB6ACEDB12BF0E31D00000000010C0000950291EA24F0614FB6ACEDB12BF0E31D00002087AE5F0000</t>
  </si>
  <si>
    <t>cmm4yupqq02vncuqwip6s7xdy</t>
  </si>
  <si>
    <t>http://localhost:8787/api/admin/requirements/documents/cmm4yupqq02vncuqwip6s7xdy/view</t>
  </si>
  <si>
    <t>=HYPERLÃ„NK("http://localhost:8787/api/admin/requirements/documents/cmm4yupqq02vncuqwip6s7xdy/view";"Ã–ppna PDF")</t>
  </si>
  <si>
    <t>=HYPERLINK("http://localhost:8787/api/admin/requirements/documents/cmm4yupqq02vncuqwip6s7xdy/view","Open PDF")</t>
  </si>
  <si>
    <t>MB-2025-687 Svar asfalt.pdf</t>
  </si>
  <si>
    <t>ADMIN-INDEX-2026-02-27-00000000125C043F57453246863FE664CAFE6A3F0700950291EA24F0614FB6ACEDB12BF0E31D00000000010C0000950291EA24F0614FB6ACEDB12BF0E31D00002087AE600000</t>
  </si>
  <si>
    <t>cmm4yupq802v5cuqwuh2enfih</t>
  </si>
  <si>
    <t>http://localhost:8787/api/admin/requirements/documents/cmm4yupq802v5cuqwuh2enfih/view</t>
  </si>
  <si>
    <t>=HYPERLÃ„NK("http://localhost:8787/api/admin/requirements/documents/cmm4yupq802v5cuqwuh2enfih/view";"Ã–ppna PDF")</t>
  </si>
  <si>
    <t>=HYPERLINK("http://localhost:8787/api/admin/requirements/documents/cmm4yupq802v5cuqwuh2enfih/view","Open PDF")</t>
  </si>
  <si>
    <t>ADMIN-INDEX-2026-02-27-00000000125C043F57453246863FE664CAFE6A3F0700950291EA24F0614FB6ACEDB12BF0E31D00000000010C0000950291EA24F0614FB6ACEDB12BF0E31D00002087AE610000</t>
  </si>
  <si>
    <t>cmm4yupps02uncuqw2oocfvsk</t>
  </si>
  <si>
    <t>http://localhost:8787/api/admin/requirements/documents/cmm4yupps02uncuqw2oocfvsk/view</t>
  </si>
  <si>
    <t>=HYPERLÃ„NK("http://localhost:8787/api/admin/requirements/documents/cmm4yupps02uncuqw2oocfvsk/view";"Ã–ppna PDF")</t>
  </si>
  <si>
    <t>=HYPERLINK("http://localhost:8787/api/admin/requirements/documents/cmm4yupps02uncuqw2oocfvsk/view","Open PDF")</t>
  </si>
  <si>
    <t>2025-3473 8.pdf</t>
  </si>
  <si>
    <t>ADMIN-INDEX-2026-02-27-00000000125C043F57453246863FE664CAFE6A3F0700950291EA24F0614FB6ACEDB12BF0E31D00000000010C0000950291EA24F0614FB6ACEDB12BF0E31D00002087AE620000</t>
  </si>
  <si>
    <t>cmm4yupoi02tecuqwcxfb7ykc</t>
  </si>
  <si>
    <t>http://localhost:8787/api/admin/requirements/documents/cmm4yupoi02tecuqwcxfb7ykc/view</t>
  </si>
  <si>
    <t>=HYPERLÃ„NK("http://localhost:8787/api/admin/requirements/documents/cmm4yupoi02tecuqwcxfb7ykc/view";"Ã–ppna PDF")</t>
  </si>
  <si>
    <t>=HYPERLINK("http://localhost:8787/api/admin/requirements/documents/cmm4yupoi02tecuqwcxfb7ykc/view","Open PDF")</t>
  </si>
  <si>
    <t>ADMIN-INDEX-2026-02-27-00000000125C043F57453246863FE664CAFE6A3F0700950291EA24F0614FB6ACEDB12BF0E31D00000000010C0000950291EA24F0614FB6ACEDB12BF0E31D00002087AE630000</t>
  </si>
  <si>
    <t>cmm4yupmn02rkcuqwjnnwfgym</t>
  </si>
  <si>
    <t>http://localhost:8787/api/admin/requirements/documents/cmm4yupmn02rkcuqwjnnwfgym/view</t>
  </si>
  <si>
    <t>=HYPERLÃ„NK("http://localhost:8787/api/admin/requirements/documents/cmm4yupmn02rkcuqwjnnwfgym/view";"Ã–ppna PDF")</t>
  </si>
  <si>
    <t>=HYPERLINK("http://localhost:8787/api/admin/requirements/documents/cmm4yupmn02rkcuqwjnnwfgym/view","Open PDF")</t>
  </si>
  <si>
    <t>SBF-2025-376_2025-02-28_Bilaga 1 C-anmÃ¤lan MarkmÃ¤starna 2018.pdf</t>
  </si>
  <si>
    <t>ADMIN-INDEX-2026-02-27-00000000125C043F57453246863FE664CAFE6A3F0700950291EA24F0614FB6ACEDB12BF0E31D00000000010C0000950291EA24F0614FB6ACEDB12BF0E31D00002087AE640000</t>
  </si>
  <si>
    <t>cmm4yuplh02qbcuqwo52fuzbg</t>
  </si>
  <si>
    <t>http://localhost:8787/api/admin/requirements/documents/cmm4yuplh02qbcuqwo52fuzbg/view</t>
  </si>
  <si>
    <t>=HYPERLÃ„NK("http://localhost:8787/api/admin/requirements/documents/cmm4yuplh02qbcuqwo52fuzbg/view";"Ã–ppna PDF")</t>
  </si>
  <si>
    <t>=HYPERLINK("http://localhost:8787/api/admin/requirements/documents/cmm4yuplh02qbcuqwo52fuzbg/view","Open PDF")</t>
  </si>
  <si>
    <t>ADMIN-INDEX-2026-02-27-00000000125C043F57453246863FE664CAFE6A3F0700950291EA24F0614FB6ACEDB12BF0E31D00000000010C0000950291EA24F0614FB6ACEDB12BF0E31D00002087AE650000</t>
  </si>
  <si>
    <t>cmm4yupkl02pecuqwc9aq8lae</t>
  </si>
  <si>
    <t>http://localhost:8787/api/admin/requirements/documents/cmm4yupkl02pecuqwc9aq8lae/view</t>
  </si>
  <si>
    <t>=HYPERLÃ„NK("http://localhost:8787/api/admin/requirements/documents/cmm4yupkl02pecuqwc9aq8lae/view";"Ã–ppna PDF")</t>
  </si>
  <si>
    <t>=HYPERLINK("http://localhost:8787/api/admin/requirements/documents/cmm4yupkl02pecuqwc9aq8lae/view","Open PDF")</t>
  </si>
  <si>
    <t>AnmÃ¤lan om mellanlagring av icke.pdf</t>
  </si>
  <si>
    <t>BegÃ¤ran om handlingar - Partille</t>
  </si>
  <si>
    <t>ADMIN-INDEX-2026-02-27-00000000125C043F57453246863FE664CAFE6A3F0700950291EA24F0614FB6ACEDB12BF0E31D00000000010C0000950291EA24F0614FB6ACEDB12BF0E31D00002087AE660000</t>
  </si>
  <si>
    <t>cmm4yupk402owcuqww06jlz5a</t>
  </si>
  <si>
    <t>http://localhost:8787/api/admin/requirements/documents/cmm4yupk402owcuqww06jlz5a/view</t>
  </si>
  <si>
    <t>=HYPERLÃ„NK("http://localhost:8787/api/admin/requirements/documents/cmm4yupk402owcuqww06jlz5a/view";"Ã–ppna PDF")</t>
  </si>
  <si>
    <t>=HYPERLINK("http://localhost:8787/api/admin/requirements/documents/cmm4yupk402owcuqww06jlz5a/view","Open PDF")</t>
  </si>
  <si>
    <t>ADMIN-INDEX-2026-02-27-00000000125C043F57453246863FE664CAFE6A3F0700950291EA24F0614FB6ACEDB12BF0E31D00000000010C0000950291EA24F0614FB6ACEDB12BF0E31D00002087AE710000</t>
  </si>
  <si>
    <t>cmm4yupjv02oncuqwhzi14w7y</t>
  </si>
  <si>
    <t>http://localhost:8787/api/admin/requirements/documents/cmm4yupjv02oncuqwhzi14w7y/view</t>
  </si>
  <si>
    <t>=HYPERLÃ„NK("http://localhost:8787/api/admin/requirements/documents/cmm4yupjv02oncuqwhzi14w7y/view";"Ã–ppna PDF")</t>
  </si>
  <si>
    <t>=HYPERLINK("http://localhost:8787/api/admin/requirements/documents/cmm4yupjv02oncuqwhzi14w7y/view","Open PDF")</t>
  </si>
  <si>
    <t>2.pdf</t>
  </si>
  <si>
    <t>ADMIN-INDEX-2026-02-27-00000000125C043F57453246863FE664CAFE6A3F0700950291EA24F0614FB6ACEDB12BF0E31D00000000010C0000950291EA24F0614FB6ACEDB12BF0E31D00002087AE720000</t>
  </si>
  <si>
    <t>cmm4yupjp02ohcuqwx5giwxd4</t>
  </si>
  <si>
    <t>http://localhost:8787/api/admin/requirements/documents/cmm4yupjp02ohcuqwx5giwxd4/view</t>
  </si>
  <si>
    <t>=HYPERLÃ„NK("http://localhost:8787/api/admin/requirements/documents/cmm4yupjp02ohcuqwx5giwxd4/view";"Ã–ppna PDF")</t>
  </si>
  <si>
    <t>=HYPERLINK("http://localhost:8787/api/admin/requirements/documents/cmm4yupjp02ohcuqwx5giwxd4/view","Open PDF")</t>
  </si>
  <si>
    <t>ADMIN-INDEX-2026-02-27-00000000125C043F57453246863FE664CAFE6A3F0700950291EA24F0614FB6ACEDB12BF0E31D00000000010C0000950291EA24F0614FB6ACEDB12BF0E31D00002087AE730000</t>
  </si>
  <si>
    <t>cmm4yupji02obcuqwtixc21ni</t>
  </si>
  <si>
    <t>http://localhost:8787/api/admin/requirements/documents/cmm4yupji02obcuqwtixc21ni/view</t>
  </si>
  <si>
    <t>=HYPERLÃ„NK("http://localhost:8787/api/admin/requirements/documents/cmm4yupji02obcuqwtixc21ni/view";"Ã–ppna PDF")</t>
  </si>
  <si>
    <t>=HYPERLINK("http://localhost:8787/api/admin/requirements/documents/cmm4yupji02obcuqwtixc21ni/view","Open PDF")</t>
  </si>
  <si>
    <t>4.pdf</t>
  </si>
  <si>
    <t>ADMIN-INDEX-2026-02-27-00000000125C043F57453246863FE664CAFE6A3F0700950291EA24F0614FB6ACEDB12BF0E31D00000000010C0000950291EA24F0614FB6ACEDB12BF0E31D00002087AE740000</t>
  </si>
  <si>
    <t>cmm4yupjc02o5cuqw79mcn0cr</t>
  </si>
  <si>
    <t>http://localhost:8787/api/admin/requirements/documents/cmm4yupjc02o5cuqw79mcn0cr/view</t>
  </si>
  <si>
    <t>=HYPERLÃ„NK("http://localhost:8787/api/admin/requirements/documents/cmm4yupjc02o5cuqw79mcn0cr/view";"Ã–ppna PDF")</t>
  </si>
  <si>
    <t>=HYPERLINK("http://localhost:8787/api/admin/requirements/documents/cmm4yupjc02o5cuqw79mcn0cr/view","Open PDF")</t>
  </si>
  <si>
    <t>ADMIN-INDEX-2026-02-27-00000000125C043F57453246863FE664CAFE6A3F0700950291EA24F0614FB6ACEDB12BF0E31D00000000010C0000950291EA24F0614FB6ACEDB12BF0E31D00002087AE750000</t>
  </si>
  <si>
    <t>cmm4yupj602nzcuqwz84u4s1y</t>
  </si>
  <si>
    <t>http://localhost:8787/api/admin/requirements/documents/cmm4yupj602nzcuqwz84u4s1y/view</t>
  </si>
  <si>
    <t>=HYPERLÃ„NK("http://localhost:8787/api/admin/requirements/documents/cmm4yupj602nzcuqwz84u4s1y/view";"Ã–ppna PDF")</t>
  </si>
  <si>
    <t>=HYPERLINK("http://localhost:8787/api/admin/requirements/documents/cmm4yupj602nzcuqwz84u4s1y/view","Open PDF")</t>
  </si>
  <si>
    <t>Fyll i om sÃ¶kanden Ã¤r Tierps</t>
  </si>
  <si>
    <t>Fyll i om sÃ¶kanden Ã¤r Tierps kommun</t>
  </si>
  <si>
    <t>0293-21</t>
  </si>
  <si>
    <t>TK 2025-1240 AnmÃ¤lan om miljÃ¶farlig verksamhet.pdf</t>
  </si>
  <si>
    <t>UtlÃ¤mnande av allmÃ¤n handling</t>
  </si>
  <si>
    <t>ADMIN-INDEX-2026-02-27-00000000125C043F57453246863FE664CAFE6A3F0700950291EA24F0614FB6ACEDB12BF0E31D00000000010C0000950291EA24F0614FB6ACEDB12BF0E31D00002087AE760000</t>
  </si>
  <si>
    <t>cmm4yupip02nkcuqwvl8gkfaz</t>
  </si>
  <si>
    <t>http://localhost:8787/api/admin/requirements/documents/cmm4yupip02nkcuqwvl8gkfaz/view</t>
  </si>
  <si>
    <t>=HYPERLÃ„NK("http://localhost:8787/api/admin/requirements/documents/cmm4yupip02nkcuqwvl8gkfaz/view";"Ã–ppna PDF")</t>
  </si>
  <si>
    <t>=HYPERLINK("http://localhost:8787/api/admin/requirements/documents/cmm4yupip02nkcuqwvl8gkfaz/view","Open PDF")</t>
  </si>
  <si>
    <t>ADMIN-INDEX-2026-02-27-00000000125C043F57453246863FE664CAFE6A3F0700950291EA24F0614FB6ACEDB12BF0E31D00000000010C0000950291EA24F0614FB6ACEDB12BF0E31D00002087AE790000</t>
  </si>
  <si>
    <t>cmm4yuphs02mtcuqwxbrtxsxi</t>
  </si>
  <si>
    <t>http://localhost:8787/api/admin/requirements/documents/cmm4yuphs02mtcuqwxbrtxsxi/view</t>
  </si>
  <si>
    <t>=HYPERLÃ„NK("http://localhost:8787/api/admin/requirements/documents/cmm4yuphs02mtcuqwxbrtxsxi/view";"Ã–ppna PDF")</t>
  </si>
  <si>
    <t>=HYPERLINK("http://localhost:8787/api/admin/requirements/documents/cmm4yuphs02mtcuqwxbrtxsxi/view","Open PDF")</t>
  </si>
  <si>
    <t>Vreta Kloster Postadress Lessebo</t>
  </si>
  <si>
    <t>Vreta Kloster Postadress Lessebo kommun</t>
  </si>
  <si>
    <t>MN-2025-119_Delegationsbeslut_2025-05-07.pdf</t>
  </si>
  <si>
    <t>ADMIN-INDEX-2026-02-27-00000000125C043F57453246863FE664CAFE6A3F0700950291EA24F0614FB6ACEDB12BF0E31D00000000010C0000950291EA24F0614FB6ACEDB12BF0E31D00002087AE7A0000</t>
  </si>
  <si>
    <t>cmm4yupgm02lkcuqwtilqg9xf</t>
  </si>
  <si>
    <t>http://localhost:8787/api/admin/requirements/documents/cmm4yupgm02lkcuqwtilqg9xf/view</t>
  </si>
  <si>
    <t>=HYPERLÃ„NK("http://localhost:8787/api/admin/requirements/documents/cmm4yupgm02lkcuqwtilqg9xf/view";"Ã–ppna PDF")</t>
  </si>
  <si>
    <t>=HYPERLINK("http://localhost:8787/api/admin/requirements/documents/cmm4yupgm02lkcuqwtilqg9xf/view","Open PDF")</t>
  </si>
  <si>
    <t>ADMIN-INDEX-2026-02-27-00000000125C043F57453246863FE664CAFE6A3F0700950291EA24F0614FB6ACEDB12BF0E31D00000000010C0000950291EA24F0614FB6ACEDB12BF0E31D00002087AE8B0000</t>
  </si>
  <si>
    <t>cmm4yupfm02khcuqwabq732ou</t>
  </si>
  <si>
    <t>http://localhost:8787/api/admin/requirements/documents/cmm4yupfm02khcuqwabq732ou/view</t>
  </si>
  <si>
    <t>=HYPERLÃ„NK("http://localhost:8787/api/admin/requirements/documents/cmm4yupfm02khcuqwabq732ou/view";"Ã–ppna PDF")</t>
  </si>
  <si>
    <t>=HYPERLINK("http://localhost:8787/api/admin/requirements/documents/cmm4yupfm02khcuqwabq732ou/view","Open PDF")</t>
  </si>
  <si>
    <t>0371-81000</t>
  </si>
  <si>
    <t>MMIL.2025.618_SjÃ¶gÃ¥rdens entreprenad.pdf</t>
  </si>
  <si>
    <t>SV: till registrator [2026KC4801]</t>
  </si>
  <si>
    <t>ADMIN-INDEX-2026-02-27-00000000125C043F57453246863FE664CAFE6A3F0700950291EA24F0614FB6ACEDB12BF0E31D00000000010C0000950291EA24F0614FB6ACEDB12BF0E31D00002087AE8C0000</t>
  </si>
  <si>
    <t>cmm4yupfe02k8cuqw8vllvz05</t>
  </si>
  <si>
    <t>http://localhost:8787/api/admin/requirements/documents/cmm4yupfe02k8cuqw8vllvz05/view</t>
  </si>
  <si>
    <t>=HYPERLÃ„NK("http://localhost:8787/api/admin/requirements/documents/cmm4yupfe02k8cuqw8vllvz05/view";"Ã–ppna PDF")</t>
  </si>
  <si>
    <t>=HYPERLINK("http://localhost:8787/api/admin/requirements/documents/cmm4yupfe02k8cuqw8vllvz05/view","Open PDF")</t>
  </si>
  <si>
    <t>ADMIN-INDEX-2026-02-27-00000000125C043F57453246863FE664CAFE6A3F0700950291EA24F0614FB6ACEDB12BF0E31D00000000010C0000950291EA24F0614FB6ACEDB12BF0E31D00002087AE8D0000</t>
  </si>
  <si>
    <t>cmm4yupf702jzcuqwdksoalck</t>
  </si>
  <si>
    <t>http://localhost:8787/api/admin/requirements/documents/cmm4yupf702jzcuqwdksoalck/view</t>
  </si>
  <si>
    <t>=HYPERLÃ„NK("http://localhost:8787/api/admin/requirements/documents/cmm4yupf702jzcuqwdksoalck/view";"Ã–ppna PDF")</t>
  </si>
  <si>
    <t>=HYPERLINK("http://localhost:8787/api/admin/requirements/documents/cmm4yupf702jzcuqwdksoalck/view","Open PDF")</t>
  </si>
  <si>
    <t>SamhÃ¤llsbyggnadsnÃ¤mnden i SÃ¶derkÃ¶pings</t>
  </si>
  <si>
    <t>SamhÃ¤llsbyggnadsnÃ¤mnden i SÃ¶derkÃ¶pings kommun</t>
  </si>
  <si>
    <t>SBF-2024-1814_2025-12-10_Beslut MiljÃ¶farlig verksamhet.pdf</t>
  </si>
  <si>
    <t>ADMIN-INDEX-2026-02-27-00000000125C043F57453246863FE664CAFE6A3F0700950291EA24F0614FB6ACEDB12BF0E31D00000000010C0000950291EA24F0614FB6ACEDB12BF0E31D00002087AE8E0000</t>
  </si>
  <si>
    <t>cmm4yupea02izcuqwdrmdlxqb</t>
  </si>
  <si>
    <t>http://localhost:8787/api/admin/requirements/documents/cmm4yupea02izcuqwdrmdlxqb/view</t>
  </si>
  <si>
    <t>=HYPERLÃ„NK("http://localhost:8787/api/admin/requirements/documents/cmm4yupea02izcuqwdrmdlxqb/view";"Ã–ppna PDF")</t>
  </si>
  <si>
    <t>=HYPERLINK("http://localhost:8787/api/admin/requirements/documents/cmm4yupea02izcuqwdrmdlxqb/view","Open PDF")</t>
  </si>
  <si>
    <t>ADMIN-INDEX-2026-02-27-00000000125C043F57453246863FE664CAFE6A3F0700950291EA24F0614FB6ACEDB12BF0E31D00000000010C0000950291EA24F0614FB6ACEDB12BF0E31D00002087AE910000</t>
  </si>
  <si>
    <t>cmm4yupcb02gzcuqwshitaoru</t>
  </si>
  <si>
    <t>http://localhost:8787/api/admin/requirements/documents/cmm4yupcb02gzcuqwshitaoru/view</t>
  </si>
  <si>
    <t>=HYPERLÃ„NK("http://localhost:8787/api/admin/requirements/documents/cmm4yupcb02gzcuqwshitaoru/view";"Ã–ppna PDF")</t>
  </si>
  <si>
    <t>=HYPERLINK("http://localhost:8787/api/admin/requirements/documents/cmm4yupcb02gzcuqwshitaoru/view","Open PDF")</t>
  </si>
  <si>
    <t>Arvika</t>
  </si>
  <si>
    <t>Arvika kommun</t>
  </si>
  <si>
    <t>Mejl frÃ¥n Carl Zide.pdf</t>
  </si>
  <si>
    <t>Ã„rende gÃ¤llande anvÃ¤ndning av avfall fÃ¶r anlÃ¤ggningsÃ¤ndamÃ¥l, Arvika kommun</t>
  </si>
  <si>
    <t>ADMIN-INDEX-2026-02-27-00000000125C043F57453246863FE664CAFE6A3F0700950291EA24F0614FB6ACEDB12BF0E31D00000000010C0000950291EA24F0614FB6ACEDB12BF0E31D00002087AE920000</t>
  </si>
  <si>
    <t>cmm4yupc002gncuqwakbngv3p</t>
  </si>
  <si>
    <t>http://localhost:8787/api/admin/requirements/documents/cmm4yupc002gncuqwakbngv3p/view</t>
  </si>
  <si>
    <t>=HYPERLÃ„NK("http://localhost:8787/api/admin/requirements/documents/cmm4yupc002gncuqwakbngv3p/view";"Ã–ppna PDF")</t>
  </si>
  <si>
    <t>=HYPERLINK("http://localhost:8787/api/admin/requirements/documents/cmm4yupc002gncuqwakbngv3p/view","Open PDF")</t>
  </si>
  <si>
    <t>ADMIN-INDEX-2026-02-27-00000000125C043F57453246863FE664CAFE6A3F0700950291EA24F0614FB6ACEDB12BF0E31D00000000010C0000950291EA24F0614FB6ACEDB12BF0E31D00002087AE930000</t>
  </si>
  <si>
    <t>cmm4yupbv02ghcuqwpw1dt4la</t>
  </si>
  <si>
    <t>http://localhost:8787/api/admin/requirements/documents/cmm4yupbv02ghcuqwpw1dt4la/view</t>
  </si>
  <si>
    <t>=HYPERLÃ„NK("http://localhost:8787/api/admin/requirements/documents/cmm4yupbv02ghcuqwpw1dt4la/view";"Ã–ppna PDF")</t>
  </si>
  <si>
    <t>=HYPERLINK("http://localhost:8787/api/admin/requirements/documents/cmm4yupbv02ghcuqwpw1dt4la/view","Open PDF")</t>
  </si>
  <si>
    <t>M_fÃ¶relÃ¤ggande om Ã¥tgÃ¤rd (1).pdf</t>
  </si>
  <si>
    <t>ADMIN-INDEX-2026-02-27-00000000125C043F57453246863FE664CAFE6A3F0700950291EA24F0614FB6ACEDB12BF0E31D00000000010C0000950291EA24F0614FB6ACEDB12BF0E31D00002087AE940000</t>
  </si>
  <si>
    <t>cmm4yupas02fecuqwvht0309b</t>
  </si>
  <si>
    <t>http://localhost:8787/api/admin/requirements/documents/cmm4yupas02fecuqwvht0309b/view</t>
  </si>
  <si>
    <t>=HYPERLÃ„NK("http://localhost:8787/api/admin/requirements/documents/cmm4yupas02fecuqwvht0309b/view";"Ã–ppna PDF")</t>
  </si>
  <si>
    <t>=HYPERLINK("http://localhost:8787/api/admin/requirements/documents/cmm4yupas02fecuqwvht0309b/view","Open PDF")</t>
  </si>
  <si>
    <t>ADMIN-INDEX-2026-02-27-00000000125C043F57453246863FE664CAFE6A3F0700950291EA24F0614FB6ACEDB12BF0E31D00000000010C0000950291EA24F0614FB6ACEDB12BF0E31D00002087AE970000</t>
  </si>
  <si>
    <t>cmm4yup9e02dzcuqwruoclys2</t>
  </si>
  <si>
    <t>http://localhost:8787/api/admin/requirements/documents/cmm4yup9e02dzcuqwruoclys2/view</t>
  </si>
  <si>
    <t>=HYPERLÃ„NK("http://localhost:8787/api/admin/requirements/documents/cmm4yup9e02dzcuqwruoclys2/view";"Ã–ppna PDF")</t>
  </si>
  <si>
    <t>=HYPERLINK("http://localhost:8787/api/admin/requirements/documents/cmm4yup9e02dzcuqwruoclys2/view","Open PDF")</t>
  </si>
  <si>
    <t>Herrljunga</t>
  </si>
  <si>
    <t>Herrljunga kommun</t>
  </si>
  <si>
    <t>M-2025-408_1_Re_anm.pdf</t>
  </si>
  <si>
    <t>ADMIN-INDEX-2026-02-27-00000000125C043F57453246863FE664CAFE6A3F0700950291EA24F0614FB6ACEDB12BF0E31D00000000010C0000950291EA24F0614FB6ACEDB12BF0E31D00002087AE980000</t>
  </si>
  <si>
    <t>cmm4yup8u02dhcuqwwwmhavgp</t>
  </si>
  <si>
    <t>http://localhost:8787/api/admin/requirements/documents/cmm4yup8u02dhcuqwwwmhavgp/view</t>
  </si>
  <si>
    <t>=HYPERLÃ„NK("http://localhost:8787/api/admin/requirements/documents/cmm4yup8u02dhcuqwwwmhavgp/view";"Ã–ppna PDF")</t>
  </si>
  <si>
    <t>=HYPERLINK("http://localhost:8787/api/admin/requirements/documents/cmm4yup8u02dhcuqwwwmhavgp/view","Open PDF")</t>
  </si>
  <si>
    <t>ADMIN-INDEX-2026-02-27-00000000125C043F57453246863FE664CAFE6A3F0700950291EA24F0614FB6ACEDB12BF0E31D00000000010C0000950291EA24F0614FB6ACEDB12BF0E31D00002087AE990000</t>
  </si>
  <si>
    <t>cmm4yup8m02d8cuqw8v4usph0</t>
  </si>
  <si>
    <t>http://localhost:8787/api/admin/requirements/documents/cmm4yup8m02d8cuqw8v4usph0/view</t>
  </si>
  <si>
    <t>=HYPERLÃ„NK("http://localhost:8787/api/admin/requirements/documents/cmm4yup8m02d8cuqw8v4usph0/view";"Ã–ppna PDF")</t>
  </si>
  <si>
    <t>=HYPERLINK("http://localhost:8787/api/admin/requirements/documents/cmm4yup8m02d8cuqw8v4usph0/view","Open PDF")</t>
  </si>
  <si>
    <t>org nr SÃ¶derkÃ¶pings</t>
  </si>
  <si>
    <t>org nr SÃ¶derkÃ¶pings kommun</t>
  </si>
  <si>
    <t>SBF-2024-273_2024-03-25_Beslut MiljÃ¶farlig verksamhet.pdf</t>
  </si>
  <si>
    <t>ADMIN-INDEX-2026-02-27-00000000125C043F57453246863FE664CAFE6A3F0700950291EA24F0614FB6ACEDB12BF0E31D00000000010C0000950291EA24F0614FB6ACEDB12BF0E31D00002087AE9A0000</t>
  </si>
  <si>
    <t>cmm4yup7h02c2cuqwyq79ps8k</t>
  </si>
  <si>
    <t>http://localhost:8787/api/admin/requirements/documents/cmm4yup7h02c2cuqwyq79ps8k/view</t>
  </si>
  <si>
    <t>=HYPERLÃ„NK("http://localhost:8787/api/admin/requirements/documents/cmm4yup7h02c2cuqwyq79ps8k/view";"Ã–ppna PDF")</t>
  </si>
  <si>
    <t>=HYPERLINK("http://localhost:8787/api/admin/requirements/documents/cmm4yup7h02c2cuqwyq79ps8k/view","Open PDF")</t>
  </si>
  <si>
    <t>ADMIN-INDEX-2026-02-27-00000000125C043F57453246863FE664CAFE6A3F0700950291EA24F0614FB6ACEDB12BF0E31D00000000010C0000950291EA24F0614FB6ACEDB12BF0E31D00002087AE9D0000</t>
  </si>
  <si>
    <t>cmm4yup6002ahcuqwiwhrtr3f</t>
  </si>
  <si>
    <t>http://localhost:8787/api/admin/requirements/documents/cmm4yup6002ahcuqwiwhrtr3f/view</t>
  </si>
  <si>
    <t>=HYPERLÃ„NK("http://localhost:8787/api/admin/requirements/documents/cmm4yup6002ahcuqwiwhrtr3f/view";"Ã–ppna PDF")</t>
  </si>
  <si>
    <t>=HYPERLINK("http://localhost:8787/api/admin/requirements/documents/cmm4yup6002ahcuqwiwhrtr3f/view","Open PDF")</t>
  </si>
  <si>
    <t>pdf Hedemora</t>
  </si>
  <si>
    <t>pdf Hedemora kommun</t>
  </si>
  <si>
    <t>0225-340</t>
  </si>
  <si>
    <t>MB-2024-448-427-INFOR-Brev-2024-06-24-.pdf</t>
  </si>
  <si>
    <t>SV: till registrator [2026HSC4325]</t>
  </si>
  <si>
    <t>ADMIN-INDEX-2026-02-27-00000000125C043F57453246863FE664CAFE6A3F0700950291EA24F0614FB6ACEDB12BF0E31D00000000010C0000950291EA24F0614FB6ACEDB12BF0E31D00002087AE9E0000</t>
  </si>
  <si>
    <t>cmm4yup3u0288cuqw1esiotxe</t>
  </si>
  <si>
    <t>http://localhost:8787/api/admin/requirements/documents/cmm4yup3u0288cuqw1esiotxe/view</t>
  </si>
  <si>
    <t>=HYPERLÃ„NK("http://localhost:8787/api/admin/requirements/documents/cmm4yup3u0288cuqw1esiotxe/view";"Ã–ppna PDF")</t>
  </si>
  <si>
    <t>=HYPERLINK("http://localhost:8787/api/admin/requirements/documents/cmm4yup3u0288cuqw1esiotxe/view","Open PDF")</t>
  </si>
  <si>
    <t>ADMIN-INDEX-2026-02-27-00000000125C043F57453246863FE664CAFE6A3F0700950291EA24F0614FB6ACEDB12BF0E31D00000000010C0000950291EA24F0614FB6ACEDB12BF0E31D00002087AE9F0000</t>
  </si>
  <si>
    <t>cmm4yup18025hcuqw7tz859cf</t>
  </si>
  <si>
    <t>http://localhost:8787/api/admin/requirements/documents/cmm4yup18025hcuqw7tz859cf/view</t>
  </si>
  <si>
    <t>=HYPERLÃ„NK("http://localhost:8787/api/admin/requirements/documents/cmm4yup18025hcuqw7tz859cf/view";"Ã–ppna PDF")</t>
  </si>
  <si>
    <t>=HYPERLINK("http://localhost:8787/api/admin/requirements/documents/cmm4yup18025hcuqw7tz859cf/view","Open PDF")</t>
  </si>
  <si>
    <t>SBF-2024-170_2024-01-23_AnmÃ¤lan_Bortredigerad.pdf</t>
  </si>
  <si>
    <t>ADMIN-INDEX-2026-02-27-00000000125C043F57453246863FE664CAFE6A3F0700950291EA24F0614FB6ACEDB12BF0E31D00000000010C0000950291EA24F0614FB6ACEDB12BF0E31D00002087AEA00000</t>
  </si>
  <si>
    <t>cmm4yuozq023zcuqwbms4qd54</t>
  </si>
  <si>
    <t>http://localhost:8787/api/admin/requirements/documents/cmm4yuozq023zcuqwbms4qd54/view</t>
  </si>
  <si>
    <t>=HYPERLÃ„NK("http://localhost:8787/api/admin/requirements/documents/cmm4yuozq023zcuqwbms4qd54/view";"Ã–ppna PDF")</t>
  </si>
  <si>
    <t>=HYPERLINK("http://localhost:8787/api/admin/requirements/documents/cmm4yuozq023zcuqwbms4qd54/view","Open PDF")</t>
  </si>
  <si>
    <t>SÃ¶derkÃ¶ping MiljÃ¶kontoret SÃ¶derkÃ¶pings</t>
  </si>
  <si>
    <t>SÃ¶derkÃ¶ping MiljÃ¶kontoret SÃ¶derkÃ¶pings kommun</t>
  </si>
  <si>
    <t>0121-181</t>
  </si>
  <si>
    <t>ADMIN-INDEX-2026-02-27-00000000125C043F57453246863FE664CAFE6A3F0700950291EA24F0614FB6ACEDB12BF0E31D00000000010C0000950291EA24F0614FB6ACEDB12BF0E31D00002087AEA50000</t>
  </si>
  <si>
    <t>cmm4yuoza023hcuqwb3u72dej</t>
  </si>
  <si>
    <t>http://localhost:8787/api/admin/requirements/documents/cmm4yuoza023hcuqwb3u72dej/view</t>
  </si>
  <si>
    <t>=HYPERLÃ„NK("http://localhost:8787/api/admin/requirements/documents/cmm4yuoza023hcuqwb3u72dej/view";"Ã–ppna PDF")</t>
  </si>
  <si>
    <t>=HYPERLINK("http://localhost:8787/api/admin/requirements/documents/cmm4yuoza023hcuqwb3u72dej/view","Open PDF")</t>
  </si>
  <si>
    <t>SjÃ¶bo</t>
  </si>
  <si>
    <t>SjÃ¶bo kommun</t>
  </si>
  <si>
    <t>MILSK202515_2026-02-03.pdf</t>
  </si>
  <si>
    <t>ADMIN-INDEX-2026-02-27-00000000125C043F57453246863FE664CAFE6A3F0700950291EA24F0614FB6ACEDB12BF0E31D00000000010C0000950291EA24F0614FB6ACEDB12BF0E31D00002087AEA60000</t>
  </si>
  <si>
    <t>cmm4yuoyx0232cuqwbrf7i0qf</t>
  </si>
  <si>
    <t>http://localhost:8787/api/admin/requirements/documents/cmm4yuoyx0232cuqwbrf7i0qf/view</t>
  </si>
  <si>
    <t>=HYPERLÃ„NK("http://localhost:8787/api/admin/requirements/documents/cmm4yuoyx0232cuqwbrf7i0qf/view";"Ã–ppna PDF")</t>
  </si>
  <si>
    <t>=HYPERLINK("http://localhost:8787/api/admin/requirements/documents/cmm4yuoyx0232cuqwbrf7i0qf/view","Open PDF")</t>
  </si>
  <si>
    <t>ADMIN-INDEX-2026-02-27-00000000125C043F57453246863FE664CAFE6A3F0700950291EA24F0614FB6ACEDB12BF0E31D00000000010C0000950291EA24F0614FB6ACEDB12BF0E31D00002087AEB10000</t>
  </si>
  <si>
    <t>cmm4yuoyg022ncuqwyg9r5cay</t>
  </si>
  <si>
    <t>http://localhost:8787/api/admin/requirements/documents/cmm4yuoyg022ncuqwyg9r5cay/view</t>
  </si>
  <si>
    <t>=HYPERLÃ„NK("http://localhost:8787/api/admin/requirements/documents/cmm4yuoyg022ncuqwyg9r5cay/view";"Ã–ppna PDF")</t>
  </si>
  <si>
    <t>=HYPERLINK("http://localhost:8787/api/admin/requirements/documents/cmm4yuoyg022ncuqwyg9r5cay/view","Open PDF")</t>
  </si>
  <si>
    <t>Postadress EnkÃ¶pings</t>
  </si>
  <si>
    <t>Postadress EnkÃ¶pings kommun</t>
  </si>
  <si>
    <t>MIL20252277pdf_976576.pdf</t>
  </si>
  <si>
    <t>BegÃ¤ran om allmÃ¤n handling i Ã¤rende  MIL.2026.363</t>
  </si>
  <si>
    <t>ADMIN-INDEX-2026-02-27-00000000125C043F57453246863FE664CAFE6A3F0700950291EA24F0614FB6ACEDB12BF0E31D00000000010C0000950291EA24F0614FB6ACEDB12BF0E31D00002087AEB20000</t>
  </si>
  <si>
    <t>cmm4yuoyb022hcuqwjk4jods4</t>
  </si>
  <si>
    <t>http://localhost:8787/api/admin/requirements/documents/cmm4yuoyb022hcuqwjk4jods4/view</t>
  </si>
  <si>
    <t>=HYPERLÃ„NK("http://localhost:8787/api/admin/requirements/documents/cmm4yuoyb022hcuqwjk4jods4/view";"Ã–ppna PDF")</t>
  </si>
  <si>
    <t>=HYPERLINK("http://localhost:8787/api/admin/requirements/documents/cmm4yuoyb022hcuqwjk4jods4/view","Open PDF")</t>
  </si>
  <si>
    <t>ADMIN-INDEX-2026-02-27-00000000125C043F57453246863FE664CAFE6A3F0700950291EA24F0614FB6ACEDB12BF0E31D00000000010C0000950291EA24F0614FB6ACEDB12BF0E31D00002087AEB30000</t>
  </si>
  <si>
    <t>cmm4yuoy5022bcuqw0e9yl7q6</t>
  </si>
  <si>
    <t>http://localhost:8787/api/admin/requirements/documents/cmm4yuoy5022bcuqw0e9yl7q6/view</t>
  </si>
  <si>
    <t>=HYPERLÃ„NK("http://localhost:8787/api/admin/requirements/documents/cmm4yuoy5022bcuqw0e9yl7q6/view";"Ã–ppna PDF")</t>
  </si>
  <si>
    <t>=HYPERLINK("http://localhost:8787/api/admin/requirements/documents/cmm4yuoy5022bcuqw0e9yl7q6/view","Open PDF")</t>
  </si>
  <si>
    <t>BesÃ¶ksadress Telefon E-post Webb TranÃ¥s</t>
  </si>
  <si>
    <t>BesÃ¶ksadress Telefon E-post Webb TranÃ¥s kommun</t>
  </si>
  <si>
    <t>M-2024-659-FÃ¶relÃ¤ggande enligt miljÃ¶balken(1).pdf</t>
  </si>
  <si>
    <t>handlingar</t>
  </si>
  <si>
    <t>ADMIN-INDEX-2026-02-27-00000000125C043F57453246863FE664CAFE6A3F0700950291EA24F0614FB6ACEDB12BF0E31D00000000010C0000950291EA24F0614FB6ACEDB12BF0E31D00002087AEB40000</t>
  </si>
  <si>
    <t>cmm4yuowx0212cuqwgyrim3ri</t>
  </si>
  <si>
    <t>http://localhost:8787/api/admin/requirements/documents/cmm4yuowx0212cuqwgyrim3ri/view</t>
  </si>
  <si>
    <t>=HYPERLÃ„NK("http://localhost:8787/api/admin/requirements/documents/cmm4yuowx0212cuqwgyrim3ri/view";"Ã–ppna PDF")</t>
  </si>
  <si>
    <t>=HYPERLINK("http://localhost:8787/api/admin/requirements/documents/cmm4yuowx0212cuqwgyrim3ri/view","Open PDF")</t>
  </si>
  <si>
    <t>ADMIN-INDEX-2026-02-27-00000000125C043F57453246863FE664CAFE6A3F0700950291EA24F0614FB6ACEDB12BF0E31D00000000010C0000950291EA24F0614FB6ACEDB12BF0E31D00002087AEB50000</t>
  </si>
  <si>
    <t>cmm4yuovo01ztcuqwjisy9tt7</t>
  </si>
  <si>
    <t>http://localhost:8787/api/admin/requirements/documents/cmm4yuovo01ztcuqwjisy9tt7/view</t>
  </si>
  <si>
    <t>=HYPERLÃ„NK("http://localhost:8787/api/admin/requirements/documents/cmm4yuovo01ztcuqwjisy9tt7/view";"Ã–ppna PDF")</t>
  </si>
  <si>
    <t>=HYPERLINK("http://localhost:8787/api/admin/requirements/documents/cmm4yuovo01ztcuqwjisy9tt7/view","Open PDF")</t>
  </si>
  <si>
    <t>2026-60</t>
  </si>
  <si>
    <t>Beslut 2026-60 - FÃ¶rsiktighetsmÃ¥tt miljÃ¶farlig verksamhet.pdf</t>
  </si>
  <si>
    <t>SV: till registrator *20260202:475*</t>
  </si>
  <si>
    <t>ADMIN-INDEX-2026-02-27-00000000125C043F57453246863FE664CAFE6A3F0700950291EA24F0614FB6ACEDB12BF0E31D00000000010C0000950291EA24F0614FB6ACEDB12BF0E31D00002087AEB60000</t>
  </si>
  <si>
    <t>cmm4yuovl01zqcuqwz5yg68oc</t>
  </si>
  <si>
    <t>http://localhost:8787/api/admin/requirements/documents/cmm4yuovl01zqcuqwz5yg68oc/view</t>
  </si>
  <si>
    <t>=HYPERLÃ„NK("http://localhost:8787/api/admin/requirements/documents/cmm4yuovl01zqcuqwz5yg68oc/view";"Ã–ppna PDF")</t>
  </si>
  <si>
    <t>=HYPERLINK("http://localhost:8787/api/admin/requirements/documents/cmm4yuovl01zqcuqwz5yg68oc/view","Open PDF")</t>
  </si>
  <si>
    <t>ADMIN-INDEX-2026-02-27-00000000125C043F57453246863FE664CAFE6A3F0700950291EA24F0614FB6ACEDB12BF0E31D00000000010C0000950291EA24F0614FB6ACEDB12BF0E31D00002087AEB70000</t>
  </si>
  <si>
    <t>cmm4yuovi01zncuqwwqye503j</t>
  </si>
  <si>
    <t>http://localhost:8787/api/admin/requirements/documents/cmm4yuovi01zncuqwwqye503j/view</t>
  </si>
  <si>
    <t>=HYPERLÃ„NK("http://localhost:8787/api/admin/requirements/documents/cmm4yuovi01zncuqwwqye503j/view";"Ã–ppna PDF")</t>
  </si>
  <si>
    <t>=HYPERLINK("http://localhost:8787/api/admin/requirements/documents/cmm4yuovi01zncuqwwqye503j/view","Open PDF")</t>
  </si>
  <si>
    <t>ndamÃ¥l Postadress BesÃ¶ksadress StrÃ¤ngnÃ¤s</t>
  </si>
  <si>
    <t>ndamÃ¥l Postadress BesÃ¶ksadress StrÃ¤ngnÃ¤s kommun</t>
  </si>
  <si>
    <t>MIL20251443_2026-02-03.pdf</t>
  </si>
  <si>
    <t>VB: [2026KC5853]SBK / Admin SBK / Vidarebefordra/fÃ¶rdela Ã¤rende</t>
  </si>
  <si>
    <t>ADMIN-INDEX-2026-02-27-00000000125C043F57453246863FE664CAFE6A3F0700950291EA24F0614FB6ACEDB12BF0E31D00000000010C0000950291EA24F0614FB6ACEDB12BF0E31D00002087AEB80000</t>
  </si>
  <si>
    <t>cmm4yuov901zecuqww78ts20e</t>
  </si>
  <si>
    <t>http://localhost:8787/api/admin/requirements/documents/cmm4yuov901zecuqww78ts20e/view</t>
  </si>
  <si>
    <t>=HYPERLÃ„NK("http://localhost:8787/api/admin/requirements/documents/cmm4yuov901zecuqww78ts20e/view";"Ã–ppna PDF")</t>
  </si>
  <si>
    <t>=HYPERLINK("http://localhost:8787/api/admin/requirements/documents/cmm4yuov901zecuqww78ts20e/view","Open PDF")</t>
  </si>
  <si>
    <t>ADMIN-INDEX-2026-02-27-00000000125C043F57453246863FE664CAFE6A3F0700950291EA24F0614FB6ACEDB12BF0E31D00000000010C0000950291EA24F0614FB6ACEDB12BF0E31D00002087AEBB0000</t>
  </si>
  <si>
    <t>cmm4yuov001z5cuqwzv54vbz4</t>
  </si>
  <si>
    <t>http://localhost:8787/api/admin/requirements/documents/cmm4yuov001z5cuqwzv54vbz4/view</t>
  </si>
  <si>
    <t>=HYPERLÃ„NK("http://localhost:8787/api/admin/requirements/documents/cmm4yuov001z5cuqwzv54vbz4/view";"Ã–ppna PDF")</t>
  </si>
  <si>
    <t>=HYPERLINK("http://localhost:8787/api/admin/requirements/documents/cmm4yuov001z5cuqwzv54vbz4/view","Open PDF")</t>
  </si>
  <si>
    <t>MIL2024357pdf_976573.pdf</t>
  </si>
  <si>
    <t>ADMIN-INDEX-2026-02-27-00000000125C043F57453246863FE664CAFE6A3F0700950291EA24F0614FB6ACEDB12BF0E31D00000000010C0000950291EA24F0614FB6ACEDB12BF0E31D00002087AEBC0000</t>
  </si>
  <si>
    <t>cmm4yuouk01yncuqwqg6ujm2o</t>
  </si>
  <si>
    <t>http://localhost:8787/api/admin/requirements/documents/cmm4yuouk01yncuqwqg6ujm2o/view</t>
  </si>
  <si>
    <t>=HYPERLÃ„NK("http://localhost:8787/api/admin/requirements/documents/cmm4yuouk01yncuqwqg6ujm2o/view";"Ã–ppna PDF")</t>
  </si>
  <si>
    <t>=HYPERLINK("http://localhost:8787/api/admin/requirements/documents/cmm4yuouk01yncuqwqg6ujm2o/view","Open PDF")</t>
  </si>
  <si>
    <t>ADMIN-INDEX-2026-02-27-00000000125C043F57453246863FE664CAFE6A3F0700950291EA24F0614FB6ACEDB12BF0E31D00000000010C0000950291EA24F0614FB6ACEDB12BF0E31D00002087AEC50000</t>
  </si>
  <si>
    <t>cmm4yuoty01xzcuqwfs0b9l35</t>
  </si>
  <si>
    <t>http://localhost:8787/api/admin/requirements/documents/cmm4yuoty01xzcuqwfs0b9l35/view</t>
  </si>
  <si>
    <t>=HYPERLÃ„NK("http://localhost:8787/api/admin/requirements/documents/cmm4yuoty01xzcuqwfs0b9l35/view";"Ã–ppna PDF")</t>
  </si>
  <si>
    <t>=HYPERLINK("http://localhost:8787/api/admin/requirements/documents/cmm4yuoty01xzcuqwfs0b9l35/view","Open PDF")</t>
  </si>
  <si>
    <t>Kontrollrapport tillsyn nov 2024.pdf</t>
  </si>
  <si>
    <t>ADMIN-INDEX-2026-02-27-00000000125C043F57453246863FE664CAFE6A3F0700950291EA24F0614FB6ACEDB12BF0E31D00000000010C0000950291EA24F0614FB6ACEDB12BF0E31D00002087AEC60000</t>
  </si>
  <si>
    <t>cmm4yuotb01xhcuqwswxsx8sy</t>
  </si>
  <si>
    <t>http://localhost:8787/api/admin/requirements/documents/cmm4yuotb01xhcuqwswxsx8sy/view</t>
  </si>
  <si>
    <t>=HYPERLÃ„NK("http://localhost:8787/api/admin/requirements/documents/cmm4yuotb01xhcuqwswxsx8sy/view";"Ã–ppna PDF")</t>
  </si>
  <si>
    <t>=HYPERLINK("http://localhost:8787/api/admin/requirements/documents/cmm4yuotb01xhcuqwswxsx8sy/view","Open PDF")</t>
  </si>
  <si>
    <t>ADMIN-INDEX-2026-02-27-00000000125C043F57453246863FE664CAFE6A3F0700950291EA24F0614FB6ACEDB12BF0E31D00000000010C0000950291EA24F0614FB6ACEDB12BF0E31D00002087AECD0000</t>
  </si>
  <si>
    <t>cmm4yuooy01t8cuqw3m1ag4wq</t>
  </si>
  <si>
    <t>http://localhost:8787/api/admin/requirements/documents/cmm4yuooy01t8cuqw3m1ag4wq/view</t>
  </si>
  <si>
    <t>=HYPERLÃ„NK("http://localhost:8787/api/admin/requirements/documents/cmm4yuooy01t8cuqw3m1ag4wq/view";"Ã–ppna PDF")</t>
  </si>
  <si>
    <t>=HYPERLINK("http://localhost:8787/api/admin/requirements/documents/cmm4yuooy01t8cuqw3m1ag4wq/view","Open PDF")</t>
  </si>
  <si>
    <t>2025-3584</t>
  </si>
  <si>
    <t>AnmÃ¤lningsbeslut.pdf</t>
  </si>
  <si>
    <t>ADMIN-INDEX-2026-02-27-00000000125C043F57453246863FE664CAFE6A3F0700950291EA24F0614FB6ACEDB12BF0E31D00000000010C0000950291EA24F0614FB6ACEDB12BF0E31D00002087AECE0000</t>
  </si>
  <si>
    <t>cmm4yuooq01szcuqwo9e3tjcp</t>
  </si>
  <si>
    <t>http://localhost:8787/api/admin/requirements/documents/cmm4yuooq01szcuqwo9e3tjcp/view</t>
  </si>
  <si>
    <t>=HYPERLÃ„NK("http://localhost:8787/api/admin/requirements/documents/cmm4yuooq01szcuqwo9e3tjcp/view";"Ã–ppna PDF")</t>
  </si>
  <si>
    <t>=HYPERLINK("http://localhost:8787/api/admin/requirements/documents/cmm4yuooq01szcuqwo9e3tjcp/view","Open PDF")</t>
  </si>
  <si>
    <t>ADMIN-INDEX-2026-02-27-00000000125C043F57453246863FE664CAFE6A3F0700950291EA24F0614FB6ACEDB12BF0E31D00000000010C0000950291EA24F0614FB6ACEDB12BF0E31D00002087AECF0000</t>
  </si>
  <si>
    <t>cmm4yuooh01sqcuqwljg8bolr</t>
  </si>
  <si>
    <t>http://localhost:8787/api/admin/requirements/documents/cmm4yuooh01sqcuqwljg8bolr/view</t>
  </si>
  <si>
    <t>=HYPERLÃ„NK("http://localhost:8787/api/admin/requirements/documents/cmm4yuooh01sqcuqwljg8bolr/view";"Ã–ppna PDF")</t>
  </si>
  <si>
    <t>=HYPERLINK("http://localhost:8787/api/admin/requirements/documents/cmm4yuooh01sqcuqwljg8bolr/view","Open PDF")</t>
  </si>
  <si>
    <t>Sundsvalls</t>
  </si>
  <si>
    <t>Sundsvalls kommun</t>
  </si>
  <si>
    <t>2023-1834</t>
  </si>
  <si>
    <t>Generellt beslut.pdf</t>
  </si>
  <si>
    <t>ADMIN-INDEX-2026-02-27-00000000125C043F57453246863FE664CAFE6A3F0700950291EA24F0614FB6ACEDB12BF0E31D00000000010C0000950291EA24F0614FB6ACEDB12BF0E31D00002087AED00000</t>
  </si>
  <si>
    <t>cmm4yuoo401secuqwmf5enxas</t>
  </si>
  <si>
    <t>http://localhost:8787/api/admin/requirements/documents/cmm4yuoo401secuqwmf5enxas/view</t>
  </si>
  <si>
    <t>=HYPERLÃ„NK("http://localhost:8787/api/admin/requirements/documents/cmm4yuoo401secuqwmf5enxas/view";"Ã–ppna PDF")</t>
  </si>
  <si>
    <t>=HYPERLINK("http://localhost:8787/api/admin/requirements/documents/cmm4yuoo401secuqwmf5enxas/view","Open PDF")</t>
  </si>
  <si>
    <t>ADMIN-INDEX-2026-02-27-00000000125C043F57453246863FE664CAFE6A3F0700950291EA24F0614FB6ACEDB12BF0E31D00000000010C0000950291EA24F0614FB6ACEDB12BF0E31D00002087AED10000</t>
  </si>
  <si>
    <t>cmm4yuomw01r2cuqwaq7rvqlg</t>
  </si>
  <si>
    <t>http://localhost:8787/api/admin/requirements/documents/cmm4yuomw01r2cuqwaq7rvqlg/view</t>
  </si>
  <si>
    <t>=HYPERLÃ„NK("http://localhost:8787/api/admin/requirements/documents/cmm4yuomw01r2cuqwaq7rvqlg/view";"Ã–ppna PDF")</t>
  </si>
  <si>
    <t>=HYPERLINK("http://localhost:8787/api/admin/requirements/documents/cmm4yuomw01r2cuqwaq7rvqlg/view","Open PDF")</t>
  </si>
  <si>
    <t>MN-2023-10545-MN-2023-10545.pdf</t>
  </si>
  <si>
    <t>UTL 2026-02-03 mejl 1 - Sv: VB: [EXTERN]: till registrator</t>
  </si>
  <si>
    <t>ADMIN-INDEX-2026-02-27-00000000125C043F57453246863FE664CAFE6A3F0700950291EA24F0614FB6ACEDB12BF0E31D00000000010C0000950291EA24F0614FB6ACEDB12BF0E31D00002087AED20000</t>
  </si>
  <si>
    <t>cmm4yuoki01okcuqws3skclf1</t>
  </si>
  <si>
    <t>http://localhost:8787/api/admin/requirements/documents/cmm4yuoki01okcuqws3skclf1/view</t>
  </si>
  <si>
    <t>=HYPERLÃ„NK("http://localhost:8787/api/admin/requirements/documents/cmm4yuoki01okcuqws3skclf1/view";"Ã–ppna PDF")</t>
  </si>
  <si>
    <t>=HYPERLINK("http://localhost:8787/api/admin/requirements/documents/cmm4yuoki01okcuqws3skclf1/view","Open PDF")</t>
  </si>
  <si>
    <t>ADMIN-INDEX-2026-02-27-00000000125C043F57453246863FE664CAFE6A3F0700950291EA24F0614FB6ACEDB12BF0E31D00000000010C0000950291EA24F0614FB6ACEDB12BF0E31D00002087AED30000</t>
  </si>
  <si>
    <t>cmm4yuoiz01n5cuqwvliq6c2p</t>
  </si>
  <si>
    <t>http://localhost:8787/api/admin/requirements/documents/cmm4yuoiz01n5cuqwvliq6c2p/view</t>
  </si>
  <si>
    <t>=HYPERLÃ„NK("http://localhost:8787/api/admin/requirements/documents/cmm4yuoiz01n5cuqwvliq6c2p/view";"Ã–ppna PDF")</t>
  </si>
  <si>
    <t>=HYPERLINK("http://localhost:8787/api/admin/requirements/documents/cmm4yuoiz01n5cuqwvliq6c2p/view","Open PDF")</t>
  </si>
  <si>
    <t>2024-11-15 BOM-2024-846-- Beslut om fÃ¶rsiktighetsÃ¥tgÃ¤rder.pdf</t>
  </si>
  <si>
    <t>ADMIN-INDEX-2026-02-27-00000000125C043F57453246863FE664CAFE6A3F0700950291EA24F0614FB6ACEDB12BF0E31D00000000010C0000950291EA24F0614FB6ACEDB12BF0E31D00002087AED40000</t>
  </si>
  <si>
    <t>cmm4yuoiu01mzcuqwgy1q4qtg</t>
  </si>
  <si>
    <t>http://localhost:8787/api/admin/requirements/documents/cmm4yuoiu01mzcuqwgy1q4qtg/view</t>
  </si>
  <si>
    <t>=HYPERLÃ„NK("http://localhost:8787/api/admin/requirements/documents/cmm4yuoiu01mzcuqwgy1q4qtg/view";"Ã–ppna PDF")</t>
  </si>
  <si>
    <t>=HYPERLINK("http://localhost:8787/api/admin/requirements/documents/cmm4yuoiu01mzcuqwgy1q4qtg/view","Open PDF")</t>
  </si>
  <si>
    <t>ADMIN-INDEX-2026-02-27-00000000125C043F57453246863FE664CAFE6A3F0700950291EA24F0614FB6ACEDB12BF0E31D00000000010C0000950291EA24F0614FB6ACEDB12BF0E31D00002087AED50000</t>
  </si>
  <si>
    <t>cmm4yuoil01mqcuqwng2j726b</t>
  </si>
  <si>
    <t>http://localhost:8787/api/admin/requirements/documents/cmm4yuoil01mqcuqwng2j726b/view</t>
  </si>
  <si>
    <t>=HYPERLÃ„NK("http://localhost:8787/api/admin/requirements/documents/cmm4yuoil01mqcuqwng2j726b/view";"Ã–ppna PDF")</t>
  </si>
  <si>
    <t>=HYPERLINK("http://localhost:8787/api/admin/requirements/documents/cmm4yuoil01mqcuqwng2j726b/view","Open PDF")</t>
  </si>
  <si>
    <t>Bilaga1placeringbetongkross_470350.pdf</t>
  </si>
  <si>
    <t>VB: Ã…tervinning av avfall i anlÃ¤ggningsÃ¤ndamÃ¥l, MIL.2025.932</t>
  </si>
  <si>
    <t>ADMIN-INDEX-2026-02-27-00000000125C043F57453246863FE664CAFE6A3F0700950291EA24F0614FB6ACEDB12BF0E31D00000000010C0000950291EA24F0614FB6ACEDB12BF0E31D00002087AED60000</t>
  </si>
  <si>
    <t>cmm4yuoi501mbcuqwp6ixqw8o</t>
  </si>
  <si>
    <t>http://localhost:8787/api/admin/requirements/documents/cmm4yuoi501mbcuqwp6ixqw8o/view</t>
  </si>
  <si>
    <t>=HYPERLÃ„NK("http://localhost:8787/api/admin/requirements/documents/cmm4yuoi501mbcuqwp6ixqw8o/view";"Ã–ppna PDF")</t>
  </si>
  <si>
    <t>=HYPERLINK("http://localhost:8787/api/admin/requirements/documents/cmm4yuoi501mbcuqwp6ixqw8o/view","Open PDF")</t>
  </si>
  <si>
    <t>ADMIN-INDEX-2026-02-27-00000000125C043F57453246863FE664CAFE6A3F0700950291EA24F0614FB6ACEDB12BF0E31D00000000010C0000950291EA24F0614FB6ACEDB12BF0E31D00002087AED70000</t>
  </si>
  <si>
    <t>cmm4yuohd01lncuqw4dqbae5z</t>
  </si>
  <si>
    <t>http://localhost:8787/api/admin/requirements/documents/cmm4yuohd01lncuqw4dqbae5z/view</t>
  </si>
  <si>
    <t>=HYPERLÃ„NK("http://localhost:8787/api/admin/requirements/documents/cmm4yuohd01lncuqw4dqbae5z/view";"Ã–ppna PDF")</t>
  </si>
  <si>
    <t>=HYPERLINK("http://localhost:8787/api/admin/requirements/documents/cmm4yuohd01lncuqw4dqbae5z/view","Open PDF")</t>
  </si>
  <si>
    <t>Post Skara</t>
  </si>
  <si>
    <t>Post Skara kommun</t>
  </si>
  <si>
    <t>SKSBN-2024-254__2024-04-03_M - Beslut om fÃ¶rsiktighetsmÃ¥tt.pdf</t>
  </si>
  <si>
    <t>EfterfrÃ¥gade handlingar</t>
  </si>
  <si>
    <t>ADMIN-INDEX-2026-02-27-00000000125C043F57453246863FE664CAFE6A3F0700950291EA24F0614FB6ACEDB12BF0E31D00000000010C0000950291EA24F0614FB6ACEDB12BF0E31D00002087AED80000</t>
  </si>
  <si>
    <t>cmm4yuog701ktcuqwpqy40zq6</t>
  </si>
  <si>
    <t>http://localhost:8787/api/admin/requirements/documents/cmm4yuog701ktcuqwpqy40zq6/view</t>
  </si>
  <si>
    <t>=HYPERLÃ„NK("http://localhost:8787/api/admin/requirements/documents/cmm4yuog701ktcuqwpqy40zq6/view";"Ã–ppna PDF")</t>
  </si>
  <si>
    <t>=HYPERLINK("http://localhost:8787/api/admin/requirements/documents/cmm4yuog701ktcuqwpqy40zq6/view","Open PDF")</t>
  </si>
  <si>
    <t>ADMIN-INDEX-2026-02-27-00000000125C043F57453246863FE664CAFE6A3F0700950291EA24F0614FB6ACEDB12BF0E31D00000000010C0000950291EA24F0614FB6ACEDB12BF0E31D00002087AED90000</t>
  </si>
  <si>
    <t>cmm4yuofh01kbcuqw6gymbrbx</t>
  </si>
  <si>
    <t>http://localhost:8787/api/admin/requirements/documents/cmm4yuofh01kbcuqw6gymbrbx/view</t>
  </si>
  <si>
    <t>=HYPERLÃ„NK("http://localhost:8787/api/admin/requirements/documents/cmm4yuofh01kbcuqw6gymbrbx/view";"Ã–ppna PDF")</t>
  </si>
  <si>
    <t>=HYPERLINK("http://localhost:8787/api/admin/requirements/documents/cmm4yuofh01kbcuqw6gymbrbx/view","Open PDF")</t>
  </si>
  <si>
    <t>2025-103</t>
  </si>
  <si>
    <t>Karta situationsplan..pdf</t>
  </si>
  <si>
    <t>Ã„rende 2025-103</t>
  </si>
  <si>
    <t>ADMIN-INDEX-2026-02-27-00000000125C043F57453246863FE664CAFE6A3F0700950291EA24F0614FB6ACEDB12BF0E31D00000000010C0000950291EA24F0614FB6ACEDB12BF0E31D00002087AEDA0000</t>
  </si>
  <si>
    <t>cmm4yuof901k5cuqwyxqsxj4c</t>
  </si>
  <si>
    <t>http://localhost:8787/api/admin/requirements/documents/cmm4yuof901k5cuqwyxqsxj4c/view</t>
  </si>
  <si>
    <t>=HYPERLÃ„NK("http://localhost:8787/api/admin/requirements/documents/cmm4yuof901k5cuqwyxqsxj4c/view";"Ã–ppna PDF")</t>
  </si>
  <si>
    <t>=HYPERLINK("http://localhost:8787/api/admin/requirements/documents/cmm4yuof901k5cuqwyxqsxj4c/view","Open PDF")</t>
  </si>
  <si>
    <t>ADMIN-INDEX-2026-02-27-00000000125C043F57453246863FE664CAFE6A3F0700950291EA24F0614FB6ACEDB12BF0E31D00000000010C0000950291EA24F0614FB6ACEDB12BF0E31D00002087AEDF0000</t>
  </si>
  <si>
    <t>cmm4yuoez01jzcuqw7lf2nntc</t>
  </si>
  <si>
    <t>http://localhost:8787/api/admin/requirements/documents/cmm4yuoez01jzcuqw7lf2nntc/view</t>
  </si>
  <si>
    <t>=HYPERLÃ„NK("http://localhost:8787/api/admin/requirements/documents/cmm4yuoez01jzcuqw7lf2nntc/view";"Ã–ppna PDF")</t>
  </si>
  <si>
    <t>=HYPERLINK("http://localhost:8787/api/admin/requirements/documents/cmm4yuoez01jzcuqw7lf2nntc/view","Open PDF")</t>
  </si>
  <si>
    <t>Beslut pÃ¥ anmÃ¤lan Peab Bergmotet.pdf</t>
  </si>
  <si>
    <t>ADMIN-INDEX-2026-02-27-00000000125C043F57453246863FE664CAFE6A3F0700950291EA24F0614FB6ACEDB12BF0E31D00000000010C0000950291EA24F0614FB6ACEDB12BF0E31D00002087AEE00000</t>
  </si>
  <si>
    <t>cmm4yuoeq01jtcuqwvlf8cqjg</t>
  </si>
  <si>
    <t>http://localhost:8787/api/admin/requirements/documents/cmm4yuoeq01jtcuqwvlf8cqjg/view</t>
  </si>
  <si>
    <t>=HYPERLÃ„NK("http://localhost:8787/api/admin/requirements/documents/cmm4yuoeq01jtcuqwvlf8cqjg/view";"Ã–ppna PDF")</t>
  </si>
  <si>
    <t>=HYPERLINK("http://localhost:8787/api/admin/requirements/documents/cmm4yuoeq01jtcuqwvlf8cqjg/view","Open PDF")</t>
  </si>
  <si>
    <t>ADMIN-INDEX-2026-02-27-00000000125C043F57453246863FE664CAFE6A3F0700950291EA24F0614FB6ACEDB12BF0E31D00000000010C0000950291EA24F0614FB6ACEDB12BF0E31D00002087AEE10000</t>
  </si>
  <si>
    <t>cmm4yuoed01jkcuqwf4yc627n</t>
  </si>
  <si>
    <t>http://localhost:8787/api/admin/requirements/documents/cmm4yuoed01jkcuqwf4yc627n/view</t>
  </si>
  <si>
    <t>=HYPERLÃ„NK("http://localhost:8787/api/admin/requirements/documents/cmm4yuoed01jkcuqwf4yc627n/view";"Ã–ppna PDF")</t>
  </si>
  <si>
    <t>=HYPERLINK("http://localhost:8787/api/admin/requirements/documents/cmm4yuoed01jkcuqwf4yc627n/view","Open PDF")</t>
  </si>
  <si>
    <t>BeslutRapportPMbetongprovOrSkolan250110_446250.pdf</t>
  </si>
  <si>
    <t>Ã…tervinning av avfall i anlÃ¤ggningsÃ¤ndamÃ¥l, MIL.2025.263</t>
  </si>
  <si>
    <t>ADMIN-INDEX-2026-02-27-00000000125C043F57453246863FE664CAFE6A3F0700950291EA24F0614FB6ACEDB12BF0E31D00000000010C0000950291EA24F0614FB6ACEDB12BF0E31D00002087AEE20000</t>
  </si>
  <si>
    <t>cmm4yuodt01j5cuqwh07bezpo</t>
  </si>
  <si>
    <t>http://localhost:8787/api/admin/requirements/documents/cmm4yuodt01j5cuqwh07bezpo/view</t>
  </si>
  <si>
    <t>=HYPERLÃ„NK("http://localhost:8787/api/admin/requirements/documents/cmm4yuodt01j5cuqwh07bezpo/view";"Ã–ppna PDF")</t>
  </si>
  <si>
    <t>=HYPERLINK("http://localhost:8787/api/admin/requirements/documents/cmm4yuodt01j5cuqwh07bezpo/view","Open PDF")</t>
  </si>
  <si>
    <t>ADMIN-INDEX-2026-02-27-00000000125C043F57453246863FE664CAFE6A3F0700950291EA24F0614FB6ACEDB12BF0E31D00000000010C0000950291EA24F0614FB6ACEDB12BF0E31D00002087AEE30000</t>
  </si>
  <si>
    <t>cmm4yuodd01itcuqwsu3925ep</t>
  </si>
  <si>
    <t>http://localhost:8787/api/admin/requirements/documents/cmm4yuodd01itcuqwsu3925ep/view</t>
  </si>
  <si>
    <t>=HYPERLÃ„NK("http://localhost:8787/api/admin/requirements/documents/cmm4yuodd01itcuqwsu3925ep/view";"Ã–ppna PDF")</t>
  </si>
  <si>
    <t>=HYPERLINK("http://localhost:8787/api/admin/requirements/documents/cmm4yuodd01itcuqwsu3925ep/view","Open PDF")</t>
  </si>
  <si>
    <t>2024-66</t>
  </si>
  <si>
    <t>Beslut om anvÃ¤ndning av avfall fÃ¶r anlÃ¤ggningsÃ¤ndamÃ¥l.pdf</t>
  </si>
  <si>
    <t>Ã„rende  2024-66</t>
  </si>
  <si>
    <t>ADMIN-INDEX-2026-02-27-00000000125C043F57453246863FE664CAFE6A3F0700950291EA24F0614FB6ACEDB12BF0E31D00000000010C0000950291EA24F0614FB6ACEDB12BF0E31D00002087AEE40000</t>
  </si>
  <si>
    <t>cmm4yuock01i5cuqwjn9rp4vs</t>
  </si>
  <si>
    <t>http://localhost:8787/api/admin/requirements/documents/cmm4yuock01i5cuqwjn9rp4vs/view</t>
  </si>
  <si>
    <t>=HYPERLÃ„NK("http://localhost:8787/api/admin/requirements/documents/cmm4yuock01i5cuqwjn9rp4vs/view";"Ã–ppna PDF")</t>
  </si>
  <si>
    <t>=HYPERLINK("http://localhost:8787/api/admin/requirements/documents/cmm4yuock01i5cuqwjn9rp4vs/view","Open PDF")</t>
  </si>
  <si>
    <t>ADMIN-INDEX-2026-02-27-00000000125C043F57453246863FE664CAFE6A3F0700950291EA24F0614FB6ACEDB12BF0E31D00000000010C0000950291EA24F0614FB6ACEDB12BF0E31D00002087AEE70000</t>
  </si>
  <si>
    <t>cmm4yuobl01hbcuqwnu8ceke4</t>
  </si>
  <si>
    <t>http://localhost:8787/api/admin/requirements/documents/cmm4yuobl01hbcuqwnu8ceke4/view</t>
  </si>
  <si>
    <t>=HYPERLÃ„NK("http://localhost:8787/api/admin/requirements/documents/cmm4yuobl01hbcuqwnu8ceke4/view";"Ã–ppna PDF")</t>
  </si>
  <si>
    <t>=HYPERLINK("http://localhost:8787/api/admin/requirements/documents/cmm4yuobl01hbcuqwnu8ceke4/view","Open PDF")</t>
  </si>
  <si>
    <t>MiljÃ¶farlig verksamhet - anmÃ¤lan - 5762.pdf</t>
  </si>
  <si>
    <t>AvfallsanlÃ¤ggning Aneby</t>
  </si>
  <si>
    <t>ADMIN-INDEX-2026-02-27-00000000125C043F57453246863FE664CAFE6A3F0700950291EA24F0614FB6ACEDB12BF0E31D00000000010C0000950291EA24F0614FB6ACEDB12BF0E31D00002087AEE80000</t>
  </si>
  <si>
    <t>cmm4yuobc01h2cuqwfb2borl6</t>
  </si>
  <si>
    <t>http://localhost:8787/api/admin/requirements/documents/cmm4yuobc01h2cuqwfb2borl6/view</t>
  </si>
  <si>
    <t>=HYPERLÃ„NK("http://localhost:8787/api/admin/requirements/documents/cmm4yuobc01h2cuqwfb2borl6/view";"Ã–ppna PDF")</t>
  </si>
  <si>
    <t>=HYPERLINK("http://localhost:8787/api/admin/requirements/documents/cmm4yuobc01h2cuqwfb2borl6/view","Open PDF")</t>
  </si>
  <si>
    <t>ADMIN-INDEX-2026-02-27-00000000125C043F57453246863FE664CAFE6A3F0700950291EA24F0614FB6ACEDB12BF0E31D00000000010C0000950291EA24F0614FB6ACEDB12BF0E31D00002087AEEB0000</t>
  </si>
  <si>
    <t>cmm4yuoa601g2cuqw3hskdi0g</t>
  </si>
  <si>
    <t>http://localhost:8787/api/admin/requirements/documents/cmm4yuoa601g2cuqw3hskdi0g/view</t>
  </si>
  <si>
    <t>=HYPERLÃ„NK("http://localhost:8787/api/admin/requirements/documents/cmm4yuoa601g2cuqw3hskdi0g/view";"Ã–ppna PDF")</t>
  </si>
  <si>
    <t>=HYPERLINK("http://localhost:8787/api/admin/requirements/documents/cmm4yuoa601g2cuqw3hskdi0g/view","Open PDF")</t>
  </si>
  <si>
    <t>VAMBN-2024-557_3_2024-05-29_analys betong.pdf</t>
  </si>
  <si>
    <t>Sv: till registrator [2026kc6014]</t>
  </si>
  <si>
    <t>ADMIN-INDEX-2026-02-27-00000000125C043F57453246863FE664CAFE6A3F0700950291EA24F0614FB6ACEDB12BF0E31D00000000010C0000950291EA24F0614FB6ACEDB12BF0E31D00002087AEEC0000</t>
  </si>
  <si>
    <t>cmm4yuo8k01ewcuqw3o4xzf0h</t>
  </si>
  <si>
    <t>http://localhost:8787/api/admin/requirements/documents/cmm4yuo8k01ewcuqw3o4xzf0h/view</t>
  </si>
  <si>
    <t>=HYPERLÃ„NK("http://localhost:8787/api/admin/requirements/documents/cmm4yuo8k01ewcuqw3o4xzf0h/view";"Ã–ppna PDF")</t>
  </si>
  <si>
    <t>=HYPERLINK("http://localhost:8787/api/admin/requirements/documents/cmm4yuo8k01ewcuqw3o4xzf0h/view","Open PDF")</t>
  </si>
  <si>
    <t>ADMIN-INDEX-2026-02-27-00000000125C043F57453246863FE664CAFE6A3F0700950291EA24F0614FB6ACEDB12BF0E31D00000000010C0000950291EA24F0614FB6ACEDB12BF0E31D00002087AEED0000</t>
  </si>
  <si>
    <t>cmm4yuo7z01ehcuqwtcvxztnd</t>
  </si>
  <si>
    <t>http://localhost:8787/api/admin/requirements/documents/cmm4yuo7z01ehcuqwtcvxztnd/view</t>
  </si>
  <si>
    <t>=HYPERLÃ„NK("http://localhost:8787/api/admin/requirements/documents/cmm4yuo7z01ehcuqwtcvxztnd/view";"Ã–ppna PDF")</t>
  </si>
  <si>
    <t>=HYPERLINK("http://localhost:8787/api/admin/requirements/documents/cmm4yuo7z01ehcuqwtcvxztnd/view","Open PDF")</t>
  </si>
  <si>
    <t>BeslutMiljohandlaggareDB440FB_456087.pdf</t>
  </si>
  <si>
    <t>AnmÃ¤lan om lagring av avfall,  MIL.2025.531</t>
  </si>
  <si>
    <t>ADMIN-INDEX-2026-02-27-00000000125C043F57453246863FE664CAFE6A3F0700950291EA24F0614FB6ACEDB12BF0E31D00000000010C0000950291EA24F0614FB6ACEDB12BF0E31D00002087AEEE0000</t>
  </si>
  <si>
    <t>cmm4yuo7901dwcuqwvikd7d0j</t>
  </si>
  <si>
    <t>http://localhost:8787/api/admin/requirements/documents/cmm4yuo7901dwcuqwvikd7d0j/view</t>
  </si>
  <si>
    <t>=HYPERLÃ„NK("http://localhost:8787/api/admin/requirements/documents/cmm4yuo7901dwcuqwvikd7d0j/view";"Ã–ppna PDF")</t>
  </si>
  <si>
    <t>=HYPERLINK("http://localhost:8787/api/admin/requirements/documents/cmm4yuo7901dwcuqwvikd7d0j/view","Open PDF")</t>
  </si>
  <si>
    <t>ADMIN-INDEX-2026-02-27-00000000125C043F57453246863FE664CAFE6A3F0700950291EA24F0614FB6ACEDB12BF0E31D00000000010C0000950291EA24F0614FB6ACEDB12BF0E31D00002087AEEF0000</t>
  </si>
  <si>
    <t>cmm4yuo6g01dbcuqwz2t0dw7t</t>
  </si>
  <si>
    <t>http://localhost:8787/api/admin/requirements/documents/cmm4yuo6g01dbcuqwz2t0dw7t/view</t>
  </si>
  <si>
    <t>=HYPERLÃ„NK("http://localhost:8787/api/admin/requirements/documents/cmm4yuo6g01dbcuqwz2t0dw7t/view";"Ã–ppna PDF")</t>
  </si>
  <si>
    <t>=HYPERLINK("http://localhost:8787/api/admin/requirements/documents/cmm4yuo6g01dbcuqwz2t0dw7t/view","Open PDF")</t>
  </si>
  <si>
    <t>Sundbybergs</t>
  </si>
  <si>
    <t>Sundbybergs kommun</t>
  </si>
  <si>
    <t>Masshanteringsplan v3 MIL.2025.564.pdf</t>
  </si>
  <si>
    <t>ADMIN-INDEX-2026-02-27-00000000125C043F57453246863FE664CAFE6A3F0700950291EA24F0614FB6ACEDB12BF0E31D00000000010C0000950291EA24F0614FB6ACEDB12BF0E31D00002087AEF00000</t>
  </si>
  <si>
    <t>cmm4yuo5o01ctcuqwke7dio7y</t>
  </si>
  <si>
    <t>http://localhost:8787/api/admin/requirements/documents/cmm4yuo5o01ctcuqwke7dio7y/view</t>
  </si>
  <si>
    <t>=HYPERLÃ„NK("http://localhost:8787/api/admin/requirements/documents/cmm4yuo5o01ctcuqwke7dio7y/view";"Ã–ppna PDF")</t>
  </si>
  <si>
    <t>=HYPERLINK("http://localhost:8787/api/admin/requirements/documents/cmm4yuo5o01ctcuqwke7dio7y/view","Open PDF")</t>
  </si>
  <si>
    <t>ADMIN-INDEX-2026-02-27-00000000125C043F57453246863FE664CAFE6A3F0700950291EA24F0614FB6ACEDB12BF0E31D00000000010C0000950291EA24F0614FB6ACEDB12BF0E31D00002087AEF10000</t>
  </si>
  <si>
    <t>cmm4yuo5601cbcuqwam1x6ve1</t>
  </si>
  <si>
    <t>http://localhost:8787/api/admin/requirements/documents/cmm4yuo5601cbcuqwam1x6ve1/view</t>
  </si>
  <si>
    <t>=HYPERLÃ„NK("http://localhost:8787/api/admin/requirements/documents/cmm4yuo5601cbcuqwam1x6ve1/view";"Ã–ppna PDF")</t>
  </si>
  <si>
    <t>=HYPERLINK("http://localhost:8787/api/admin/requirements/documents/cmm4yuo5601cbcuqwam1x6ve1/view","Open PDF")</t>
  </si>
  <si>
    <t>se SÃ¤ters</t>
  </si>
  <si>
    <t>se SÃ¤ters kommun</t>
  </si>
  <si>
    <t>0225-55</t>
  </si>
  <si>
    <t>2025-05-05 Beslut (dnr 2025-191).pdf</t>
  </si>
  <si>
    <t>Sv: till registrator - BegÃ¤ran av allmÃ¤n handling</t>
  </si>
  <si>
    <t>ADMIN-INDEX-2026-02-27-00000000125C043F57453246863FE664CAFE6A3F0700950291EA24F0614FB6ACEDB12BF0E31D00000000010C0000950291EA24F0614FB6ACEDB12BF0E31D00002087AEF20000</t>
  </si>
  <si>
    <t>cmm4yuo4a01bkcuqwn0oorufq</t>
  </si>
  <si>
    <t>http://localhost:8787/api/admin/requirements/documents/cmm4yuo4a01bkcuqwn0oorufq/view</t>
  </si>
  <si>
    <t>=HYPERLÃ„NK("http://localhost:8787/api/admin/requirements/documents/cmm4yuo4a01bkcuqwn0oorufq/view";"Ã–ppna PDF")</t>
  </si>
  <si>
    <t>=HYPERLINK("http://localhost:8787/api/admin/requirements/documents/cmm4yuo4a01bkcuqwn0oorufq/view","Open PDF")</t>
  </si>
  <si>
    <t>ADMIN-INDEX-2026-02-27-00000000125C043F57453246863FE664CAFE6A3F0700950291EA24F0614FB6ACEDB12BF0E31D00000000010C0000950291EA24F0614FB6ACEDB12BF0E31D00002087AEF30000</t>
  </si>
  <si>
    <t>cmm4yuo3f01atcuqwn97e7vzm</t>
  </si>
  <si>
    <t>http://localhost:8787/api/admin/requirements/documents/cmm4yuo3f01atcuqwn97e7vzm/view</t>
  </si>
  <si>
    <t>=HYPERLÃ„NK("http://localhost:8787/api/admin/requirements/documents/cmm4yuo3f01atcuqwn97e7vzm/view";"Ã–ppna PDF")</t>
  </si>
  <si>
    <t>=HYPERLINK("http://localhost:8787/api/admin/requirements/documents/cmm4yuo3f01atcuqwn97e7vzm/view","Open PDF")</t>
  </si>
  <si>
    <t>nummer Webbadress EnkÃ¶pings</t>
  </si>
  <si>
    <t>nummer Webbadress EnkÃ¶pings kommun</t>
  </si>
  <si>
    <t>MIL20242313pdf_976561.pdf</t>
  </si>
  <si>
    <t>ADMIN-INDEX-2026-02-27-00000000125C043F57453246863FE664CAFE6A3F0700950291EA24F0614FB6ACEDB12BF0E31D00000000010C0000950291EA24F0614FB6ACEDB12BF0E31D00002087AEF40000</t>
  </si>
  <si>
    <t>cmm4yuo2v01aecuqwrs33d0lp</t>
  </si>
  <si>
    <t>http://localhost:8787/api/admin/requirements/documents/cmm4yuo2v01aecuqwrs33d0lp/view</t>
  </si>
  <si>
    <t>=HYPERLÃ„NK("http://localhost:8787/api/admin/requirements/documents/cmm4yuo2v01aecuqwrs33d0lp/view";"Ã–ppna PDF")</t>
  </si>
  <si>
    <t>=HYPERLINK("http://localhost:8787/api/admin/requirements/documents/cmm4yuo2v01aecuqwrs33d0lp/view","Open PDF")</t>
  </si>
  <si>
    <t>ADMIN-INDEX-2026-02-27-00000000125C043F57453246863FE664CAFE6A3F0700950291EA24F0614FB6ACEDB12BF0E31D00000000010C0000950291EA24F0614FB6ACEDB12BF0E31D00002087AEF50000</t>
  </si>
  <si>
    <t>cmm4yuo2e019zcuqw2jcty2mf</t>
  </si>
  <si>
    <t>http://localhost:8787/api/admin/requirements/documents/cmm4yuo2e019zcuqw2jcty2mf/view</t>
  </si>
  <si>
    <t>=HYPERLÃ„NK("http://localhost:8787/api/admin/requirements/documents/cmm4yuo2e019zcuqw2jcty2mf/view";"Ã–ppna PDF")</t>
  </si>
  <si>
    <t>=HYPERLINK("http://localhost:8787/api/admin/requirements/documents/cmm4yuo2e019zcuqw2jcty2mf/view","Open PDF")</t>
  </si>
  <si>
    <t>MIL2024526pdf_976554.pdf</t>
  </si>
  <si>
    <t>ADMIN-INDEX-2026-02-27-00000000125C043F57453246863FE664CAFE6A3F0700950291EA24F0614FB6ACEDB12BF0E31D00000000010C0000950291EA24F0614FB6ACEDB12BF0E31D00002087AEF60000</t>
  </si>
  <si>
    <t>cmm4yuo22019ncuqwfc19cfnc</t>
  </si>
  <si>
    <t>http://localhost:8787/api/admin/requirements/documents/cmm4yuo22019ncuqwfc19cfnc/view</t>
  </si>
  <si>
    <t>=HYPERLÃ„NK("http://localhost:8787/api/admin/requirements/documents/cmm4yuo22019ncuqwfc19cfnc/view";"Ã–ppna PDF")</t>
  </si>
  <si>
    <t>=HYPERLINK("http://localhost:8787/api/admin/requirements/documents/cmm4yuo22019ncuqwfc19cfnc/view","Open PDF")</t>
  </si>
  <si>
    <t>ADMIN-INDEX-2026-02-27-00000000125C043F57453246863FE664CAFE6A3F0700950291EA24F0614FB6ACEDB12BF0E31D00000000010C0000950291EA24F0614FB6ACEDB12BF0E31D00002087AEF70000</t>
  </si>
  <si>
    <t>cmm4yuo1l0198cuqwfklwg66t</t>
  </si>
  <si>
    <t>http://localhost:8787/api/admin/requirements/documents/cmm4yuo1l0198cuqwfklwg66t/view</t>
  </si>
  <si>
    <t>=HYPERLÃ„NK("http://localhost:8787/api/admin/requirements/documents/cmm4yuo1l0198cuqwfklwg66t/view";"Ã–ppna PDF")</t>
  </si>
  <si>
    <t>=HYPERLINK("http://localhost:8787/api/admin/requirements/documents/cmm4yuo1l0198cuqwfklwg66t/view","Open PDF")</t>
  </si>
  <si>
    <t>2004:62</t>
  </si>
  <si>
    <t>2025-12-01 AnmÃ¤lan (dnr 2025-515).pdf</t>
  </si>
  <si>
    <t>ADMIN-INDEX-2026-02-27-00000000125C043F57453246863FE664CAFE6A3F0700950291EA24F0614FB6ACEDB12BF0E31D00000000010C0000950291EA24F0614FB6ACEDB12BF0E31D00002087AEF80000</t>
  </si>
  <si>
    <t>cmm4yuo0n018ecuqwgykqcb0s</t>
  </si>
  <si>
    <t>http://localhost:8787/api/admin/requirements/documents/cmm4yuo0n018ecuqwgykqcb0s/view</t>
  </si>
  <si>
    <t>=HYPERLÃ„NK("http://localhost:8787/api/admin/requirements/documents/cmm4yuo0n018ecuqwgykqcb0s/view";"Ã–ppna PDF")</t>
  </si>
  <si>
    <t>=HYPERLINK("http://localhost:8787/api/admin/requirements/documents/cmm4yuo0n018ecuqwgykqcb0s/view","Open PDF")</t>
  </si>
  <si>
    <t>ADMIN-INDEX-2026-02-27-00000000125C043F57453246863FE664CAFE6A3F0700950291EA24F0614FB6ACEDB12BF0E31D00000000010C0000950291EA24F0614FB6ACEDB12BF0E31D00002087AEF90000</t>
  </si>
  <si>
    <t>cmm4yunzq017ncuqwppmobksj</t>
  </si>
  <si>
    <t>http://localhost:8787/api/admin/requirements/documents/cmm4yunzq017ncuqwppmobksj/view</t>
  </si>
  <si>
    <t>=HYPERLÃ„NK("http://localhost:8787/api/admin/requirements/documents/cmm4yunzq017ncuqwppmobksj/view";"Ã–ppna PDF")</t>
  </si>
  <si>
    <t>=HYPERLINK("http://localhost:8787/api/admin/requirements/documents/cmm4yunzq017ncuqwppmobksj/view","Open PDF")</t>
  </si>
  <si>
    <t>UtlÃ¤mnande av allmÃ¤nna handlingar</t>
  </si>
  <si>
    <t>ADMIN-INDEX-2026-02-27-00000000125C043F57453246863FE664CAFE6A3F0700950291EA24F0614FB6ACEDB12BF0E31D00000000010C0000950291EA24F0614FB6ACEDB12BF0E31D00002087AEFA0000</t>
  </si>
  <si>
    <t>cmm4yunzn017kcuqw4gxt3o5h</t>
  </si>
  <si>
    <t>http://localhost:8787/api/admin/requirements/documents/cmm4yunzn017kcuqw4gxt3o5h/view</t>
  </si>
  <si>
    <t>=HYPERLÃ„NK("http://localhost:8787/api/admin/requirements/documents/cmm4yunzn017kcuqw4gxt3o5h/view";"Ã–ppna PDF")</t>
  </si>
  <si>
    <t>=HYPERLINK("http://localhost:8787/api/admin/requirements/documents/cmm4yunzn017kcuqw4gxt3o5h/view","Open PDF")</t>
  </si>
  <si>
    <t>ADMIN-INDEX-2026-02-27-00000000125C043F57453246863FE664CAFE6A3F0700950291EA24F0614FB6ACEDB12BF0E31D00000000010C0000950291EA24F0614FB6ACEDB12BF0E31D00002087AEFB0000</t>
  </si>
  <si>
    <t>cmm4yunzk017hcuqw4gd878mw</t>
  </si>
  <si>
    <t>http://localhost:8787/api/admin/requirements/documents/cmm4yunzk017hcuqw4gd878mw/view</t>
  </si>
  <si>
    <t>=HYPERLÃ„NK("http://localhost:8787/api/admin/requirements/documents/cmm4yunzk017hcuqw4gd878mw/view";"Ã–ppna PDF")</t>
  </si>
  <si>
    <t>=HYPERLINK("http://localhost:8787/api/admin/requirements/documents/cmm4yunzk017hcuqw4gd878mw/view","Open PDF")</t>
  </si>
  <si>
    <t>SamhÃ¤llsbyggnadsnÃ¤mnden Beslut Gnesta</t>
  </si>
  <si>
    <t>SamhÃ¤llsbyggnadsnÃ¤mnden Beslut Gnesta kommun</t>
  </si>
  <si>
    <t>MIL2024149_2026-02-03.pdf</t>
  </si>
  <si>
    <t>VB: Mejl frÃ¥n kommunens gemensamma mejlkorg [2026GT3137]</t>
  </si>
  <si>
    <t>ADMIN-INDEX-2026-02-27-00000000125C043F57453246863FE664CAFE6A3F0700950291EA24F0614FB6ACEDB12BF0E31D00000000010C0000950291EA24F0614FB6ACEDB12BF0E31D00002087AEFC0000</t>
  </si>
  <si>
    <t>cmm4yunze017bcuqwnizar72s</t>
  </si>
  <si>
    <t>http://localhost:8787/api/admin/requirements/documents/cmm4yunze017bcuqwnizar72s/view</t>
  </si>
  <si>
    <t>=HYPERLÃ„NK("http://localhost:8787/api/admin/requirements/documents/cmm4yunze017bcuqwnizar72s/view";"Ã–ppna PDF")</t>
  </si>
  <si>
    <t>=HYPERLINK("http://localhost:8787/api/admin/requirements/documents/cmm4yunze017bcuqwnizar72s/view","Open PDF")</t>
  </si>
  <si>
    <t>ADMIN-INDEX-2026-02-27-00000000125C043F57453246863FE664CAFE6A3F0700950291EA24F0614FB6ACEDB12BF0E31D00000000010C0000950291EA24F0614FB6ACEDB12BF0E31D00002087AF050000</t>
  </si>
  <si>
    <t>cmm4yunz0016zcuqw452huqhy</t>
  </si>
  <si>
    <t>http://localhost:8787/api/admin/requirements/documents/cmm4yunz0016zcuqw452huqhy/view</t>
  </si>
  <si>
    <t>=HYPERLÃ„NK("http://localhost:8787/api/admin/requirements/documents/cmm4yunz0016zcuqw452huqhy/view";"Ã–ppna PDF")</t>
  </si>
  <si>
    <t>=HYPERLINK("http://localhost:8787/api/admin/requirements/documents/cmm4yunz0016zcuqw452huqhy/view","Open PDF")</t>
  </si>
  <si>
    <t>i Osby</t>
  </si>
  <si>
    <t>i Osby kommun</t>
  </si>
  <si>
    <t>0479-52</t>
  </si>
  <si>
    <t>Ramen_4_beslut.pdf</t>
  </si>
  <si>
    <t>ADMIN-INDEX-2026-02-27-00000000125C043F57453246863FE664CAFE6A3F0700950291EA24F0614FB6ACEDB12BF0E31D00000000010C0000950291EA24F0614FB6ACEDB12BF0E31D00002087AF060000</t>
  </si>
  <si>
    <t>cmm4yuny10162cuqwmghj3oaq</t>
  </si>
  <si>
    <t>http://localhost:8787/api/admin/requirements/documents/cmm4yuny10162cuqwmghj3oaq/view</t>
  </si>
  <si>
    <t>=HYPERLÃ„NK("http://localhost:8787/api/admin/requirements/documents/cmm4yuny10162cuqwmghj3oaq/view";"Ã–ppna PDF")</t>
  </si>
  <si>
    <t>=HYPERLINK("http://localhost:8787/api/admin/requirements/documents/cmm4yuny10162cuqwmghj3oaq/view","Open PDF")</t>
  </si>
  <si>
    <t>ADMIN-INDEX-2026-02-27-00000000125C043F57453246863FE664CAFE6A3F0700950291EA24F0614FB6ACEDB12BF0E31D00000000010C0000950291EA24F0614FB6ACEDB12BF0E31D00002087AF070000</t>
  </si>
  <si>
    <t>cmm4yunww014wcuqwr4qcrzmq</t>
  </si>
  <si>
    <t>http://localhost:8787/api/admin/requirements/documents/cmm4yunww014wcuqwr4qcrzmq/view</t>
  </si>
  <si>
    <t>=HYPERLÃ„NK("http://localhost:8787/api/admin/requirements/documents/cmm4yunww014wcuqwr4qcrzmq/view";"Ã–ppna PDF")</t>
  </si>
  <si>
    <t>=HYPERLINK("http://localhost:8787/api/admin/requirements/documents/cmm4yunww014wcuqwr4qcrzmq/view","Open PDF")</t>
  </si>
  <si>
    <t>i Karlskrona</t>
  </si>
  <si>
    <t>i Karlskrona kommun</t>
  </si>
  <si>
    <t>0455-32</t>
  </si>
  <si>
    <t>MSN-2024-1016_2024-03-06_MSN-2022-4871_2023-02-16_Beslut_(2).pdf</t>
  </si>
  <si>
    <t>Handlingar rÃ¶rande anmÃ¤lningspliktiga verksamheter (C verksamheter)</t>
  </si>
  <si>
    <t>ADMIN-INDEX-2026-02-27-00000000125C043F57453246863FE664CAFE6A3F0700950291EA24F0614FB6ACEDB12BF0E31D00000000010C0000950291EA24F0614FB6ACEDB12BF0E31D00002087AF080000</t>
  </si>
  <si>
    <t>cmm4yunvp013kcuqwu71ju9j0</t>
  </si>
  <si>
    <t>http://localhost:8787/api/admin/requirements/documents/cmm4yunvp013kcuqwu71ju9j0/view</t>
  </si>
  <si>
    <t>=HYPERLÃ„NK("http://localhost:8787/api/admin/requirements/documents/cmm4yunvp013kcuqwu71ju9j0/view";"Ã–ppna PDF")</t>
  </si>
  <si>
    <t>=HYPERLINK("http://localhost:8787/api/admin/requirements/documents/cmm4yunvp013kcuqwu71ju9j0/view","Open PDF")</t>
  </si>
  <si>
    <t>ADMIN-INDEX-2026-02-27-00000000125C043F57453246863FE664CAFE6A3F0700950291EA24F0614FB6ACEDB12BF0E31D00000000010C0000950291EA24F0614FB6ACEDB12BF0E31D00002087AF090000</t>
  </si>
  <si>
    <t>cmm4yunuo012hcuqwci7zdqkj</t>
  </si>
  <si>
    <t>http://localhost:8787/api/admin/requirements/documents/cmm4yunuo012hcuqwci7zdqkj/view</t>
  </si>
  <si>
    <t>=HYPERLÃ„NK("http://localhost:8787/api/admin/requirements/documents/cmm4yunuo012hcuqwci7zdqkj/view";"Ã–ppna PDF")</t>
  </si>
  <si>
    <t>=HYPERLINK("http://localhost:8787/api/admin/requirements/documents/cmm4yunuo012hcuqwci7zdqkj/view","Open PDF")</t>
  </si>
  <si>
    <t>E-post med kompletterande svar frÃ¥n Swerock.pdf</t>
  </si>
  <si>
    <t>ADMIN-INDEX-2026-02-27-00000000125C043F57453246863FE664CAFE6A3F0700950291EA24F0614FB6ACEDB12BF0E31D00000000010C0000950291EA24F0614FB6ACEDB12BF0E31D00002087AF0A0000</t>
  </si>
  <si>
    <t>cmm4yunt0010ncuqwxpd0eacl</t>
  </si>
  <si>
    <t>http://localhost:8787/api/admin/requirements/documents/cmm4yunt0010ncuqwxpd0eacl/view</t>
  </si>
  <si>
    <t>=HYPERLÃ„NK("http://localhost:8787/api/admin/requirements/documents/cmm4yunt0010ncuqwxpd0eacl/view";"Ã–ppna PDF")</t>
  </si>
  <si>
    <t>=HYPERLINK("http://localhost:8787/api/admin/requirements/documents/cmm4yunt0010ncuqwxpd0eacl/view","Open PDF")</t>
  </si>
  <si>
    <t>ADMIN-INDEX-2026-02-27-00000000125C043F57453246863FE664CAFE6A3F0700950291EA24F0614FB6ACEDB12BF0E31D00000000010C0000950291EA24F0614FB6ACEDB12BF0E31D00002087AF0B0000</t>
  </si>
  <si>
    <t>cmm4yunr800ytcuqwwfwmk330</t>
  </si>
  <si>
    <t>http://localhost:8787/api/admin/requirements/documents/cmm4yunr800ytcuqwwfwmk330/view</t>
  </si>
  <si>
    <t>=HYPERLÃ„NK("http://localhost:8787/api/admin/requirements/documents/cmm4yunr800ytcuqwwfwmk330/view";"Ã–ppna PDF")</t>
  </si>
  <si>
    <t>=HYPERLINK("http://localhost:8787/api/admin/requirements/documents/cmm4yunr800ytcuqwwfwmk330/view","Open PDF")</t>
  </si>
  <si>
    <t>re</t>
  </si>
  <si>
    <t>re kommun</t>
  </si>
  <si>
    <t>MIL.2025.629.pdf</t>
  </si>
  <si>
    <t>ADMIN-INDEX-2026-02-27-00000000125C043F57453246863FE664CAFE6A3F0700950291EA24F0614FB6ACEDB12BF0E31D00000000010C0000950291EA24F0614FB6ACEDB12BF0E31D00002087AF0C0000</t>
  </si>
  <si>
    <t>cmm4yunr000ykcuqwr4euonza</t>
  </si>
  <si>
    <t>http://localhost:8787/api/admin/requirements/documents/cmm4yunr000ykcuqwr4euonza/view</t>
  </si>
  <si>
    <t>=HYPERLÃ„NK("http://localhost:8787/api/admin/requirements/documents/cmm4yunr000ykcuqwr4euonza/view";"Ã–ppna PDF")</t>
  </si>
  <si>
    <t>=HYPERLINK("http://localhost:8787/api/admin/requirements/documents/cmm4yunr000ykcuqwr4euonza/view","Open PDF")</t>
  </si>
  <si>
    <t>ADMIN-INDEX-2026-02-27-00000000125C043F57453246863FE664CAFE6A3F0700950291EA24F0614FB6ACEDB12BF0E31D00000000010C0000950291EA24F0614FB6ACEDB12BF0E31D00002087AF110000</t>
  </si>
  <si>
    <t>cmm4yunqr00ybcuqwkt0vyb2o</t>
  </si>
  <si>
    <t>http://localhost:8787/api/admin/requirements/documents/cmm4yunqr00ybcuqwkt0vyb2o/view</t>
  </si>
  <si>
    <t>=HYPERLÃ„NK("http://localhost:8787/api/admin/requirements/documents/cmm4yunqr00ybcuqwkt0vyb2o/view";"Ã–ppna PDF")</t>
  </si>
  <si>
    <t>=HYPERLINK("http://localhost:8787/api/admin/requirements/documents/cmm4yunqr00ybcuqwkt0vyb2o/view","Open PDF")</t>
  </si>
  <si>
    <t>Filipstads</t>
  </si>
  <si>
    <t>Filipstads kommun</t>
  </si>
  <si>
    <t>2025-235</t>
  </si>
  <si>
    <t>Beslut Mossen.pdf</t>
  </si>
  <si>
    <t>ADMIN-INDEX-2026-02-27-00000000125C043F57453246863FE664CAFE6A3F0700950291EA24F0614FB6ACEDB12BF0E31D00000000010C0000950291EA24F0614FB6ACEDB12BF0E31D00002087AF120000</t>
  </si>
  <si>
    <t>cmm4yunq500xncuqwxnsgzop8</t>
  </si>
  <si>
    <t>http://localhost:8787/api/admin/requirements/documents/cmm4yunq500xncuqwxnsgzop8/view</t>
  </si>
  <si>
    <t>=HYPERLÃ„NK("http://localhost:8787/api/admin/requirements/documents/cmm4yunq500xncuqwxnsgzop8/view";"Ã–ppna PDF")</t>
  </si>
  <si>
    <t>=HYPERLINK("http://localhost:8787/api/admin/requirements/documents/cmm4yunq500xncuqwxnsgzop8/view","Open PDF")</t>
  </si>
  <si>
    <t>ADMIN-INDEX-2026-02-27-00000000125C043F57453246863FE664CAFE6A3F0700950291EA24F0614FB6ACEDB12BF0E31D00000000010C0000950291EA24F0614FB6ACEDB12BF0E31D00002087B1720000</t>
  </si>
  <si>
    <t>cmm4yunpb00wzcuqw0xf5ut8v</t>
  </si>
  <si>
    <t>http://localhost:8787/api/admin/requirements/documents/cmm4yunpb00wzcuqw0xf5ut8v/view</t>
  </si>
  <si>
    <t>=HYPERLÃ„NK("http://localhost:8787/api/admin/requirements/documents/cmm4yunpb00wzcuqw0xf5ut8v/view";"Ã–ppna PDF")</t>
  </si>
  <si>
    <t>=HYPERLINK("http://localhost:8787/api/admin/requirements/documents/cmm4yunpb00wzcuqw0xf5ut8v/view","Open PDF")</t>
  </si>
  <si>
    <t>M-2025-829--FÃ¶relÃ¤ggande enligt miljÃ¶balken .pdf</t>
  </si>
  <si>
    <t>ADMIN-INDEX-2026-02-27-00000000125C043F57453246863FE664CAFE6A3F0700950291EA24F0614FB6ACEDB12BF0E31D00000000010C0000950291EA24F0614FB6ACEDB12BF0E31D00002087B1730000</t>
  </si>
  <si>
    <t>cmm4yunoj00w5cuqw91w6ft7m</t>
  </si>
  <si>
    <t>http://localhost:8787/api/admin/requirements/documents/cmm4yunoj00w5cuqw91w6ft7m/view</t>
  </si>
  <si>
    <t>=HYPERLÃ„NK("http://localhost:8787/api/admin/requirements/documents/cmm4yunoj00w5cuqw91w6ft7m/view";"Ã–ppna PDF")</t>
  </si>
  <si>
    <t>=HYPERLINK("http://localhost:8787/api/admin/requirements/documents/cmm4yunoj00w5cuqw91w6ft7m/view","Open PDF")</t>
  </si>
  <si>
    <t>ADMIN-INDEX-2026-02-27-00000000125C043F57453246863FE664CAFE6A3F0700950291EA24F0614FB6ACEDB12BF0E31D00000000010C0000950291EA24F0614FB6ACEDB12BF0E31D00002087B1780000</t>
  </si>
  <si>
    <t>cmm4yunnf00v2cuqwy7slxvjp</t>
  </si>
  <si>
    <t>http://localhost:8787/api/admin/requirements/documents/cmm4yunnf00v2cuqwy7slxvjp/view</t>
  </si>
  <si>
    <t>=HYPERLÃ„NK("http://localhost:8787/api/admin/requirements/documents/cmm4yunnf00v2cuqwy7slxvjp/view";"Ã–ppna PDF")</t>
  </si>
  <si>
    <t>=HYPERLINK("http://localhost:8787/api/admin/requirements/documents/cmm4yunnf00v2cuqwy7slxvjp/view","Open PDF")</t>
  </si>
  <si>
    <t>org nr Valdemarsviks</t>
  </si>
  <si>
    <t>org nr Valdemarsviks kommun</t>
  </si>
  <si>
    <t>MBNV-2024-602_2025-01-24_Beslut MiljÃ¶farlig verksamhet.pdf</t>
  </si>
  <si>
    <t>ADMIN-INDEX-2026-02-27-00000000125C043F57453246863FE664CAFE6A3F0700950291EA24F0614FB6ACEDB12BF0E31D00000000010C0000950291EA24F0614FB6ACEDB12BF0E31D00002087B17A0000</t>
  </si>
  <si>
    <t>cmm4yunma00ttcuqwanbvb8ob</t>
  </si>
  <si>
    <t>http://localhost:8787/api/admin/requirements/documents/cmm4yunma00ttcuqwanbvb8ob/view</t>
  </si>
  <si>
    <t>=HYPERLÃ„NK("http://localhost:8787/api/admin/requirements/documents/cmm4yunma00ttcuqwanbvb8ob/view";"Ã–ppna PDF")</t>
  </si>
  <si>
    <t>=HYPERLINK("http://localhost:8787/api/admin/requirements/documents/cmm4yunma00ttcuqwanbvb8ob/view","Open PDF")</t>
  </si>
  <si>
    <t>M-2025-911-6-FÃ¶relÃ¤ggande fÃ¶rsiktighetsmÃ¥tt.pdf</t>
  </si>
  <si>
    <t>ADMIN-INDEX-2026-02-27-00000000125C043F57453246863FE664CAFE6A3F0700950291EA24F0614FB6ACEDB12BF0E31D00000000010C0000950291EA24F0614FB6ACEDB12BF0E31D00002087B17B0000</t>
  </si>
  <si>
    <t>cmm4yunls00tbcuqwdvin6pe1</t>
  </si>
  <si>
    <t>http://localhost:8787/api/admin/requirements/documents/cmm4yunls00tbcuqwdvin6pe1/view</t>
  </si>
  <si>
    <t>=HYPERLÃ„NK("http://localhost:8787/api/admin/requirements/documents/cmm4yunls00tbcuqwdvin6pe1/view";"Ã–ppna PDF")</t>
  </si>
  <si>
    <t>=HYPERLINK("http://localhost:8787/api/admin/requirements/documents/cmm4yunls00tbcuqwdvin6pe1/view","Open PDF")</t>
  </si>
  <si>
    <t>ADMIN-INDEX-2026-02-27-00000000125C043F57453246863FE664CAFE6A3F0700950291EA24F0614FB6ACEDB12BF0E31D00000000010C0000950291EA24F0614FB6ACEDB12BF0E31D00002087B1860000</t>
  </si>
  <si>
    <t>cmm4yunlb00stcuqw956bj2gh</t>
  </si>
  <si>
    <t>http://localhost:8787/api/admin/requirements/documents/cmm4yunlb00stcuqw956bj2gh/view</t>
  </si>
  <si>
    <t>=HYPERLÃ„NK("http://localhost:8787/api/admin/requirements/documents/cmm4yunlb00stcuqw956bj2gh/view";"Ã–ppna PDF")</t>
  </si>
  <si>
    <t>=HYPERLINK("http://localhost:8787/api/admin/requirements/documents/cmm4yunlb00stcuqw956bj2gh/view","Open PDF")</t>
  </si>
  <si>
    <t>MIL2024916pdf_976512.pdf</t>
  </si>
  <si>
    <t>ADMIN-INDEX-2026-02-27-00000000125C043F57453246863FE664CAFE6A3F0700950291EA24F0614FB6ACEDB12BF0E31D00000000010C0000950291EA24F0614FB6ACEDB12BF0E31D00002087B1870000</t>
  </si>
  <si>
    <t>cmm4yunks00sbcuqwfzxlz1mj</t>
  </si>
  <si>
    <t>http://localhost:8787/api/admin/requirements/documents/cmm4yunks00sbcuqwfzxlz1mj/view</t>
  </si>
  <si>
    <t>=HYPERLÃ„NK("http://localhost:8787/api/admin/requirements/documents/cmm4yunks00sbcuqwfzxlz1mj/view";"Ã–ppna PDF")</t>
  </si>
  <si>
    <t>=HYPERLINK("http://localhost:8787/api/admin/requirements/documents/cmm4yunks00sbcuqwfzxlz1mj/view","Open PDF")</t>
  </si>
  <si>
    <t>MIL20242459pdf_976503.pdf</t>
  </si>
  <si>
    <t>ADMIN-INDEX-2026-02-27-00000000125C043F57453246863FE664CAFE6A3F0700950291EA24F0614FB6ACEDB12BF0E31D00000000010C0000950291EA24F0614FB6ACEDB12BF0E31D00002087B1880000</t>
  </si>
  <si>
    <t>cmm4yunkf00rwcuqw0lvn1jq7</t>
  </si>
  <si>
    <t>http://localhost:8787/api/admin/requirements/documents/cmm4yunkf00rwcuqw0lvn1jq7/view</t>
  </si>
  <si>
    <t>=HYPERLÃ„NK("http://localhost:8787/api/admin/requirements/documents/cmm4yunkf00rwcuqw0lvn1jq7/view";"Ã–ppna PDF")</t>
  </si>
  <si>
    <t>=HYPERLINK("http://localhost:8787/api/admin/requirements/documents/cmm4yunkf00rwcuqw0lvn1jq7/view","Open PDF")</t>
  </si>
  <si>
    <t>251117-MMAVANLAN-BB20.pdf</t>
  </si>
  <si>
    <t>ADMIN-INDEX-2026-02-27-00000000125C043F57453246863FE664CAFE6A3F0700950291EA24F0614FB6ACEDB12BF0E31D00000000010C0000950291EA24F0614FB6ACEDB12BF0E31D00002087B1890000</t>
  </si>
  <si>
    <t>cmm4yunk400rkcuqw69tecqiq</t>
  </si>
  <si>
    <t>http://localhost:8787/api/admin/requirements/documents/cmm4yunk400rkcuqw69tecqiq/view</t>
  </si>
  <si>
    <t>=HYPERLÃ„NK("http://localhost:8787/api/admin/requirements/documents/cmm4yunk400rkcuqw69tecqiq/view";"Ã–ppna PDF")</t>
  </si>
  <si>
    <t>=HYPERLINK("http://localhost:8787/api/admin/requirements/documents/cmm4yunk400rkcuqw69tecqiq/view","Open PDF")</t>
  </si>
  <si>
    <t>MIL20242200pdf_976497.pdf</t>
  </si>
  <si>
    <t>ADMIN-INDEX-2026-02-27-00000000125C043F57453246863FE664CAFE6A3F0700950291EA24F0614FB6ACEDB12BF0E31D00000000010C0000950291EA24F0614FB6ACEDB12BF0E31D00002087B18A0000</t>
  </si>
  <si>
    <t>cmm4yunjq00r5cuqwww7lwlot</t>
  </si>
  <si>
    <t>http://localhost:8787/api/admin/requirements/documents/cmm4yunjq00r5cuqwww7lwlot/view</t>
  </si>
  <si>
    <t>=HYPERLÃ„NK("http://localhost:8787/api/admin/requirements/documents/cmm4yunjq00r5cuqwww7lwlot/view";"Ã–ppna PDF")</t>
  </si>
  <si>
    <t>=HYPERLINK("http://localhost:8787/api/admin/requirements/documents/cmm4yunjq00r5cuqwww7lwlot/view","Open PDF")</t>
  </si>
  <si>
    <t>MIL20241945pdf_976490.pdf</t>
  </si>
  <si>
    <t>ADMIN-INDEX-2026-02-27-00000000125C043F57453246863FE664CAFE6A3F0700950291EA24F0614FB6ACEDB12BF0E31D00000000010C0000950291EA24F0614FB6ACEDB12BF0E31D00002087B18B0000</t>
  </si>
  <si>
    <t>cmm4yunj900qncuqwft59g6w3</t>
  </si>
  <si>
    <t>http://localhost:8787/api/admin/requirements/documents/cmm4yunj900qncuqwft59g6w3/view</t>
  </si>
  <si>
    <t>=HYPERLÃ„NK("http://localhost:8787/api/admin/requirements/documents/cmm4yunj900qncuqwft59g6w3/view";"Ã–ppna PDF")</t>
  </si>
  <si>
    <t>=HYPERLINK("http://localhost:8787/api/admin/requirements/documents/cmm4yunj900qncuqwft59g6w3/view","Open PDF")</t>
  </si>
  <si>
    <t>pdf EksjÃ¶</t>
  </si>
  <si>
    <t>pdf EksjÃ¶ kommun</t>
  </si>
  <si>
    <t>0381-360</t>
  </si>
  <si>
    <t>SBS-2024-215-14 FÃ¶relÃ¤ggande om fÃ¶rsiktighetsmÃ¥tt.pdf</t>
  </si>
  <si>
    <t>Sv: AnmÃ¤lningspliktiga verksamheter 2024</t>
  </si>
  <si>
    <t>ADMIN-INDEX-2026-02-27-00000000125C043F57453246863FE664CAFE6A3F0700950291EA24F0614FB6ACEDB12BF0E31D00000000010C0000950291EA24F0614FB6ACEDB12BF0E31D00002087B18F0000</t>
  </si>
  <si>
    <t>cmm4yunij00pzcuqwrgd8gy2r</t>
  </si>
  <si>
    <t>http://localhost:8787/api/admin/requirements/documents/cmm4yunij00pzcuqwrgd8gy2r/view</t>
  </si>
  <si>
    <t>=HYPERLÃ„NK("http://localhost:8787/api/admin/requirements/documents/cmm4yunij00pzcuqwrgd8gy2r/view";"Ã–ppna PDF")</t>
  </si>
  <si>
    <t>=HYPERLINK("http://localhost:8787/api/admin/requirements/documents/cmm4yunij00pzcuqwrgd8gy2r/view","Open PDF")</t>
  </si>
  <si>
    <t>MiljÃ¶- och byggfÃ¶rvaltningen StrÃ¶mstads</t>
  </si>
  <si>
    <t>MiljÃ¶- och byggfÃ¶rvaltningen StrÃ¶mstads kommun</t>
  </si>
  <si>
    <t>0526-190</t>
  </si>
  <si>
    <t>MBN-2024-1724 1 AnmÃ¤lan.pdf</t>
  </si>
  <si>
    <t>Sv: BegÃ¤ran om handlingar</t>
  </si>
  <si>
    <t>ADMIN-INDEX-2026-02-27-00000000125C043F57453246863FE664CAFE6A3F0700950291EA24F0614FB6ACEDB12BF0E31D00000000010C0000950291EA24F0614FB6ACEDB12BF0E31D00002087B1900000</t>
  </si>
  <si>
    <t>cmm4yuni000pecuqws2rdrrnl</t>
  </si>
  <si>
    <t>http://localhost:8787/api/admin/requirements/documents/cmm4yuni000pecuqws2rdrrnl/view</t>
  </si>
  <si>
    <t>=HYPERLÃ„NK("http://localhost:8787/api/admin/requirements/documents/cmm4yuni000pecuqws2rdrrnl/view";"Ã–ppna PDF")</t>
  </si>
  <si>
    <t>=HYPERLINK("http://localhost:8787/api/admin/requirements/documents/cmm4yuni000pecuqws2rdrrnl/view","Open PDF")</t>
  </si>
  <si>
    <t>2026-131</t>
  </si>
  <si>
    <t>Skrivelse.pdf</t>
  </si>
  <si>
    <t>Ã„rende 2026-131 - BegÃ¤ran om allmÃ¤n handling</t>
  </si>
  <si>
    <t>ADMIN-INDEX-2026-02-27-00000000125C043F57453246863FE664CAFE6A3F0700950291EA24F0614FB6ACEDB12BF0E31D00000000010C0000950291EA24F0614FB6ACEDB12BF0E31D00002087B1910000</t>
  </si>
  <si>
    <t>cmm4yunhm00ozcuqwjronl8jb</t>
  </si>
  <si>
    <t>http://localhost:8787/api/admin/requirements/documents/cmm4yunhm00ozcuqwjronl8jb/view</t>
  </si>
  <si>
    <t>=HYPERLÃ„NK("http://localhost:8787/api/admin/requirements/documents/cmm4yunhm00ozcuqwjronl8jb/view";"Ã–ppna PDF")</t>
  </si>
  <si>
    <t>=HYPERLINK("http://localhost:8787/api/admin/requirements/documents/cmm4yunhm00ozcuqwjronl8jb/view","Open PDF")</t>
  </si>
  <si>
    <t>Habo</t>
  </si>
  <si>
    <t>Habo kommun</t>
  </si>
  <si>
    <t>M-2024-946 SamrÃ¥dsredogÃ¶resel.pdf</t>
  </si>
  <si>
    <t>Svar pÃ¥ fÃ¶rfrÃ¥gan</t>
  </si>
  <si>
    <t>ADMIN-INDEX-2026-02-27-00000000125C043F57453246863FE664CAFE6A3F0700950291EA24F0614FB6ACEDB12BF0E31D00000000010C0000950291EA24F0614FB6ACEDB12BF0E31D00002087B1940000</t>
  </si>
  <si>
    <t>cmm4yungv00o8cuqw12bz63zv</t>
  </si>
  <si>
    <t>http://localhost:8787/api/admin/requirements/documents/cmm4yungv00o8cuqw12bz63zv/view</t>
  </si>
  <si>
    <t>=HYPERLÃ„NK("http://localhost:8787/api/admin/requirements/documents/cmm4yungv00o8cuqw12bz63zv/view";"Ã–ppna PDF")</t>
  </si>
  <si>
    <t>=HYPERLINK("http://localhost:8787/api/admin/requirements/documents/cmm4yungv00o8cuqw12bz63zv/view","Open PDF")</t>
  </si>
  <si>
    <t>MIL20241784pdf_976480.pdf</t>
  </si>
  <si>
    <t>ADMIN-INDEX-2026-02-27-00000000125C043F57453246863FE664CAFE6A3F0700950291EA24F0614FB6ACEDB12BF0E31D00000000010C0000950291EA24F0614FB6ACEDB12BF0E31D00002087B1950000</t>
  </si>
  <si>
    <t>cmm4yungg00ntcuqwtnya0ayu</t>
  </si>
  <si>
    <t>http://localhost:8787/api/admin/requirements/documents/cmm4yungg00ntcuqwtnya0ayu/view</t>
  </si>
  <si>
    <t>=HYPERLÃ„NK("http://localhost:8787/api/admin/requirements/documents/cmm4yungg00ntcuqwtnya0ayu/view";"Ã–ppna PDF")</t>
  </si>
  <si>
    <t>=HYPERLINK("http://localhost:8787/api/admin/requirements/documents/cmm4yungg00ntcuqwtnya0ayu/view","Open PDF")</t>
  </si>
  <si>
    <t>MIL20241501pdf_976472.pdf</t>
  </si>
  <si>
    <t>ADMIN-INDEX-2026-02-27-00000000125C043F57453246863FE664CAFE6A3F0700950291EA24F0614FB6ACEDB12BF0E31D00000000010C0000950291EA24F0614FB6ACEDB12BF0E31D00002087B1960000</t>
  </si>
  <si>
    <t>cmm4yung100necuqw0m62sood</t>
  </si>
  <si>
    <t>http://localhost:8787/api/admin/requirements/documents/cmm4yung100necuqw0m62sood/view</t>
  </si>
  <si>
    <t>=HYPERLÃ„NK("http://localhost:8787/api/admin/requirements/documents/cmm4yung100necuqw0m62sood/view";"Ã–ppna PDF")</t>
  </si>
  <si>
    <t>=HYPERLINK("http://localhost:8787/api/admin/requirements/documents/cmm4yung100necuqw0m62sood/view","Open PDF")</t>
  </si>
  <si>
    <t>MIL20241002pdf_976462.pdf</t>
  </si>
  <si>
    <t>ADMIN-INDEX-2026-02-27-00000000125C043F57453246863FE664CAFE6A3F0700950291EA24F0614FB6ACEDB12BF0E31D00000000010C0000950291EA24F0614FB6ACEDB12BF0E31D00002087B1990000</t>
  </si>
  <si>
    <t>cmm4yunfo00mzcuqw73fk9pto</t>
  </si>
  <si>
    <t>http://localhost:8787/api/admin/requirements/documents/cmm4yunfo00mzcuqw73fk9pto/view</t>
  </si>
  <si>
    <t>=HYPERLÃ„NK("http://localhost:8787/api/admin/requirements/documents/cmm4yunfo00mzcuqw73fk9pto/view";"Ã–ppna PDF")</t>
  </si>
  <si>
    <t>=HYPERLINK("http://localhost:8787/api/admin/requirements/documents/cmm4yunfo00mzcuqw73fk9pto/view","Open PDF")</t>
  </si>
  <si>
    <t>MIL20252663pdf_976455.pdf</t>
  </si>
  <si>
    <t>ADMIN-INDEX-2026-02-27-00000000125C043F57453246863FE664CAFE6A3F0700950291EA24F0614FB6ACEDB12BF0E31D00000000010C0000950291EA24F0614FB6ACEDB12BF0E31D00002087B19E0000</t>
  </si>
  <si>
    <t>cmm4yunfa00mkcuqwszi30pu4</t>
  </si>
  <si>
    <t>http://localhost:8787/api/admin/requirements/documents/cmm4yunfa00mkcuqwszi30pu4/view</t>
  </si>
  <si>
    <t>=HYPERLÃ„NK("http://localhost:8787/api/admin/requirements/documents/cmm4yunfa00mkcuqwszi30pu4/view";"Ã–ppna PDF")</t>
  </si>
  <si>
    <t>=HYPERLINK("http://localhost:8787/api/admin/requirements/documents/cmm4yunfa00mkcuqwszi30pu4/view","Open PDF")</t>
  </si>
  <si>
    <t>MIL2025161.pdf</t>
  </si>
  <si>
    <t>BegÃ¤ran om allmÃ¤n handling</t>
  </si>
  <si>
    <t>ADMIN-INDEX-2026-02-27-00000000125C043F57453246863FE664CAFE6A3F0700950291EA24F0614FB6ACEDB12BF0E31D00000000010C0000950291EA24F0614FB6ACEDB12BF0E31D00002087B19F0000</t>
  </si>
  <si>
    <t>cmm4yunf100mbcuqwnj91q6k9</t>
  </si>
  <si>
    <t>http://localhost:8787/api/admin/requirements/documents/cmm4yunf100mbcuqwnj91q6k9/view</t>
  </si>
  <si>
    <t>=HYPERLÃ„NK("http://localhost:8787/api/admin/requirements/documents/cmm4yunf100mbcuqwnj91q6k9/view";"Ã–ppna PDF")</t>
  </si>
  <si>
    <t>=HYPERLINK("http://localhost:8787/api/admin/requirements/documents/cmm4yunf100mbcuqwnj91q6k9/view","Open PDF")</t>
  </si>
  <si>
    <t>MIL20252496pdf_976448.pdf</t>
  </si>
  <si>
    <t>ADMIN-INDEX-2026-02-27-00000000125C043F57453246863FE664CAFE6A3F0700950291EA24F0614FB6ACEDB12BF0E31D00000000010C0000950291EA24F0614FB6ACEDB12BF0E31D00002087B1A00000</t>
  </si>
  <si>
    <t>cmm4yunek00lwcuqwvgwjc3hk</t>
  </si>
  <si>
    <t>http://localhost:8787/api/admin/requirements/documents/cmm4yunek00lwcuqwvgwjc3hk/view</t>
  </si>
  <si>
    <t>=HYPERLÃ„NK("http://localhost:8787/api/admin/requirements/documents/cmm4yunek00lwcuqwvgwjc3hk/view";"Ã–ppna PDF")</t>
  </si>
  <si>
    <t>=HYPERLINK("http://localhost:8787/api/admin/requirements/documents/cmm4yunek00lwcuqwvgwjc3hk/view","Open PDF")</t>
  </si>
  <si>
    <t>MIL20252312pdf_976442.pdf</t>
  </si>
  <si>
    <t>ADMIN-INDEX-2026-02-27-00000000125C043F57453246863FE664CAFE6A3F0700950291EA24F0614FB6ACEDB12BF0E31D00000000010C0000950291EA24F0614FB6ACEDB12BF0E31D00002087B1A10000</t>
  </si>
  <si>
    <t>cmm4yune500lhcuqwffhmdwrd</t>
  </si>
  <si>
    <t>http://localhost:8787/api/admin/requirements/documents/cmm4yune500lhcuqwffhmdwrd/view</t>
  </si>
  <si>
    <t>=HYPERLÃ„NK("http://localhost:8787/api/admin/requirements/documents/cmm4yune500lhcuqwffhmdwrd/view";"Ã–ppna PDF")</t>
  </si>
  <si>
    <t>=HYPERLINK("http://localhost:8787/api/admin/requirements/documents/cmm4yune500lhcuqwffhmdwrd/view","Open PDF")</t>
  </si>
  <si>
    <t>Kiruna</t>
  </si>
  <si>
    <t>Kiruna kommun</t>
  </si>
  <si>
    <t>M-2026-22.pdf</t>
  </si>
  <si>
    <t>ADMIN-INDEX-2026-02-27-00000000125C043F57453246863FE664CAFE6A3F0700950291EA24F0614FB6ACEDB12BF0E31D00000000010C0000950291EA24F0614FB6ACEDB12BF0E31D00002087B1A20000</t>
  </si>
  <si>
    <t>cmm4yundi00ktcuqwvjlbmpum</t>
  </si>
  <si>
    <t>http://localhost:8787/api/admin/requirements/documents/cmm4yundi00ktcuqwvjlbmpum/view</t>
  </si>
  <si>
    <t>=HYPERLÃ„NK("http://localhost:8787/api/admin/requirements/documents/cmm4yundi00ktcuqwvjlbmpum/view";"Ã–ppna PDF")</t>
  </si>
  <si>
    <t>=HYPERLINK("http://localhost:8787/api/admin/requirements/documents/cmm4yundi00ktcuqwvjlbmpum/view","Open PDF")</t>
  </si>
  <si>
    <t>MIL20252223pdf_976436.pdf</t>
  </si>
  <si>
    <t>ADMIN-INDEX-2026-02-27-00000000125C043F57453246863FE664CAFE6A3F0700950291EA24F0614FB6ACEDB12BF0E31D00000000010C0000950291EA24F0614FB6ACEDB12BF0E31D00002087B1A30000</t>
  </si>
  <si>
    <t>cmm4yund300kecuqwfso38qa5</t>
  </si>
  <si>
    <t>http://localhost:8787/api/admin/requirements/documents/cmm4yund300kecuqwfso38qa5/view</t>
  </si>
  <si>
    <t>=HYPERLÃ„NK("http://localhost:8787/api/admin/requirements/documents/cmm4yund300kecuqwfso38qa5/view";"Ã–ppna PDF")</t>
  </si>
  <si>
    <t>=HYPERLINK("http://localhost:8787/api/admin/requirements/documents/cmm4yund300kecuqwfso38qa5/view","Open PDF")</t>
  </si>
  <si>
    <t>MIL20251805pdf_976430.pdf</t>
  </si>
  <si>
    <t>ADMIN-INDEX-2026-02-27-00000000125C043F57453246863FE664CAFE6A3F0700950291EA24F0614FB6ACEDB12BF0E31D00000000010C0000950291EA24F0614FB6ACEDB12BF0E31D00002087B1B00000</t>
  </si>
  <si>
    <t>cmm4yuncm00jwcuqwryebpuil</t>
  </si>
  <si>
    <t>http://localhost:8787/api/admin/requirements/documents/cmm4yuncm00jwcuqwryebpuil/view</t>
  </si>
  <si>
    <t>=HYPERLÃ„NK("http://localhost:8787/api/admin/requirements/documents/cmm4yuncm00jwcuqwryebpuil/view";"Ã–ppna PDF")</t>
  </si>
  <si>
    <t>=HYPERLINK("http://localhost:8787/api/admin/requirements/documents/cmm4yuncm00jwcuqwryebpuil/view","Open PDF")</t>
  </si>
  <si>
    <t>MIL20251366pdf_976418.pdf</t>
  </si>
  <si>
    <t>ADMIN-INDEX-2026-02-27-00000000125C043F57453246863FE664CAFE6A3F0700950291EA24F0614FB6ACEDB12BF0E31D00000000010C0000950291EA24F0614FB6ACEDB12BF0E31D00002087B1B10000</t>
  </si>
  <si>
    <t>cmm4yunc600jhcuqwnyewlxum</t>
  </si>
  <si>
    <t>http://localhost:8787/api/admin/requirements/documents/cmm4yunc600jhcuqwnyewlxum/view</t>
  </si>
  <si>
    <t>=HYPERLÃ„NK("http://localhost:8787/api/admin/requirements/documents/cmm4yunc600jhcuqwnyewlxum/view";"Ã–ppna PDF")</t>
  </si>
  <si>
    <t>=HYPERLINK("http://localhost:8787/api/admin/requirements/documents/cmm4yunc600jhcuqwnyewlxum/view","Open PDF")</t>
  </si>
  <si>
    <t>MIL20251175pdf_976410.pdf</t>
  </si>
  <si>
    <t>ADMIN-INDEX-2026-02-27-00000000125C043F57453246863FE664CAFE6A3F0700950291EA24F0614FB6ACEDB12BF0E31D00000000010C0000950291EA24F0614FB6ACEDB12BF0E31D00002087B1B60000</t>
  </si>
  <si>
    <t>cmm4yunbq00j2cuqwgbsnihxf</t>
  </si>
  <si>
    <t>http://localhost:8787/api/admin/requirements/documents/cmm4yunbq00j2cuqwgbsnihxf/view</t>
  </si>
  <si>
    <t>=HYPERLÃ„NK("http://localhost:8787/api/admin/requirements/documents/cmm4yunbq00j2cuqwgbsnihxf/view";"Ã–ppna PDF")</t>
  </si>
  <si>
    <t>=HYPERLINK("http://localhost:8787/api/admin/requirements/documents/cmm4yunbq00j2cuqwgbsnihxf/view","Open PDF")</t>
  </si>
  <si>
    <t>Tallbacken1.pdf</t>
  </si>
  <si>
    <t>VB: [2026KCSK8665] till registrator</t>
  </si>
  <si>
    <t>ADMIN-INDEX-2026-02-27-00000000125C043F57453246863FE664CAFE6A3F0700950291EA24F0614FB6ACEDB12BF0E31D00000000010C0000950291EA24F0614FB6ACEDB12BF0E31D00002087B1B70000</t>
  </si>
  <si>
    <t>cmm4yunbj00iwcuqw4yabxmjg</t>
  </si>
  <si>
    <t>http://localhost:8787/api/admin/requirements/documents/cmm4yunbj00iwcuqw4yabxmjg/view</t>
  </si>
  <si>
    <t>=HYPERLÃ„NK("http://localhost:8787/api/admin/requirements/documents/cmm4yunbj00iwcuqw4yabxmjg/view";"Ã–ppna PDF")</t>
  </si>
  <si>
    <t>=HYPERLINK("http://localhost:8787/api/admin/requirements/documents/cmm4yunbj00iwcuqw4yabxmjg/view","Open PDF")</t>
  </si>
  <si>
    <t>pdf Diariekort Torsby</t>
  </si>
  <si>
    <t>pdf Diariekort Torsby kommun</t>
  </si>
  <si>
    <t>Ã„rende 2024-93.pdf</t>
  </si>
  <si>
    <t>ADMIN-INDEX-2026-02-27-00000000125C043F57453246863FE664CAFE6A3F0700950291EA24F0614FB6ACEDB12BF0E31D00000000010C0000950291EA24F0614FB6ACEDB12BF0E31D00002087B1B80000</t>
  </si>
  <si>
    <t>cmm4yunbg00itcuqw517f1gbl</t>
  </si>
  <si>
    <t>http://localhost:8787/api/admin/requirements/documents/cmm4yunbg00itcuqw517f1gbl/view</t>
  </si>
  <si>
    <t>=HYPERLÃ„NK("http://localhost:8787/api/admin/requirements/documents/cmm4yunbg00itcuqw517f1gbl/view";"Ã–ppna PDF")</t>
  </si>
  <si>
    <t>=HYPERLINK("http://localhost:8787/api/admin/requirements/documents/cmm4yunbg00itcuqw517f1gbl/view","Open PDF")</t>
  </si>
  <si>
    <t>MF In 2025-12-22 Sv_ Ã„ndringsanmÃ¤lan Dalby_ RÃ¤lsen 3.pdf</t>
  </si>
  <si>
    <t>ADMIN-INDEX-2026-02-27-00000000125C043F57453246863FE664CAFE6A3F0700950291EA24F0614FB6ACEDB12BF0E31D00000000010C0000950291EA24F0614FB6ACEDB12BF0E31D00002087B1B90000</t>
  </si>
  <si>
    <t>cmm4yunae00hzcuqwnui6ixvv</t>
  </si>
  <si>
    <t>http://localhost:8787/api/admin/requirements/documents/cmm4yunae00hzcuqwnui6ixvv/view</t>
  </si>
  <si>
    <t>=HYPERLÃ„NK("http://localhost:8787/api/admin/requirements/documents/cmm4yunae00hzcuqwnui6ixvv/view";"Ã–ppna PDF")</t>
  </si>
  <si>
    <t>=HYPERLINK("http://localhost:8787/api/admin/requirements/documents/cmm4yunae00hzcuqwnui6ixvv/view","Open PDF")</t>
  </si>
  <si>
    <t>pdf Postadress HÃ¤rnÃ¶sands</t>
  </si>
  <si>
    <t>pdf Postadress HÃ¤rnÃ¶sands kommun</t>
  </si>
  <si>
    <t>0611-34</t>
  </si>
  <si>
    <t>SAM-2025-1751.3227..pdf</t>
  </si>
  <si>
    <t>ADMIN-INDEX-2026-02-27-00000000125C043F57453246863FE664CAFE6A3F0700950291EA24F0614FB6ACEDB12BF0E31D00000000010C0000950291EA24F0614FB6ACEDB12BF0E31D00002087B1C20000</t>
  </si>
  <si>
    <t>cmm4yuna800htcuqw71t1am01</t>
  </si>
  <si>
    <t>http://localhost:8787/api/admin/requirements/documents/cmm4yuna800htcuqw71t1am01/view</t>
  </si>
  <si>
    <t>=HYPERLÃ„NK("http://localhost:8787/api/admin/requirements/documents/cmm4yuna800htcuqw71t1am01/view";"Ã–ppna PDF")</t>
  </si>
  <si>
    <t>=HYPERLINK("http://localhost:8787/api/admin/requirements/documents/cmm4yuna800htcuqw71t1am01/view","Open PDF")</t>
  </si>
  <si>
    <t>2025-12081039</t>
  </si>
  <si>
    <t>260201-Massor.pdf</t>
  </si>
  <si>
    <t>ADMIN-INDEX-2026-02-27-00000000125C043F57453246863FE664CAFE6A3F0700950291EA24F0614FB6ACEDB12BF0E31D00000000010C0000950291EA24F0614FB6ACEDB12BF0E31D00002087B1C90000</t>
  </si>
  <si>
    <t>cmm4yun8t00gkcuqw5rjsk96c</t>
  </si>
  <si>
    <t>http://localhost:8787/api/admin/requirements/documents/cmm4yun8t00gkcuqw5rjsk96c/view</t>
  </si>
  <si>
    <t>=HYPERLÃ„NK("http://localhost:8787/api/admin/requirements/documents/cmm4yun8t00gkcuqw5rjsk96c/view";"Ã–ppna PDF")</t>
  </si>
  <si>
    <t>=HYPERLINK("http://localhost:8787/api/admin/requirements/documents/cmm4yun8t00gkcuqw5rjsk96c/view","Open PDF")</t>
  </si>
  <si>
    <t>se Postadress Falkenbergs</t>
  </si>
  <si>
    <t>se Postadress Falkenbergs kommun</t>
  </si>
  <si>
    <t>M-2025-1682_2025-05-16_Beslut (MHF MHN)_Skogstorp 4 148.pdf</t>
  </si>
  <si>
    <t>ADMIN-INDEX-2026-02-27-00000000125C043F57453246863FE664CAFE6A3F0700950291EA24F0614FB6ACEDB12BF0E31D00000000010C0000950291EA24F0614FB6ACEDB12BF0E31D00002087B1CA0000</t>
  </si>
  <si>
    <t>cmm4yun6j00etcuqwhdlqrqoa</t>
  </si>
  <si>
    <t>http://localhost:8787/api/admin/requirements/documents/cmm4yun6j00etcuqwhdlqrqoa/view</t>
  </si>
  <si>
    <t>=HYPERLÃ„NK("http://localhost:8787/api/admin/requirements/documents/cmm4yun6j00etcuqwhdlqrqoa/view";"Ã–ppna PDF")</t>
  </si>
  <si>
    <t>=HYPERLINK("http://localhost:8787/api/admin/requirements/documents/cmm4yun6j00etcuqwhdlqrqoa/view","Open PDF")</t>
  </si>
  <si>
    <t>M-2024-2848_2025-01-02_Beslut (MHF MHN)_Magasinet 1.pdf</t>
  </si>
  <si>
    <t>ADMIN-INDEX-2026-02-27-00000000125C043F57453246863FE664CAFE6A3F0700950291EA24F0614FB6ACEDB12BF0E31D00000000010C0000950291EA24F0614FB6ACEDB12BF0E31D00002087B1CB0000</t>
  </si>
  <si>
    <t>cmm4yun4m00cwcuqwobgswces</t>
  </si>
  <si>
    <t>http://localhost:8787/api/admin/requirements/documents/cmm4yun4m00cwcuqwobgswces/view</t>
  </si>
  <si>
    <t>=HYPERLÃ„NK("http://localhost:8787/api/admin/requirements/documents/cmm4yun4m00cwcuqwobgswces/view";"Ã–ppna PDF")</t>
  </si>
  <si>
    <t>=HYPERLINK("http://localhost:8787/api/admin/requirements/documents/cmm4yun4m00cwcuqwobgswces/view","Open PDF")</t>
  </si>
  <si>
    <t>pdf Falkenbergs</t>
  </si>
  <si>
    <t>pdf Falkenbergs kommun</t>
  </si>
  <si>
    <t>0346-88</t>
  </si>
  <si>
    <t>Slutrapport.pdf</t>
  </si>
  <si>
    <t>ADMIN-INDEX-2026-02-27-00000000125C043F57453246863FE664CAFE6A3F0700950291EA24F0614FB6ACEDB12BF0E31D00000000010C0000950291EA24F0614FB6ACEDB12BF0E31D00002087B1CC0000</t>
  </si>
  <si>
    <t>cmm4yun2p00awcuqwzeoe9qe9</t>
  </si>
  <si>
    <t>http://localhost:8787/api/admin/requirements/documents/cmm4yun2p00awcuqwzeoe9qe9/view</t>
  </si>
  <si>
    <t>=HYPERLÃ„NK("http://localhost:8787/api/admin/requirements/documents/cmm4yun2p00awcuqwzeoe9qe9/view";"Ã–ppna PDF")</t>
  </si>
  <si>
    <t>=HYPERLINK("http://localhost:8787/api/admin/requirements/documents/cmm4yun2p00awcuqwzeoe9qe9/view","Open PDF")</t>
  </si>
  <si>
    <t>Beslut Ã„lvenÃ¤s.pdf</t>
  </si>
  <si>
    <t>Beslut Ã„lvenÃ¤s</t>
  </si>
  <si>
    <t>ADMIN-INDEX-2026-02-27-00000000125C043F57453246863FE664CAFE6A3F0700950291EA24F0614FB6ACEDB12BF0E31D00000000010C0000950291EA24F0614FB6ACEDB12BF0E31D00002087B1CD0000</t>
  </si>
  <si>
    <t>cmm4yun2m00atcuqwuhkm1gwg</t>
  </si>
  <si>
    <t>http://localhost:8787/api/admin/requirements/documents/cmm4yun2m00atcuqwuhkm1gwg/view</t>
  </si>
  <si>
    <t>=HYPERLÃ„NK("http://localhost:8787/api/admin/requirements/documents/cmm4yun2m00atcuqwuhkm1gwg/view";"Ã–ppna PDF")</t>
  </si>
  <si>
    <t>=HYPERLINK("http://localhost:8787/api/admin/requirements/documents/cmm4yun2m00atcuqwuhkm1gwg/view","Open PDF")</t>
  </si>
  <si>
    <t>com Postadress Falkenbergs</t>
  </si>
  <si>
    <t>com Postadress Falkenbergs kommun</t>
  </si>
  <si>
    <t>M-2024-2114_2024-09-27_Beslut (MHF MHN)_Vinberg 2 82.pdf</t>
  </si>
  <si>
    <t>ADMIN-INDEX-2026-02-27-00000000125C043F57453246863FE664CAFE6A3F0700950291EA24F0614FB6ACEDB12BF0E31D00000000010C0000950291EA24F0614FB6ACEDB12BF0E31D00002087B1D00000</t>
  </si>
  <si>
    <t>cmm4yun100095cuqwa7q19sxt</t>
  </si>
  <si>
    <t>http://localhost:8787/api/admin/requirements/documents/cmm4yun100095cuqwa7q19sxt/view</t>
  </si>
  <si>
    <t>=HYPERLÃ„NK("http://localhost:8787/api/admin/requirements/documents/cmm4yun100095cuqwa7q19sxt/view";"Ã–ppna PDF")</t>
  </si>
  <si>
    <t>=HYPERLINK("http://localhost:8787/api/admin/requirements/documents/cmm4yun100095cuqwa7q19sxt/view","Open PDF")</t>
  </si>
  <si>
    <t>MalmbÃ¤ck Postadress Falkenbergs</t>
  </si>
  <si>
    <t>MalmbÃ¤ck Postadress Falkenbergs kommun</t>
  </si>
  <si>
    <t>M-2025-671_2025-02-14_Beslut (MHF MHN)_TrÃ¶inge 6 70.pdf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</si>
</sst>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7" fontId="0" fillId="0" borderId="0" xfId="0" applyNumberFormat="1"/>
    <xf numFmtId="14" fontId="0" fillId="0" borderId="0" xfId="0" applyNumberFormat="1"/>
    <xf numFmtId="46" fontId="0" fillId="0" borderId="0" xfId="0" applyNumberFormat="1"/>
    <xf numFmtId="16" fontId="0" fillId="0" borderId="0" xfId="0" applyNumberFormat="1"/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0F3C8-9513-423C-8452-2D09C7E16A5D}">
  <dimension ref="A1:S234"/>
  <sheetViews>
    <sheetView tabSelected="1" workbookViewId="0"/>
  </sheetViews>
  <sheetFormatPr defaultRowHeight="14.4" x14ac:dyDescent="0.3"/>
  <cols>
    <col min="1" max="1" width="171.109375" bestFit="1" customWidth="1"/>
    <col min="2" max="2" width="29.33203125" bestFit="1" customWidth="1"/>
    <col min="3" max="3" width="82.44140625" bestFit="1" customWidth="1"/>
    <col min="4" max="4" width="108.88671875" bestFit="1" customWidth="1"/>
    <col min="5" max="5" width="105.6640625" bestFit="1" customWidth="1"/>
    <col min="6" max="6" width="25.109375" bestFit="1" customWidth="1"/>
    <col min="7" max="7" width="26" bestFit="1" customWidth="1"/>
    <col min="8" max="8" width="41.44140625" bestFit="1" customWidth="1"/>
    <col min="9" max="9" width="12.33203125" bestFit="1" customWidth="1"/>
    <col min="10" max="10" width="49" bestFit="1" customWidth="1"/>
    <col min="11" max="11" width="13.77734375" bestFit="1" customWidth="1"/>
    <col min="12" max="12" width="12.109375" bestFit="1" customWidth="1"/>
    <col min="13" max="13" width="14.44140625" bestFit="1" customWidth="1"/>
    <col min="14" max="14" width="66.5546875" bestFit="1" customWidth="1"/>
    <col min="15" max="15" width="127.21875" bestFit="1" customWidth="1"/>
    <col min="16" max="16" width="15.88671875" bestFit="1" customWidth="1"/>
    <col min="17" max="17" width="10.44140625" bestFit="1" customWidth="1"/>
    <col min="18" max="18" width="10.21875" bestFit="1" customWidth="1"/>
    <col min="19" max="19" width="41.5546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7</v>
      </c>
      <c r="J2" t="s">
        <v>27</v>
      </c>
      <c r="K2" s="1">
        <v>45413</v>
      </c>
      <c r="L2" t="s">
        <v>28</v>
      </c>
      <c r="M2" s="2">
        <v>46055</v>
      </c>
      <c r="N2" t="s">
        <v>29</v>
      </c>
      <c r="O2" t="s">
        <v>30</v>
      </c>
      <c r="P2" t="s">
        <v>31</v>
      </c>
      <c r="S2" t="s">
        <v>32</v>
      </c>
    </row>
    <row r="3" spans="1:19" x14ac:dyDescent="0.3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24</v>
      </c>
      <c r="G3" t="s">
        <v>25</v>
      </c>
      <c r="H3" t="s">
        <v>38</v>
      </c>
      <c r="I3" t="s">
        <v>7</v>
      </c>
      <c r="J3" t="s">
        <v>39</v>
      </c>
      <c r="K3" s="1">
        <v>45689</v>
      </c>
      <c r="L3" t="s">
        <v>40</v>
      </c>
      <c r="M3" s="2">
        <v>46056</v>
      </c>
      <c r="N3" t="s">
        <v>41</v>
      </c>
      <c r="O3" t="s">
        <v>42</v>
      </c>
      <c r="P3" t="s">
        <v>31</v>
      </c>
      <c r="S3" t="s">
        <v>32</v>
      </c>
    </row>
    <row r="4" spans="1:19" x14ac:dyDescent="0.3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24</v>
      </c>
      <c r="G4" t="s">
        <v>25</v>
      </c>
      <c r="I4" t="s">
        <v>7</v>
      </c>
      <c r="K4" t="s">
        <v>48</v>
      </c>
      <c r="L4" t="s">
        <v>40</v>
      </c>
      <c r="M4" s="2">
        <v>46055</v>
      </c>
      <c r="N4" t="s">
        <v>49</v>
      </c>
      <c r="O4" t="s">
        <v>50</v>
      </c>
      <c r="P4" t="s">
        <v>31</v>
      </c>
      <c r="S4" t="s">
        <v>32</v>
      </c>
    </row>
    <row r="5" spans="1:19" x14ac:dyDescent="0.3">
      <c r="A5" t="s">
        <v>51</v>
      </c>
      <c r="B5" t="s">
        <v>52</v>
      </c>
      <c r="C5" t="s">
        <v>53</v>
      </c>
      <c r="D5" t="s">
        <v>54</v>
      </c>
      <c r="E5" t="s">
        <v>55</v>
      </c>
      <c r="F5" t="s">
        <v>24</v>
      </c>
      <c r="G5" t="s">
        <v>25</v>
      </c>
      <c r="H5" t="s">
        <v>56</v>
      </c>
      <c r="I5" t="s">
        <v>7</v>
      </c>
      <c r="J5" t="s">
        <v>57</v>
      </c>
      <c r="K5" s="1">
        <v>44075</v>
      </c>
      <c r="L5" t="s">
        <v>40</v>
      </c>
      <c r="M5" s="2">
        <v>46056</v>
      </c>
      <c r="N5" t="s">
        <v>58</v>
      </c>
      <c r="O5" t="s">
        <v>59</v>
      </c>
      <c r="P5" t="s">
        <v>31</v>
      </c>
      <c r="S5" t="s">
        <v>32</v>
      </c>
    </row>
    <row r="6" spans="1:19" x14ac:dyDescent="0.3">
      <c r="A6" t="s">
        <v>60</v>
      </c>
      <c r="B6" t="s">
        <v>61</v>
      </c>
      <c r="C6" t="s">
        <v>62</v>
      </c>
      <c r="D6" t="s">
        <v>63</v>
      </c>
      <c r="E6" t="s">
        <v>64</v>
      </c>
      <c r="F6" t="s">
        <v>24</v>
      </c>
      <c r="G6" t="s">
        <v>25</v>
      </c>
      <c r="H6" t="s">
        <v>65</v>
      </c>
      <c r="I6" t="s">
        <v>7</v>
      </c>
      <c r="J6" t="s">
        <v>66</v>
      </c>
      <c r="K6" s="1">
        <v>45992</v>
      </c>
      <c r="L6" t="s">
        <v>28</v>
      </c>
      <c r="M6" s="2">
        <v>46055</v>
      </c>
      <c r="N6" t="s">
        <v>67</v>
      </c>
      <c r="O6" t="s">
        <v>68</v>
      </c>
      <c r="P6" t="s">
        <v>31</v>
      </c>
      <c r="S6" t="s">
        <v>32</v>
      </c>
    </row>
    <row r="7" spans="1:19" x14ac:dyDescent="0.3">
      <c r="A7" t="s">
        <v>69</v>
      </c>
      <c r="B7" t="s">
        <v>70</v>
      </c>
      <c r="C7" t="s">
        <v>71</v>
      </c>
      <c r="D7" t="s">
        <v>72</v>
      </c>
      <c r="E7" t="s">
        <v>73</v>
      </c>
      <c r="F7" t="s">
        <v>24</v>
      </c>
      <c r="G7" t="s">
        <v>25</v>
      </c>
      <c r="I7" t="s">
        <v>7</v>
      </c>
      <c r="K7" s="1">
        <v>46023</v>
      </c>
      <c r="L7" t="s">
        <v>40</v>
      </c>
      <c r="M7" s="2">
        <v>46055</v>
      </c>
      <c r="N7" t="s">
        <v>74</v>
      </c>
      <c r="O7" t="s">
        <v>75</v>
      </c>
      <c r="P7" t="s">
        <v>31</v>
      </c>
      <c r="S7" t="s">
        <v>32</v>
      </c>
    </row>
    <row r="8" spans="1:19" x14ac:dyDescent="0.3">
      <c r="A8" t="s">
        <v>76</v>
      </c>
      <c r="B8" t="s">
        <v>77</v>
      </c>
      <c r="C8" t="s">
        <v>78</v>
      </c>
      <c r="D8" t="s">
        <v>79</v>
      </c>
      <c r="E8" t="s">
        <v>80</v>
      </c>
      <c r="F8" t="s">
        <v>24</v>
      </c>
      <c r="G8" t="s">
        <v>25</v>
      </c>
      <c r="H8" t="s">
        <v>81</v>
      </c>
      <c r="I8" t="s">
        <v>7</v>
      </c>
      <c r="J8" t="s">
        <v>82</v>
      </c>
      <c r="K8" s="1">
        <v>45992</v>
      </c>
      <c r="L8" t="s">
        <v>83</v>
      </c>
      <c r="M8" s="2">
        <v>46055</v>
      </c>
      <c r="N8" t="s">
        <v>84</v>
      </c>
      <c r="O8" t="s">
        <v>85</v>
      </c>
      <c r="P8" t="s">
        <v>31</v>
      </c>
      <c r="S8" t="s">
        <v>32</v>
      </c>
    </row>
    <row r="9" spans="1:19" x14ac:dyDescent="0.3">
      <c r="A9" t="s">
        <v>86</v>
      </c>
      <c r="B9" t="s">
        <v>87</v>
      </c>
      <c r="C9" t="s">
        <v>88</v>
      </c>
      <c r="D9" t="s">
        <v>89</v>
      </c>
      <c r="E9" t="s">
        <v>90</v>
      </c>
      <c r="F9" t="s">
        <v>24</v>
      </c>
      <c r="G9" t="s">
        <v>25</v>
      </c>
      <c r="I9" t="s">
        <v>7</v>
      </c>
      <c r="K9" s="1">
        <v>44378</v>
      </c>
      <c r="L9" t="s">
        <v>28</v>
      </c>
      <c r="M9" s="2">
        <v>46052</v>
      </c>
      <c r="N9" t="s">
        <v>91</v>
      </c>
      <c r="O9" t="s">
        <v>92</v>
      </c>
      <c r="P9" t="s">
        <v>31</v>
      </c>
      <c r="S9" t="s">
        <v>32</v>
      </c>
    </row>
    <row r="10" spans="1:19" x14ac:dyDescent="0.3">
      <c r="A10" t="s">
        <v>93</v>
      </c>
      <c r="B10" t="s">
        <v>94</v>
      </c>
      <c r="C10" t="s">
        <v>95</v>
      </c>
      <c r="D10" t="s">
        <v>96</v>
      </c>
      <c r="E10" t="s">
        <v>97</v>
      </c>
      <c r="F10" t="s">
        <v>24</v>
      </c>
      <c r="G10" t="s">
        <v>25</v>
      </c>
      <c r="I10" t="s">
        <v>7</v>
      </c>
      <c r="K10" t="s">
        <v>98</v>
      </c>
      <c r="L10" t="s">
        <v>40</v>
      </c>
      <c r="M10" s="2">
        <v>46057</v>
      </c>
      <c r="N10" t="s">
        <v>99</v>
      </c>
      <c r="O10" t="s">
        <v>98</v>
      </c>
      <c r="P10" t="s">
        <v>31</v>
      </c>
      <c r="S10" t="s">
        <v>32</v>
      </c>
    </row>
    <row r="11" spans="1:19" x14ac:dyDescent="0.3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24</v>
      </c>
      <c r="G11" t="s">
        <v>25</v>
      </c>
      <c r="H11" t="s">
        <v>105</v>
      </c>
      <c r="I11" t="s">
        <v>7</v>
      </c>
      <c r="J11" t="s">
        <v>106</v>
      </c>
      <c r="K11" s="1">
        <v>45444</v>
      </c>
      <c r="L11" t="s">
        <v>40</v>
      </c>
      <c r="M11" s="2">
        <v>46057</v>
      </c>
      <c r="N11" t="s">
        <v>107</v>
      </c>
      <c r="O11" t="s">
        <v>75</v>
      </c>
      <c r="P11" t="s">
        <v>31</v>
      </c>
      <c r="S11" t="s">
        <v>32</v>
      </c>
    </row>
    <row r="12" spans="1:19" x14ac:dyDescent="0.3">
      <c r="A12" t="s">
        <v>108</v>
      </c>
      <c r="B12" t="s">
        <v>109</v>
      </c>
      <c r="C12" t="s">
        <v>110</v>
      </c>
      <c r="D12" t="s">
        <v>111</v>
      </c>
      <c r="E12" t="s">
        <v>112</v>
      </c>
      <c r="F12" t="s">
        <v>24</v>
      </c>
      <c r="G12" t="s">
        <v>25</v>
      </c>
      <c r="H12" t="s">
        <v>113</v>
      </c>
      <c r="I12" t="s">
        <v>7</v>
      </c>
      <c r="J12" t="s">
        <v>114</v>
      </c>
      <c r="K12" t="s">
        <v>115</v>
      </c>
      <c r="L12" t="s">
        <v>83</v>
      </c>
      <c r="M12" s="2">
        <v>46057</v>
      </c>
      <c r="N12" t="s">
        <v>116</v>
      </c>
      <c r="O12" t="s">
        <v>117</v>
      </c>
      <c r="P12" t="s">
        <v>31</v>
      </c>
      <c r="S12" t="s">
        <v>32</v>
      </c>
    </row>
    <row r="13" spans="1:19" x14ac:dyDescent="0.3">
      <c r="A13" t="s">
        <v>118</v>
      </c>
      <c r="B13" t="s">
        <v>119</v>
      </c>
      <c r="C13" t="s">
        <v>120</v>
      </c>
      <c r="D13" t="s">
        <v>121</v>
      </c>
      <c r="E13" t="s">
        <v>122</v>
      </c>
      <c r="F13" t="s">
        <v>24</v>
      </c>
      <c r="G13" t="s">
        <v>25</v>
      </c>
      <c r="H13" t="s">
        <v>123</v>
      </c>
      <c r="I13" t="s">
        <v>7</v>
      </c>
      <c r="J13" t="s">
        <v>124</v>
      </c>
      <c r="K13" t="s">
        <v>125</v>
      </c>
      <c r="L13" t="s">
        <v>28</v>
      </c>
      <c r="M13" s="2">
        <v>46058</v>
      </c>
      <c r="N13" t="s">
        <v>126</v>
      </c>
      <c r="O13" t="s">
        <v>92</v>
      </c>
      <c r="P13" t="s">
        <v>31</v>
      </c>
      <c r="S13" t="s">
        <v>32</v>
      </c>
    </row>
    <row r="14" spans="1:19" x14ac:dyDescent="0.3">
      <c r="A14" t="s">
        <v>127</v>
      </c>
      <c r="B14" t="s">
        <v>128</v>
      </c>
      <c r="C14" t="s">
        <v>129</v>
      </c>
      <c r="D14" t="s">
        <v>130</v>
      </c>
      <c r="E14" t="s">
        <v>131</v>
      </c>
      <c r="F14" t="s">
        <v>24</v>
      </c>
      <c r="G14" t="s">
        <v>25</v>
      </c>
      <c r="H14" t="s">
        <v>105</v>
      </c>
      <c r="I14" t="s">
        <v>7</v>
      </c>
      <c r="J14" t="s">
        <v>106</v>
      </c>
      <c r="K14" s="1">
        <v>45444</v>
      </c>
      <c r="L14" t="s">
        <v>40</v>
      </c>
      <c r="M14" s="2">
        <v>46057</v>
      </c>
      <c r="N14" t="s">
        <v>132</v>
      </c>
      <c r="O14" t="s">
        <v>75</v>
      </c>
      <c r="P14" t="s">
        <v>31</v>
      </c>
      <c r="S14" t="s">
        <v>32</v>
      </c>
    </row>
    <row r="15" spans="1:19" x14ac:dyDescent="0.3">
      <c r="A15" t="s">
        <v>133</v>
      </c>
      <c r="B15" t="s">
        <v>134</v>
      </c>
      <c r="C15" t="s">
        <v>135</v>
      </c>
      <c r="D15" t="s">
        <v>136</v>
      </c>
      <c r="E15" t="s">
        <v>137</v>
      </c>
      <c r="F15" t="s">
        <v>24</v>
      </c>
      <c r="G15" t="s">
        <v>25</v>
      </c>
      <c r="H15" t="s">
        <v>138</v>
      </c>
      <c r="I15" t="s">
        <v>7</v>
      </c>
      <c r="J15" t="s">
        <v>139</v>
      </c>
      <c r="K15" t="s">
        <v>140</v>
      </c>
      <c r="L15" t="s">
        <v>40</v>
      </c>
      <c r="M15" s="2">
        <v>46058</v>
      </c>
      <c r="N15" t="s">
        <v>141</v>
      </c>
      <c r="O15" t="s">
        <v>30</v>
      </c>
      <c r="P15" t="s">
        <v>31</v>
      </c>
      <c r="S15" t="s">
        <v>32</v>
      </c>
    </row>
    <row r="16" spans="1:19" x14ac:dyDescent="0.3">
      <c r="A16" t="s">
        <v>142</v>
      </c>
      <c r="B16" t="s">
        <v>143</v>
      </c>
      <c r="C16" t="s">
        <v>144</v>
      </c>
      <c r="D16" t="s">
        <v>145</v>
      </c>
      <c r="E16" t="s">
        <v>146</v>
      </c>
      <c r="F16" t="s">
        <v>24</v>
      </c>
      <c r="G16" t="s">
        <v>25</v>
      </c>
      <c r="H16" t="e">
        <f>-- MiljÃ¶kontoret SÃ¶derkÃ¶pings</f>
        <v>#NAME?</v>
      </c>
      <c r="I16" t="s">
        <v>7</v>
      </c>
      <c r="J16" t="e">
        <f>-- MiljÃ¶kontoret SÃ¶derkÃ¶pings kommun</f>
        <v>#NAME?</v>
      </c>
      <c r="K16" s="1">
        <v>45413</v>
      </c>
      <c r="L16" t="s">
        <v>28</v>
      </c>
      <c r="M16" s="2">
        <v>46056</v>
      </c>
      <c r="N16" t="s">
        <v>147</v>
      </c>
      <c r="O16" t="s">
        <v>148</v>
      </c>
      <c r="P16" t="s">
        <v>31</v>
      </c>
      <c r="S16" t="s">
        <v>32</v>
      </c>
    </row>
    <row r="17" spans="1:19" x14ac:dyDescent="0.3">
      <c r="A17" t="s">
        <v>149</v>
      </c>
      <c r="B17" t="s">
        <v>150</v>
      </c>
      <c r="C17" t="s">
        <v>151</v>
      </c>
      <c r="D17" t="s">
        <v>152</v>
      </c>
      <c r="E17" t="s">
        <v>153</v>
      </c>
      <c r="F17" t="s">
        <v>24</v>
      </c>
      <c r="G17" t="s">
        <v>25</v>
      </c>
      <c r="I17" t="s">
        <v>7</v>
      </c>
      <c r="K17" s="3">
        <v>84.125694444444449</v>
      </c>
      <c r="L17" t="s">
        <v>40</v>
      </c>
      <c r="M17" s="2">
        <v>46057</v>
      </c>
      <c r="N17" t="s">
        <v>154</v>
      </c>
      <c r="O17" t="s">
        <v>30</v>
      </c>
      <c r="P17" t="s">
        <v>31</v>
      </c>
      <c r="S17" t="s">
        <v>32</v>
      </c>
    </row>
    <row r="18" spans="1:19" x14ac:dyDescent="0.3">
      <c r="A18" t="s">
        <v>155</v>
      </c>
      <c r="B18" t="s">
        <v>156</v>
      </c>
      <c r="C18" t="s">
        <v>157</v>
      </c>
      <c r="D18" t="s">
        <v>158</v>
      </c>
      <c r="E18" t="s">
        <v>159</v>
      </c>
      <c r="F18" t="s">
        <v>24</v>
      </c>
      <c r="G18" t="s">
        <v>25</v>
      </c>
      <c r="I18" t="s">
        <v>7</v>
      </c>
      <c r="L18" t="s">
        <v>28</v>
      </c>
      <c r="M18" s="2">
        <v>46062</v>
      </c>
      <c r="N18" t="s">
        <v>160</v>
      </c>
      <c r="O18" t="s">
        <v>161</v>
      </c>
      <c r="P18" t="s">
        <v>31</v>
      </c>
      <c r="S18" t="s">
        <v>32</v>
      </c>
    </row>
    <row r="19" spans="1:19" x14ac:dyDescent="0.3">
      <c r="A19" t="s">
        <v>162</v>
      </c>
      <c r="B19" t="s">
        <v>163</v>
      </c>
      <c r="C19" t="s">
        <v>164</v>
      </c>
      <c r="D19" t="s">
        <v>165</v>
      </c>
      <c r="E19" t="s">
        <v>166</v>
      </c>
      <c r="F19" t="s">
        <v>24</v>
      </c>
      <c r="G19" t="s">
        <v>25</v>
      </c>
      <c r="H19" t="s">
        <v>167</v>
      </c>
      <c r="I19" t="s">
        <v>7</v>
      </c>
      <c r="J19" t="s">
        <v>168</v>
      </c>
      <c r="K19" s="1">
        <v>45962</v>
      </c>
      <c r="L19" t="s">
        <v>40</v>
      </c>
      <c r="M19" s="2">
        <v>46062</v>
      </c>
      <c r="N19" t="s">
        <v>169</v>
      </c>
      <c r="O19" t="s">
        <v>170</v>
      </c>
      <c r="P19" t="s">
        <v>31</v>
      </c>
      <c r="S19" t="s">
        <v>32</v>
      </c>
    </row>
    <row r="20" spans="1:19" x14ac:dyDescent="0.3">
      <c r="A20" t="s">
        <v>171</v>
      </c>
      <c r="B20" t="s">
        <v>172</v>
      </c>
      <c r="C20" t="s">
        <v>173</v>
      </c>
      <c r="D20" t="s">
        <v>174</v>
      </c>
      <c r="E20" t="s">
        <v>175</v>
      </c>
      <c r="F20" t="s">
        <v>24</v>
      </c>
      <c r="G20" t="s">
        <v>25</v>
      </c>
      <c r="I20" t="s">
        <v>7</v>
      </c>
      <c r="K20" t="s">
        <v>140</v>
      </c>
      <c r="L20" t="s">
        <v>28</v>
      </c>
      <c r="M20" s="2">
        <v>46057</v>
      </c>
      <c r="N20" t="s">
        <v>176</v>
      </c>
      <c r="O20" t="s">
        <v>177</v>
      </c>
      <c r="P20" t="s">
        <v>31</v>
      </c>
      <c r="S20" t="s">
        <v>32</v>
      </c>
    </row>
    <row r="21" spans="1:19" x14ac:dyDescent="0.3">
      <c r="A21" t="s">
        <v>178</v>
      </c>
      <c r="B21" t="s">
        <v>179</v>
      </c>
      <c r="C21" t="s">
        <v>180</v>
      </c>
      <c r="D21" t="s">
        <v>181</v>
      </c>
      <c r="E21" t="s">
        <v>182</v>
      </c>
      <c r="F21" t="s">
        <v>24</v>
      </c>
      <c r="G21" t="s">
        <v>25</v>
      </c>
      <c r="I21" t="s">
        <v>7</v>
      </c>
      <c r="K21" t="s">
        <v>140</v>
      </c>
      <c r="L21" t="s">
        <v>28</v>
      </c>
      <c r="M21" s="2">
        <v>46057</v>
      </c>
      <c r="N21" t="s">
        <v>183</v>
      </c>
      <c r="O21" t="s">
        <v>177</v>
      </c>
      <c r="P21" t="s">
        <v>31</v>
      </c>
      <c r="S21" t="s">
        <v>32</v>
      </c>
    </row>
    <row r="22" spans="1:19" x14ac:dyDescent="0.3">
      <c r="A22" t="s">
        <v>184</v>
      </c>
      <c r="B22" t="s">
        <v>185</v>
      </c>
      <c r="C22" t="s">
        <v>186</v>
      </c>
      <c r="D22" t="s">
        <v>187</v>
      </c>
      <c r="E22" t="s">
        <v>188</v>
      </c>
      <c r="F22" t="s">
        <v>24</v>
      </c>
      <c r="G22" t="s">
        <v>25</v>
      </c>
      <c r="H22" t="s">
        <v>123</v>
      </c>
      <c r="I22" t="s">
        <v>7</v>
      </c>
      <c r="J22" t="s">
        <v>124</v>
      </c>
      <c r="K22" t="s">
        <v>125</v>
      </c>
      <c r="L22" t="s">
        <v>28</v>
      </c>
      <c r="M22" s="2">
        <v>46058</v>
      </c>
      <c r="N22" t="s">
        <v>189</v>
      </c>
      <c r="O22" t="s">
        <v>92</v>
      </c>
      <c r="P22" t="s">
        <v>31</v>
      </c>
      <c r="S22" t="s">
        <v>32</v>
      </c>
    </row>
    <row r="23" spans="1:19" x14ac:dyDescent="0.3">
      <c r="A23" t="s">
        <v>190</v>
      </c>
      <c r="B23" t="s">
        <v>191</v>
      </c>
      <c r="C23" t="s">
        <v>192</v>
      </c>
      <c r="D23" t="s">
        <v>193</v>
      </c>
      <c r="E23" t="s">
        <v>194</v>
      </c>
      <c r="F23" t="s">
        <v>24</v>
      </c>
      <c r="G23" t="s">
        <v>25</v>
      </c>
      <c r="I23" t="s">
        <v>7</v>
      </c>
      <c r="L23" t="s">
        <v>28</v>
      </c>
      <c r="M23" s="2">
        <v>46057</v>
      </c>
      <c r="N23" t="s">
        <v>195</v>
      </c>
      <c r="O23" t="s">
        <v>196</v>
      </c>
      <c r="P23" t="s">
        <v>31</v>
      </c>
      <c r="S23" t="s">
        <v>32</v>
      </c>
    </row>
    <row r="24" spans="1:19" x14ac:dyDescent="0.3">
      <c r="A24" t="s">
        <v>197</v>
      </c>
      <c r="B24" t="s">
        <v>198</v>
      </c>
      <c r="C24" t="s">
        <v>199</v>
      </c>
      <c r="D24" t="s">
        <v>200</v>
      </c>
      <c r="E24" t="s">
        <v>201</v>
      </c>
      <c r="F24" t="s">
        <v>24</v>
      </c>
      <c r="G24" t="s">
        <v>25</v>
      </c>
      <c r="I24" t="s">
        <v>7</v>
      </c>
      <c r="L24" t="s">
        <v>28</v>
      </c>
      <c r="M24" s="2">
        <v>46057</v>
      </c>
      <c r="N24" t="s">
        <v>195</v>
      </c>
      <c r="O24" t="s">
        <v>196</v>
      </c>
      <c r="P24" t="s">
        <v>31</v>
      </c>
      <c r="S24" t="s">
        <v>32</v>
      </c>
    </row>
    <row r="25" spans="1:19" x14ac:dyDescent="0.3">
      <c r="A25" t="s">
        <v>202</v>
      </c>
      <c r="B25" t="s">
        <v>203</v>
      </c>
      <c r="C25" t="s">
        <v>204</v>
      </c>
      <c r="D25" t="s">
        <v>205</v>
      </c>
      <c r="E25" t="s">
        <v>206</v>
      </c>
      <c r="F25" t="s">
        <v>24</v>
      </c>
      <c r="G25" t="s">
        <v>25</v>
      </c>
      <c r="I25" t="s">
        <v>7</v>
      </c>
      <c r="K25" t="s">
        <v>98</v>
      </c>
      <c r="L25" t="s">
        <v>40</v>
      </c>
      <c r="M25" s="2">
        <v>46057</v>
      </c>
      <c r="N25" t="s">
        <v>207</v>
      </c>
      <c r="O25" t="s">
        <v>98</v>
      </c>
      <c r="P25" t="s">
        <v>31</v>
      </c>
      <c r="S25" t="s">
        <v>32</v>
      </c>
    </row>
    <row r="26" spans="1:19" x14ac:dyDescent="0.3">
      <c r="A26" t="s">
        <v>208</v>
      </c>
      <c r="B26" t="s">
        <v>209</v>
      </c>
      <c r="C26" t="s">
        <v>210</v>
      </c>
      <c r="D26" t="s">
        <v>211</v>
      </c>
      <c r="E26" t="s">
        <v>212</v>
      </c>
      <c r="F26" t="s">
        <v>24</v>
      </c>
      <c r="G26" t="s">
        <v>25</v>
      </c>
      <c r="I26" t="s">
        <v>7</v>
      </c>
      <c r="K26" s="1">
        <v>45748</v>
      </c>
      <c r="L26" t="s">
        <v>28</v>
      </c>
      <c r="M26" s="2">
        <v>46059</v>
      </c>
      <c r="N26" t="s">
        <v>213</v>
      </c>
      <c r="O26" t="s">
        <v>30</v>
      </c>
      <c r="P26" t="s">
        <v>31</v>
      </c>
      <c r="S26" t="s">
        <v>32</v>
      </c>
    </row>
    <row r="27" spans="1:19" x14ac:dyDescent="0.3">
      <c r="A27" t="s">
        <v>214</v>
      </c>
      <c r="B27" t="s">
        <v>215</v>
      </c>
      <c r="C27" t="s">
        <v>216</v>
      </c>
      <c r="D27" t="s">
        <v>217</v>
      </c>
      <c r="E27" t="s">
        <v>218</v>
      </c>
      <c r="F27" t="s">
        <v>24</v>
      </c>
      <c r="G27" t="s">
        <v>25</v>
      </c>
      <c r="H27" t="s">
        <v>219</v>
      </c>
      <c r="I27" t="s">
        <v>7</v>
      </c>
      <c r="J27" t="s">
        <v>220</v>
      </c>
      <c r="K27" s="1">
        <v>45992</v>
      </c>
      <c r="L27" t="s">
        <v>40</v>
      </c>
      <c r="M27" s="2">
        <v>46059</v>
      </c>
      <c r="N27" t="s">
        <v>221</v>
      </c>
      <c r="O27" t="s">
        <v>222</v>
      </c>
      <c r="P27" t="s">
        <v>31</v>
      </c>
      <c r="S27" t="s">
        <v>32</v>
      </c>
    </row>
    <row r="28" spans="1:19" x14ac:dyDescent="0.3">
      <c r="A28" t="s">
        <v>223</v>
      </c>
      <c r="B28" t="s">
        <v>224</v>
      </c>
      <c r="C28" t="s">
        <v>225</v>
      </c>
      <c r="D28" t="s">
        <v>226</v>
      </c>
      <c r="E28" t="s">
        <v>227</v>
      </c>
      <c r="F28" t="s">
        <v>24</v>
      </c>
      <c r="G28" t="s">
        <v>25</v>
      </c>
      <c r="I28" t="s">
        <v>7</v>
      </c>
      <c r="K28" s="1">
        <v>45536</v>
      </c>
      <c r="L28" t="s">
        <v>40</v>
      </c>
      <c r="M28" s="2">
        <v>46058</v>
      </c>
      <c r="N28" t="s">
        <v>228</v>
      </c>
      <c r="O28" t="s">
        <v>229</v>
      </c>
      <c r="P28" t="s">
        <v>31</v>
      </c>
      <c r="S28" t="s">
        <v>32</v>
      </c>
    </row>
    <row r="29" spans="1:19" x14ac:dyDescent="0.3">
      <c r="A29" t="s">
        <v>230</v>
      </c>
      <c r="B29" t="s">
        <v>231</v>
      </c>
      <c r="C29" t="s">
        <v>232</v>
      </c>
      <c r="D29" t="s">
        <v>233</v>
      </c>
      <c r="E29" t="s">
        <v>234</v>
      </c>
      <c r="F29" t="s">
        <v>24</v>
      </c>
      <c r="G29" t="s">
        <v>25</v>
      </c>
      <c r="I29" t="s">
        <v>7</v>
      </c>
      <c r="K29" s="1">
        <v>45717</v>
      </c>
      <c r="L29" t="s">
        <v>28</v>
      </c>
      <c r="M29" s="2">
        <v>46058</v>
      </c>
      <c r="N29" t="s">
        <v>235</v>
      </c>
      <c r="O29" t="s">
        <v>148</v>
      </c>
      <c r="P29" t="s">
        <v>31</v>
      </c>
      <c r="S29" t="s">
        <v>32</v>
      </c>
    </row>
    <row r="30" spans="1:19" x14ac:dyDescent="0.3">
      <c r="A30" t="s">
        <v>236</v>
      </c>
      <c r="B30" t="s">
        <v>237</v>
      </c>
      <c r="C30" t="s">
        <v>238</v>
      </c>
      <c r="D30" t="s">
        <v>239</v>
      </c>
      <c r="E30" t="s">
        <v>240</v>
      </c>
      <c r="F30" t="s">
        <v>24</v>
      </c>
      <c r="G30" t="s">
        <v>25</v>
      </c>
      <c r="I30" t="s">
        <v>7</v>
      </c>
      <c r="K30" t="s">
        <v>241</v>
      </c>
      <c r="L30" t="s">
        <v>40</v>
      </c>
      <c r="M30" s="2">
        <v>46058</v>
      </c>
      <c r="N30" t="s">
        <v>242</v>
      </c>
      <c r="O30" t="s">
        <v>50</v>
      </c>
      <c r="P30" t="s">
        <v>31</v>
      </c>
      <c r="S30" t="s">
        <v>32</v>
      </c>
    </row>
    <row r="31" spans="1:19" x14ac:dyDescent="0.3">
      <c r="A31" t="s">
        <v>243</v>
      </c>
      <c r="B31" t="s">
        <v>244</v>
      </c>
      <c r="C31" t="s">
        <v>245</v>
      </c>
      <c r="D31" t="s">
        <v>246</v>
      </c>
      <c r="E31" t="s">
        <v>247</v>
      </c>
      <c r="F31" t="s">
        <v>24</v>
      </c>
      <c r="G31" t="s">
        <v>25</v>
      </c>
      <c r="H31" t="s">
        <v>123</v>
      </c>
      <c r="I31" t="s">
        <v>7</v>
      </c>
      <c r="J31" t="s">
        <v>124</v>
      </c>
      <c r="K31" t="s">
        <v>248</v>
      </c>
      <c r="L31" t="s">
        <v>28</v>
      </c>
      <c r="M31" s="2">
        <v>46058</v>
      </c>
      <c r="N31" t="s">
        <v>249</v>
      </c>
      <c r="O31" t="s">
        <v>92</v>
      </c>
      <c r="P31" t="s">
        <v>31</v>
      </c>
      <c r="S31" t="s">
        <v>32</v>
      </c>
    </row>
    <row r="32" spans="1:19" x14ac:dyDescent="0.3">
      <c r="A32" t="s">
        <v>250</v>
      </c>
      <c r="B32" t="s">
        <v>251</v>
      </c>
      <c r="C32" t="s">
        <v>252</v>
      </c>
      <c r="D32" t="s">
        <v>253</v>
      </c>
      <c r="E32" t="s">
        <v>254</v>
      </c>
      <c r="F32" t="s">
        <v>24</v>
      </c>
      <c r="G32" t="s">
        <v>25</v>
      </c>
      <c r="H32" t="s">
        <v>123</v>
      </c>
      <c r="I32" t="s">
        <v>7</v>
      </c>
      <c r="J32" t="s">
        <v>124</v>
      </c>
      <c r="K32" t="s">
        <v>248</v>
      </c>
      <c r="L32" t="s">
        <v>28</v>
      </c>
      <c r="M32" s="2">
        <v>46058</v>
      </c>
      <c r="N32" t="s">
        <v>249</v>
      </c>
      <c r="O32" t="s">
        <v>92</v>
      </c>
      <c r="P32" t="s">
        <v>31</v>
      </c>
      <c r="S32" t="s">
        <v>32</v>
      </c>
    </row>
    <row r="33" spans="1:19" x14ac:dyDescent="0.3">
      <c r="A33" t="s">
        <v>255</v>
      </c>
      <c r="B33" t="s">
        <v>256</v>
      </c>
      <c r="C33" t="s">
        <v>257</v>
      </c>
      <c r="D33" t="s">
        <v>258</v>
      </c>
      <c r="E33" t="s">
        <v>259</v>
      </c>
      <c r="F33" t="s">
        <v>24</v>
      </c>
      <c r="G33" t="s">
        <v>25</v>
      </c>
      <c r="H33" t="s">
        <v>123</v>
      </c>
      <c r="I33" t="s">
        <v>7</v>
      </c>
      <c r="J33" t="s">
        <v>124</v>
      </c>
      <c r="K33" t="s">
        <v>260</v>
      </c>
      <c r="L33" t="s">
        <v>28</v>
      </c>
      <c r="M33" s="2">
        <v>46058</v>
      </c>
      <c r="N33" t="s">
        <v>261</v>
      </c>
      <c r="O33" t="s">
        <v>92</v>
      </c>
      <c r="P33" t="s">
        <v>31</v>
      </c>
      <c r="S33" t="s">
        <v>32</v>
      </c>
    </row>
    <row r="34" spans="1:19" x14ac:dyDescent="0.3">
      <c r="A34" t="s">
        <v>262</v>
      </c>
      <c r="B34" t="s">
        <v>263</v>
      </c>
      <c r="C34" t="s">
        <v>264</v>
      </c>
      <c r="D34" t="s">
        <v>265</v>
      </c>
      <c r="E34" t="s">
        <v>266</v>
      </c>
      <c r="F34" t="s">
        <v>24</v>
      </c>
      <c r="G34" t="s">
        <v>25</v>
      </c>
      <c r="I34" t="s">
        <v>7</v>
      </c>
      <c r="K34" t="s">
        <v>267</v>
      </c>
      <c r="L34" t="s">
        <v>28</v>
      </c>
      <c r="M34" s="2">
        <v>46058</v>
      </c>
      <c r="N34" t="s">
        <v>268</v>
      </c>
      <c r="O34" t="s">
        <v>92</v>
      </c>
      <c r="P34" t="s">
        <v>31</v>
      </c>
      <c r="S34" t="s">
        <v>32</v>
      </c>
    </row>
    <row r="35" spans="1:19" x14ac:dyDescent="0.3">
      <c r="A35" t="s">
        <v>269</v>
      </c>
      <c r="B35" t="s">
        <v>270</v>
      </c>
      <c r="C35" t="s">
        <v>271</v>
      </c>
      <c r="D35" t="s">
        <v>272</v>
      </c>
      <c r="E35" t="s">
        <v>273</v>
      </c>
      <c r="F35" t="s">
        <v>24</v>
      </c>
      <c r="G35" t="s">
        <v>25</v>
      </c>
      <c r="H35" t="s">
        <v>274</v>
      </c>
      <c r="I35" t="s">
        <v>7</v>
      </c>
      <c r="J35" t="s">
        <v>275</v>
      </c>
      <c r="K35" s="1">
        <v>45627</v>
      </c>
      <c r="L35" t="s">
        <v>40</v>
      </c>
      <c r="M35" s="2">
        <v>46066</v>
      </c>
      <c r="N35" t="s">
        <v>276</v>
      </c>
      <c r="O35" t="s">
        <v>277</v>
      </c>
      <c r="P35" t="s">
        <v>31</v>
      </c>
      <c r="S35" t="s">
        <v>32</v>
      </c>
    </row>
    <row r="36" spans="1:19" x14ac:dyDescent="0.3">
      <c r="A36" t="s">
        <v>278</v>
      </c>
      <c r="B36" t="s">
        <v>279</v>
      </c>
      <c r="C36" t="s">
        <v>280</v>
      </c>
      <c r="D36" t="s">
        <v>281</v>
      </c>
      <c r="E36" t="s">
        <v>282</v>
      </c>
      <c r="F36" t="s">
        <v>24</v>
      </c>
      <c r="G36" t="s">
        <v>25</v>
      </c>
      <c r="I36" t="s">
        <v>7</v>
      </c>
      <c r="K36" s="1">
        <v>45931</v>
      </c>
      <c r="L36" t="s">
        <v>40</v>
      </c>
      <c r="M36" s="2">
        <v>46066</v>
      </c>
      <c r="N36" t="s">
        <v>283</v>
      </c>
      <c r="O36" t="s">
        <v>30</v>
      </c>
      <c r="P36" t="s">
        <v>31</v>
      </c>
      <c r="S36" t="s">
        <v>32</v>
      </c>
    </row>
    <row r="37" spans="1:19" x14ac:dyDescent="0.3">
      <c r="A37" t="s">
        <v>284</v>
      </c>
      <c r="B37" t="s">
        <v>285</v>
      </c>
      <c r="C37" t="s">
        <v>286</v>
      </c>
      <c r="D37" t="s">
        <v>287</v>
      </c>
      <c r="E37" t="s">
        <v>288</v>
      </c>
      <c r="F37" t="s">
        <v>24</v>
      </c>
      <c r="G37" t="s">
        <v>25</v>
      </c>
      <c r="I37" t="s">
        <v>7</v>
      </c>
      <c r="K37" t="s">
        <v>140</v>
      </c>
      <c r="L37" t="s">
        <v>28</v>
      </c>
      <c r="M37" s="2">
        <v>46065</v>
      </c>
      <c r="N37" t="s">
        <v>289</v>
      </c>
      <c r="O37" t="s">
        <v>92</v>
      </c>
      <c r="P37" t="s">
        <v>31</v>
      </c>
      <c r="S37" t="s">
        <v>32</v>
      </c>
    </row>
    <row r="38" spans="1:19" x14ac:dyDescent="0.3">
      <c r="A38" t="s">
        <v>290</v>
      </c>
      <c r="B38" t="s">
        <v>291</v>
      </c>
      <c r="C38" t="s">
        <v>292</v>
      </c>
      <c r="D38" t="s">
        <v>293</v>
      </c>
      <c r="E38" t="s">
        <v>294</v>
      </c>
      <c r="F38" t="s">
        <v>24</v>
      </c>
      <c r="G38" t="s">
        <v>25</v>
      </c>
      <c r="H38" t="s">
        <v>295</v>
      </c>
      <c r="I38" t="s">
        <v>7</v>
      </c>
      <c r="J38" t="s">
        <v>296</v>
      </c>
      <c r="K38" s="1">
        <v>45627</v>
      </c>
      <c r="L38" t="s">
        <v>28</v>
      </c>
      <c r="M38" s="2">
        <v>46062</v>
      </c>
      <c r="N38" t="s">
        <v>297</v>
      </c>
      <c r="O38" t="s">
        <v>298</v>
      </c>
      <c r="P38" t="s">
        <v>31</v>
      </c>
      <c r="S38" t="s">
        <v>32</v>
      </c>
    </row>
    <row r="39" spans="1:19" x14ac:dyDescent="0.3">
      <c r="A39" t="s">
        <v>299</v>
      </c>
      <c r="B39" t="s">
        <v>300</v>
      </c>
      <c r="C39" t="s">
        <v>301</v>
      </c>
      <c r="D39" t="s">
        <v>302</v>
      </c>
      <c r="E39" t="s">
        <v>303</v>
      </c>
      <c r="F39" t="s">
        <v>24</v>
      </c>
      <c r="G39" t="s">
        <v>25</v>
      </c>
      <c r="H39" t="s">
        <v>304</v>
      </c>
      <c r="I39" t="s">
        <v>7</v>
      </c>
      <c r="J39" t="s">
        <v>305</v>
      </c>
      <c r="K39" t="s">
        <v>140</v>
      </c>
      <c r="L39" t="s">
        <v>40</v>
      </c>
      <c r="M39" s="2">
        <v>46059</v>
      </c>
      <c r="N39" t="s">
        <v>306</v>
      </c>
      <c r="O39" t="s">
        <v>30</v>
      </c>
      <c r="P39" t="s">
        <v>31</v>
      </c>
      <c r="S39" t="s">
        <v>32</v>
      </c>
    </row>
    <row r="40" spans="1:19" x14ac:dyDescent="0.3">
      <c r="A40" t="s">
        <v>307</v>
      </c>
      <c r="B40" t="s">
        <v>308</v>
      </c>
      <c r="C40" t="s">
        <v>309</v>
      </c>
      <c r="D40" t="s">
        <v>310</v>
      </c>
      <c r="E40" t="s">
        <v>311</v>
      </c>
      <c r="F40" t="s">
        <v>24</v>
      </c>
      <c r="G40" t="s">
        <v>25</v>
      </c>
      <c r="I40" t="s">
        <v>7</v>
      </c>
      <c r="K40" s="1">
        <v>45566</v>
      </c>
      <c r="L40" t="s">
        <v>28</v>
      </c>
      <c r="M40" s="2">
        <v>46058</v>
      </c>
      <c r="N40" t="s">
        <v>312</v>
      </c>
      <c r="O40" t="s">
        <v>148</v>
      </c>
      <c r="P40" t="s">
        <v>31</v>
      </c>
      <c r="S40" t="s">
        <v>32</v>
      </c>
    </row>
    <row r="41" spans="1:19" x14ac:dyDescent="0.3">
      <c r="A41" t="s">
        <v>313</v>
      </c>
      <c r="B41" t="s">
        <v>314</v>
      </c>
      <c r="C41" t="s">
        <v>315</v>
      </c>
      <c r="D41" t="s">
        <v>316</v>
      </c>
      <c r="E41" t="s">
        <v>317</v>
      </c>
      <c r="F41" t="s">
        <v>24</v>
      </c>
      <c r="G41" t="s">
        <v>25</v>
      </c>
      <c r="H41" t="s">
        <v>318</v>
      </c>
      <c r="I41" t="s">
        <v>7</v>
      </c>
      <c r="J41" t="s">
        <v>319</v>
      </c>
      <c r="K41" t="s">
        <v>320</v>
      </c>
      <c r="L41" t="s">
        <v>40</v>
      </c>
      <c r="M41" s="2">
        <v>46058</v>
      </c>
      <c r="N41" t="s">
        <v>321</v>
      </c>
      <c r="O41" t="s">
        <v>322</v>
      </c>
      <c r="P41" t="s">
        <v>31</v>
      </c>
      <c r="S41" t="s">
        <v>32</v>
      </c>
    </row>
    <row r="42" spans="1:19" x14ac:dyDescent="0.3">
      <c r="A42" t="s">
        <v>323</v>
      </c>
      <c r="B42" t="s">
        <v>324</v>
      </c>
      <c r="C42" t="s">
        <v>325</v>
      </c>
      <c r="D42" t="s">
        <v>326</v>
      </c>
      <c r="E42" t="s">
        <v>327</v>
      </c>
      <c r="F42" t="s">
        <v>24</v>
      </c>
      <c r="G42" t="s">
        <v>25</v>
      </c>
      <c r="I42" t="s">
        <v>7</v>
      </c>
      <c r="K42" t="s">
        <v>328</v>
      </c>
      <c r="L42" t="s">
        <v>40</v>
      </c>
      <c r="M42" s="2">
        <v>46058</v>
      </c>
      <c r="N42" t="s">
        <v>329</v>
      </c>
      <c r="O42" t="s">
        <v>330</v>
      </c>
      <c r="P42" t="s">
        <v>31</v>
      </c>
      <c r="S42" t="s">
        <v>32</v>
      </c>
    </row>
    <row r="43" spans="1:19" x14ac:dyDescent="0.3">
      <c r="A43" t="s">
        <v>331</v>
      </c>
      <c r="B43" t="s">
        <v>332</v>
      </c>
      <c r="C43" t="s">
        <v>333</v>
      </c>
      <c r="D43" t="s">
        <v>334</v>
      </c>
      <c r="E43" t="s">
        <v>335</v>
      </c>
      <c r="F43" t="s">
        <v>24</v>
      </c>
      <c r="G43" t="s">
        <v>25</v>
      </c>
      <c r="I43" t="s">
        <v>7</v>
      </c>
      <c r="K43" s="1">
        <v>45931</v>
      </c>
      <c r="L43" t="s">
        <v>40</v>
      </c>
      <c r="M43" s="2">
        <v>46058</v>
      </c>
      <c r="N43" t="s">
        <v>336</v>
      </c>
      <c r="O43" t="s">
        <v>30</v>
      </c>
      <c r="P43" t="s">
        <v>31</v>
      </c>
      <c r="S43" t="s">
        <v>32</v>
      </c>
    </row>
    <row r="44" spans="1:19" x14ac:dyDescent="0.3">
      <c r="A44" t="s">
        <v>337</v>
      </c>
      <c r="B44" t="s">
        <v>338</v>
      </c>
      <c r="C44" t="s">
        <v>339</v>
      </c>
      <c r="D44" t="s">
        <v>340</v>
      </c>
      <c r="E44" t="s">
        <v>341</v>
      </c>
      <c r="F44" t="s">
        <v>24</v>
      </c>
      <c r="G44" t="s">
        <v>25</v>
      </c>
      <c r="I44" t="s">
        <v>7</v>
      </c>
      <c r="K44" s="1">
        <v>45323</v>
      </c>
      <c r="L44" t="s">
        <v>28</v>
      </c>
      <c r="M44" s="2">
        <v>46058</v>
      </c>
      <c r="N44" t="s">
        <v>342</v>
      </c>
      <c r="O44" t="s">
        <v>343</v>
      </c>
      <c r="P44" t="s">
        <v>31</v>
      </c>
      <c r="S44" t="s">
        <v>32</v>
      </c>
    </row>
    <row r="45" spans="1:19" x14ac:dyDescent="0.3">
      <c r="A45" t="s">
        <v>344</v>
      </c>
      <c r="B45" t="s">
        <v>345</v>
      </c>
      <c r="C45" t="s">
        <v>346</v>
      </c>
      <c r="D45" t="s">
        <v>347</v>
      </c>
      <c r="E45" t="s">
        <v>348</v>
      </c>
      <c r="F45" t="s">
        <v>24</v>
      </c>
      <c r="G45" t="s">
        <v>25</v>
      </c>
      <c r="I45" t="s">
        <v>7</v>
      </c>
      <c r="K45" s="1">
        <v>45323</v>
      </c>
      <c r="L45" t="s">
        <v>28</v>
      </c>
      <c r="M45" s="2">
        <v>46058</v>
      </c>
      <c r="N45" t="s">
        <v>342</v>
      </c>
      <c r="O45" t="s">
        <v>343</v>
      </c>
      <c r="P45" t="s">
        <v>31</v>
      </c>
      <c r="S45" t="s">
        <v>32</v>
      </c>
    </row>
    <row r="46" spans="1:19" x14ac:dyDescent="0.3">
      <c r="A46" t="s">
        <v>349</v>
      </c>
      <c r="B46" t="s">
        <v>350</v>
      </c>
      <c r="C46" t="s">
        <v>351</v>
      </c>
      <c r="D46" t="s">
        <v>352</v>
      </c>
      <c r="E46" t="s">
        <v>353</v>
      </c>
      <c r="F46" t="s">
        <v>24</v>
      </c>
      <c r="G46" t="s">
        <v>25</v>
      </c>
      <c r="I46" t="s">
        <v>7</v>
      </c>
      <c r="L46" t="s">
        <v>28</v>
      </c>
      <c r="M46" s="2">
        <v>46058</v>
      </c>
      <c r="N46" t="s">
        <v>354</v>
      </c>
      <c r="O46" t="s">
        <v>343</v>
      </c>
      <c r="P46" t="s">
        <v>31</v>
      </c>
      <c r="S46" t="s">
        <v>32</v>
      </c>
    </row>
    <row r="47" spans="1:19" x14ac:dyDescent="0.3">
      <c r="A47" t="s">
        <v>355</v>
      </c>
      <c r="B47" t="s">
        <v>356</v>
      </c>
      <c r="C47" t="s">
        <v>357</v>
      </c>
      <c r="D47" t="s">
        <v>358</v>
      </c>
      <c r="E47" t="s">
        <v>359</v>
      </c>
      <c r="F47" t="s">
        <v>24</v>
      </c>
      <c r="G47" t="s">
        <v>25</v>
      </c>
      <c r="H47" t="s">
        <v>360</v>
      </c>
      <c r="I47" t="s">
        <v>7</v>
      </c>
      <c r="J47" t="s">
        <v>361</v>
      </c>
      <c r="K47" s="1">
        <v>45809</v>
      </c>
      <c r="L47" t="s">
        <v>28</v>
      </c>
      <c r="M47" s="2">
        <v>46058</v>
      </c>
      <c r="N47" t="s">
        <v>362</v>
      </c>
      <c r="O47" t="s">
        <v>343</v>
      </c>
      <c r="P47" t="s">
        <v>31</v>
      </c>
      <c r="S47" t="s">
        <v>32</v>
      </c>
    </row>
    <row r="48" spans="1:19" x14ac:dyDescent="0.3">
      <c r="A48" t="s">
        <v>363</v>
      </c>
      <c r="B48" t="s">
        <v>364</v>
      </c>
      <c r="C48" t="s">
        <v>365</v>
      </c>
      <c r="D48" t="s">
        <v>366</v>
      </c>
      <c r="E48" t="s">
        <v>367</v>
      </c>
      <c r="F48" t="s">
        <v>24</v>
      </c>
      <c r="G48" t="s">
        <v>25</v>
      </c>
      <c r="I48" t="s">
        <v>7</v>
      </c>
      <c r="L48" t="s">
        <v>28</v>
      </c>
      <c r="M48" s="2">
        <v>46058</v>
      </c>
      <c r="N48" t="s">
        <v>368</v>
      </c>
      <c r="O48" t="s">
        <v>343</v>
      </c>
      <c r="P48" t="s">
        <v>31</v>
      </c>
      <c r="S48" t="s">
        <v>32</v>
      </c>
    </row>
    <row r="49" spans="1:19" x14ac:dyDescent="0.3">
      <c r="A49" t="s">
        <v>369</v>
      </c>
      <c r="B49" t="s">
        <v>370</v>
      </c>
      <c r="C49" t="s">
        <v>371</v>
      </c>
      <c r="D49" t="s">
        <v>372</v>
      </c>
      <c r="E49" t="s">
        <v>373</v>
      </c>
      <c r="F49" t="s">
        <v>24</v>
      </c>
      <c r="G49" t="s">
        <v>25</v>
      </c>
      <c r="H49" t="s">
        <v>113</v>
      </c>
      <c r="I49" t="s">
        <v>7</v>
      </c>
      <c r="J49" t="s">
        <v>114</v>
      </c>
      <c r="K49" s="1">
        <v>45717</v>
      </c>
      <c r="L49" t="s">
        <v>40</v>
      </c>
      <c r="M49" s="2">
        <v>46057</v>
      </c>
      <c r="N49" t="s">
        <v>374</v>
      </c>
      <c r="O49" t="s">
        <v>117</v>
      </c>
      <c r="P49" t="s">
        <v>31</v>
      </c>
      <c r="S49" t="s">
        <v>32</v>
      </c>
    </row>
    <row r="50" spans="1:19" x14ac:dyDescent="0.3">
      <c r="A50" t="s">
        <v>375</v>
      </c>
      <c r="B50" t="s">
        <v>376</v>
      </c>
      <c r="C50" t="s">
        <v>377</v>
      </c>
      <c r="D50" t="s">
        <v>378</v>
      </c>
      <c r="E50" t="s">
        <v>379</v>
      </c>
      <c r="F50" t="s">
        <v>24</v>
      </c>
      <c r="G50" t="s">
        <v>25</v>
      </c>
      <c r="H50" t="s">
        <v>380</v>
      </c>
      <c r="I50" t="s">
        <v>7</v>
      </c>
      <c r="J50" t="s">
        <v>381</v>
      </c>
      <c r="K50" s="1">
        <v>45839</v>
      </c>
      <c r="L50" t="s">
        <v>28</v>
      </c>
      <c r="M50" s="2">
        <v>46057</v>
      </c>
      <c r="N50" t="s">
        <v>382</v>
      </c>
      <c r="O50" t="s">
        <v>383</v>
      </c>
      <c r="P50" t="s">
        <v>31</v>
      </c>
      <c r="S50" t="s">
        <v>32</v>
      </c>
    </row>
    <row r="51" spans="1:19" x14ac:dyDescent="0.3">
      <c r="A51" t="s">
        <v>384</v>
      </c>
      <c r="B51" t="s">
        <v>385</v>
      </c>
      <c r="C51" t="s">
        <v>386</v>
      </c>
      <c r="D51" t="s">
        <v>387</v>
      </c>
      <c r="E51" t="s">
        <v>388</v>
      </c>
      <c r="F51" t="s">
        <v>24</v>
      </c>
      <c r="G51" t="s">
        <v>25</v>
      </c>
      <c r="H51" t="e">
        <f>-- Borgholms</f>
        <v>#NAME?</v>
      </c>
      <c r="I51" t="s">
        <v>7</v>
      </c>
      <c r="J51" t="e">
        <f>-- Borgholms kommun</f>
        <v>#NAME?</v>
      </c>
      <c r="K51" s="1">
        <v>45261</v>
      </c>
      <c r="L51" t="s">
        <v>40</v>
      </c>
      <c r="M51" s="2">
        <v>46057</v>
      </c>
      <c r="N51" t="s">
        <v>389</v>
      </c>
      <c r="O51" t="s">
        <v>30</v>
      </c>
      <c r="P51" t="s">
        <v>31</v>
      </c>
      <c r="S51" t="s">
        <v>32</v>
      </c>
    </row>
    <row r="52" spans="1:19" x14ac:dyDescent="0.3">
      <c r="A52" t="s">
        <v>390</v>
      </c>
      <c r="B52" t="s">
        <v>391</v>
      </c>
      <c r="C52" t="s">
        <v>392</v>
      </c>
      <c r="D52" t="s">
        <v>393</v>
      </c>
      <c r="E52" t="s">
        <v>394</v>
      </c>
      <c r="F52" t="s">
        <v>24</v>
      </c>
      <c r="G52" t="s">
        <v>25</v>
      </c>
      <c r="I52" t="s">
        <v>7</v>
      </c>
      <c r="K52" t="s">
        <v>395</v>
      </c>
      <c r="L52" t="s">
        <v>40</v>
      </c>
      <c r="M52" s="2">
        <v>46064</v>
      </c>
      <c r="N52" t="s">
        <v>396</v>
      </c>
      <c r="O52" t="s">
        <v>229</v>
      </c>
      <c r="P52" t="s">
        <v>31</v>
      </c>
      <c r="S52" t="s">
        <v>32</v>
      </c>
    </row>
    <row r="53" spans="1:19" x14ac:dyDescent="0.3">
      <c r="A53" t="s">
        <v>397</v>
      </c>
      <c r="B53" t="s">
        <v>398</v>
      </c>
      <c r="C53" t="s">
        <v>399</v>
      </c>
      <c r="D53" t="s">
        <v>400</v>
      </c>
      <c r="E53" t="s">
        <v>401</v>
      </c>
      <c r="F53" t="s">
        <v>24</v>
      </c>
      <c r="G53" t="s">
        <v>25</v>
      </c>
      <c r="H53" t="s">
        <v>402</v>
      </c>
      <c r="I53" t="s">
        <v>7</v>
      </c>
      <c r="J53" t="s">
        <v>403</v>
      </c>
      <c r="K53" t="s">
        <v>404</v>
      </c>
      <c r="L53" t="s">
        <v>40</v>
      </c>
      <c r="M53" s="2">
        <v>46065</v>
      </c>
      <c r="N53" t="s">
        <v>405</v>
      </c>
      <c r="O53" t="s">
        <v>30</v>
      </c>
      <c r="P53" t="s">
        <v>31</v>
      </c>
      <c r="S53" t="s">
        <v>32</v>
      </c>
    </row>
    <row r="54" spans="1:19" x14ac:dyDescent="0.3">
      <c r="A54" t="s">
        <v>406</v>
      </c>
      <c r="B54" t="s">
        <v>407</v>
      </c>
      <c r="C54" t="s">
        <v>408</v>
      </c>
      <c r="D54" t="s">
        <v>409</v>
      </c>
      <c r="E54" t="s">
        <v>410</v>
      </c>
      <c r="F54" t="s">
        <v>24</v>
      </c>
      <c r="G54" t="s">
        <v>25</v>
      </c>
      <c r="I54" t="s">
        <v>7</v>
      </c>
      <c r="K54" t="s">
        <v>411</v>
      </c>
      <c r="L54" t="s">
        <v>28</v>
      </c>
      <c r="M54" s="2">
        <v>46063</v>
      </c>
      <c r="N54" t="s">
        <v>412</v>
      </c>
      <c r="O54" t="s">
        <v>413</v>
      </c>
      <c r="P54" t="s">
        <v>31</v>
      </c>
      <c r="S54" t="s">
        <v>32</v>
      </c>
    </row>
    <row r="55" spans="1:19" x14ac:dyDescent="0.3">
      <c r="A55" t="s">
        <v>414</v>
      </c>
      <c r="B55" t="s">
        <v>415</v>
      </c>
      <c r="C55" t="s">
        <v>416</v>
      </c>
      <c r="D55" t="s">
        <v>417</v>
      </c>
      <c r="E55" t="s">
        <v>418</v>
      </c>
      <c r="F55" t="s">
        <v>24</v>
      </c>
      <c r="G55" t="s">
        <v>25</v>
      </c>
      <c r="H55" t="s">
        <v>419</v>
      </c>
      <c r="I55" t="s">
        <v>7</v>
      </c>
      <c r="J55" t="s">
        <v>420</v>
      </c>
      <c r="K55" t="s">
        <v>421</v>
      </c>
      <c r="L55" t="s">
        <v>40</v>
      </c>
      <c r="M55" s="2">
        <v>46058</v>
      </c>
      <c r="N55" t="s">
        <v>422</v>
      </c>
      <c r="O55" t="s">
        <v>322</v>
      </c>
      <c r="P55" t="s">
        <v>31</v>
      </c>
      <c r="S55" t="s">
        <v>32</v>
      </c>
    </row>
    <row r="56" spans="1:19" x14ac:dyDescent="0.3">
      <c r="A56" t="s">
        <v>423</v>
      </c>
      <c r="B56" t="s">
        <v>424</v>
      </c>
      <c r="C56" t="s">
        <v>425</v>
      </c>
      <c r="D56" t="s">
        <v>426</v>
      </c>
      <c r="E56" t="s">
        <v>427</v>
      </c>
      <c r="F56" t="s">
        <v>24</v>
      </c>
      <c r="G56" t="s">
        <v>25</v>
      </c>
      <c r="H56" t="s">
        <v>428</v>
      </c>
      <c r="I56" t="s">
        <v>7</v>
      </c>
      <c r="J56" t="s">
        <v>429</v>
      </c>
      <c r="K56" s="1">
        <v>45413</v>
      </c>
      <c r="L56" t="s">
        <v>40</v>
      </c>
      <c r="M56" s="2">
        <v>46058</v>
      </c>
      <c r="N56" t="s">
        <v>430</v>
      </c>
      <c r="O56" t="s">
        <v>431</v>
      </c>
      <c r="P56" t="s">
        <v>31</v>
      </c>
      <c r="S56" t="s">
        <v>32</v>
      </c>
    </row>
    <row r="57" spans="1:19" x14ac:dyDescent="0.3">
      <c r="A57" t="s">
        <v>432</v>
      </c>
      <c r="B57" t="s">
        <v>433</v>
      </c>
      <c r="C57" t="s">
        <v>434</v>
      </c>
      <c r="D57" t="s">
        <v>435</v>
      </c>
      <c r="E57" t="s">
        <v>436</v>
      </c>
      <c r="F57" t="s">
        <v>24</v>
      </c>
      <c r="G57" t="s">
        <v>25</v>
      </c>
      <c r="H57" t="s">
        <v>428</v>
      </c>
      <c r="I57" t="s">
        <v>7</v>
      </c>
      <c r="J57" t="s">
        <v>429</v>
      </c>
      <c r="K57" s="1">
        <v>45413</v>
      </c>
      <c r="L57" t="s">
        <v>40</v>
      </c>
      <c r="M57" s="2">
        <v>46058</v>
      </c>
      <c r="N57" t="s">
        <v>430</v>
      </c>
      <c r="O57" t="s">
        <v>431</v>
      </c>
      <c r="P57" t="s">
        <v>31</v>
      </c>
      <c r="S57" t="s">
        <v>32</v>
      </c>
    </row>
    <row r="58" spans="1:19" x14ac:dyDescent="0.3">
      <c r="A58" t="s">
        <v>437</v>
      </c>
      <c r="B58" t="s">
        <v>438</v>
      </c>
      <c r="C58" t="s">
        <v>439</v>
      </c>
      <c r="D58" t="s">
        <v>440</v>
      </c>
      <c r="E58" t="s">
        <v>441</v>
      </c>
      <c r="F58" t="s">
        <v>24</v>
      </c>
      <c r="G58" t="s">
        <v>25</v>
      </c>
      <c r="I58" t="s">
        <v>7</v>
      </c>
      <c r="K58" s="1">
        <v>45597</v>
      </c>
      <c r="L58" t="s">
        <v>28</v>
      </c>
      <c r="M58" s="2">
        <v>46065</v>
      </c>
      <c r="N58" t="s">
        <v>442</v>
      </c>
      <c r="O58" t="s">
        <v>30</v>
      </c>
      <c r="P58" t="s">
        <v>31</v>
      </c>
      <c r="S58" t="s">
        <v>32</v>
      </c>
    </row>
    <row r="59" spans="1:19" x14ac:dyDescent="0.3">
      <c r="A59" t="s">
        <v>443</v>
      </c>
      <c r="B59" t="s">
        <v>444</v>
      </c>
      <c r="C59" t="s">
        <v>445</v>
      </c>
      <c r="D59" t="s">
        <v>446</v>
      </c>
      <c r="E59" t="s">
        <v>447</v>
      </c>
      <c r="F59" t="s">
        <v>24</v>
      </c>
      <c r="G59" t="s">
        <v>25</v>
      </c>
      <c r="I59" t="s">
        <v>7</v>
      </c>
      <c r="K59" t="s">
        <v>448</v>
      </c>
      <c r="L59" t="s">
        <v>83</v>
      </c>
      <c r="M59" s="2">
        <v>46063</v>
      </c>
      <c r="N59" t="s">
        <v>449</v>
      </c>
      <c r="O59" t="s">
        <v>30</v>
      </c>
      <c r="P59" t="s">
        <v>31</v>
      </c>
      <c r="S59" t="s">
        <v>32</v>
      </c>
    </row>
    <row r="60" spans="1:19" x14ac:dyDescent="0.3">
      <c r="A60" t="s">
        <v>450</v>
      </c>
      <c r="B60" t="s">
        <v>451</v>
      </c>
      <c r="C60" t="s">
        <v>452</v>
      </c>
      <c r="D60" t="s">
        <v>453</v>
      </c>
      <c r="E60" t="s">
        <v>454</v>
      </c>
      <c r="F60" t="s">
        <v>24</v>
      </c>
      <c r="G60" t="s">
        <v>25</v>
      </c>
      <c r="H60" t="s">
        <v>455</v>
      </c>
      <c r="I60" t="s">
        <v>7</v>
      </c>
      <c r="J60" t="s">
        <v>456</v>
      </c>
      <c r="K60" s="1">
        <v>45901</v>
      </c>
      <c r="L60" t="s">
        <v>40</v>
      </c>
      <c r="M60" s="2">
        <v>46063</v>
      </c>
      <c r="N60" t="s">
        <v>457</v>
      </c>
      <c r="O60" t="s">
        <v>30</v>
      </c>
      <c r="P60" t="s">
        <v>31</v>
      </c>
      <c r="S60" t="s">
        <v>32</v>
      </c>
    </row>
    <row r="61" spans="1:19" x14ac:dyDescent="0.3">
      <c r="A61" t="s">
        <v>458</v>
      </c>
      <c r="B61" t="s">
        <v>459</v>
      </c>
      <c r="C61" t="s">
        <v>460</v>
      </c>
      <c r="D61" t="s">
        <v>461</v>
      </c>
      <c r="E61" t="s">
        <v>462</v>
      </c>
      <c r="F61" t="s">
        <v>24</v>
      </c>
      <c r="G61" t="s">
        <v>25</v>
      </c>
      <c r="I61" t="s">
        <v>7</v>
      </c>
      <c r="K61" s="1">
        <v>42461</v>
      </c>
      <c r="L61" t="s">
        <v>28</v>
      </c>
      <c r="M61" s="2">
        <v>46058</v>
      </c>
      <c r="N61" t="s">
        <v>463</v>
      </c>
      <c r="O61" t="s">
        <v>30</v>
      </c>
      <c r="P61" t="s">
        <v>31</v>
      </c>
      <c r="S61" t="s">
        <v>32</v>
      </c>
    </row>
    <row r="62" spans="1:19" x14ac:dyDescent="0.3">
      <c r="A62" t="s">
        <v>464</v>
      </c>
      <c r="B62" t="s">
        <v>465</v>
      </c>
      <c r="C62" t="s">
        <v>466</v>
      </c>
      <c r="D62" t="s">
        <v>467</v>
      </c>
      <c r="E62" t="s">
        <v>468</v>
      </c>
      <c r="F62" t="s">
        <v>24</v>
      </c>
      <c r="G62" t="s">
        <v>25</v>
      </c>
      <c r="I62" t="s">
        <v>7</v>
      </c>
      <c r="K62" s="1">
        <v>45536</v>
      </c>
      <c r="L62" t="s">
        <v>40</v>
      </c>
      <c r="M62" s="2">
        <v>46059</v>
      </c>
      <c r="N62" t="s">
        <v>469</v>
      </c>
      <c r="O62" t="s">
        <v>431</v>
      </c>
      <c r="P62" t="s">
        <v>31</v>
      </c>
      <c r="S62" t="s">
        <v>32</v>
      </c>
    </row>
    <row r="63" spans="1:19" x14ac:dyDescent="0.3">
      <c r="A63" t="s">
        <v>470</v>
      </c>
      <c r="B63" t="s">
        <v>471</v>
      </c>
      <c r="C63" t="s">
        <v>472</v>
      </c>
      <c r="D63" t="s">
        <v>473</v>
      </c>
      <c r="E63" t="s">
        <v>474</v>
      </c>
      <c r="F63" t="s">
        <v>24</v>
      </c>
      <c r="G63" t="s">
        <v>25</v>
      </c>
      <c r="I63" t="s">
        <v>7</v>
      </c>
      <c r="L63" t="s">
        <v>40</v>
      </c>
      <c r="M63" s="2">
        <v>46059</v>
      </c>
      <c r="N63" t="s">
        <v>475</v>
      </c>
      <c r="O63" t="s">
        <v>476</v>
      </c>
      <c r="P63" t="s">
        <v>31</v>
      </c>
      <c r="S63" t="s">
        <v>32</v>
      </c>
    </row>
    <row r="64" spans="1:19" x14ac:dyDescent="0.3">
      <c r="A64" t="s">
        <v>477</v>
      </c>
      <c r="B64" t="s">
        <v>478</v>
      </c>
      <c r="C64" t="s">
        <v>479</v>
      </c>
      <c r="D64" t="s">
        <v>480</v>
      </c>
      <c r="E64" t="s">
        <v>481</v>
      </c>
      <c r="F64" t="s">
        <v>24</v>
      </c>
      <c r="G64" t="s">
        <v>25</v>
      </c>
      <c r="H64" t="s">
        <v>482</v>
      </c>
      <c r="I64" t="s">
        <v>7</v>
      </c>
      <c r="J64" t="s">
        <v>483</v>
      </c>
      <c r="K64" t="s">
        <v>484</v>
      </c>
      <c r="L64" t="s">
        <v>40</v>
      </c>
      <c r="M64" s="2">
        <v>46059</v>
      </c>
      <c r="N64" t="s">
        <v>485</v>
      </c>
      <c r="O64" t="s">
        <v>30</v>
      </c>
      <c r="P64" t="s">
        <v>31</v>
      </c>
      <c r="S64" t="s">
        <v>32</v>
      </c>
    </row>
    <row r="65" spans="1:19" x14ac:dyDescent="0.3">
      <c r="A65" t="s">
        <v>486</v>
      </c>
      <c r="B65" t="s">
        <v>487</v>
      </c>
      <c r="C65" t="s">
        <v>488</v>
      </c>
      <c r="D65" t="s">
        <v>489</v>
      </c>
      <c r="E65" t="s">
        <v>490</v>
      </c>
      <c r="F65" t="s">
        <v>24</v>
      </c>
      <c r="G65" t="s">
        <v>25</v>
      </c>
      <c r="I65" t="s">
        <v>7</v>
      </c>
      <c r="K65" s="1">
        <v>45352</v>
      </c>
      <c r="L65" t="s">
        <v>40</v>
      </c>
      <c r="M65" s="2">
        <v>46058</v>
      </c>
      <c r="N65" t="s">
        <v>491</v>
      </c>
      <c r="O65" t="s">
        <v>229</v>
      </c>
      <c r="P65" t="s">
        <v>31</v>
      </c>
      <c r="S65" t="s">
        <v>32</v>
      </c>
    </row>
    <row r="66" spans="1:19" x14ac:dyDescent="0.3">
      <c r="A66" t="s">
        <v>492</v>
      </c>
      <c r="B66" t="s">
        <v>493</v>
      </c>
      <c r="C66" t="s">
        <v>494</v>
      </c>
      <c r="D66" t="s">
        <v>495</v>
      </c>
      <c r="E66" t="s">
        <v>496</v>
      </c>
      <c r="F66" t="s">
        <v>24</v>
      </c>
      <c r="G66" t="s">
        <v>25</v>
      </c>
      <c r="I66" t="s">
        <v>7</v>
      </c>
      <c r="K66" s="1">
        <v>45261</v>
      </c>
      <c r="L66" t="s">
        <v>28</v>
      </c>
      <c r="M66" s="2">
        <v>46058</v>
      </c>
      <c r="N66" t="s">
        <v>497</v>
      </c>
      <c r="O66" t="s">
        <v>30</v>
      </c>
      <c r="P66" t="s">
        <v>31</v>
      </c>
      <c r="S66" t="s">
        <v>32</v>
      </c>
    </row>
    <row r="67" spans="1:19" x14ac:dyDescent="0.3">
      <c r="A67" t="s">
        <v>498</v>
      </c>
      <c r="B67" t="s">
        <v>499</v>
      </c>
      <c r="C67" t="s">
        <v>500</v>
      </c>
      <c r="D67" t="s">
        <v>501</v>
      </c>
      <c r="E67" t="s">
        <v>502</v>
      </c>
      <c r="F67" t="s">
        <v>24</v>
      </c>
      <c r="G67" t="s">
        <v>25</v>
      </c>
      <c r="I67" t="s">
        <v>7</v>
      </c>
      <c r="K67" s="1">
        <v>45566</v>
      </c>
      <c r="L67" t="s">
        <v>40</v>
      </c>
      <c r="M67" s="2">
        <v>46058</v>
      </c>
      <c r="N67" t="s">
        <v>503</v>
      </c>
      <c r="O67" t="s">
        <v>229</v>
      </c>
      <c r="P67" t="s">
        <v>31</v>
      </c>
      <c r="S67" t="s">
        <v>32</v>
      </c>
    </row>
    <row r="68" spans="1:19" x14ac:dyDescent="0.3">
      <c r="A68" t="s">
        <v>504</v>
      </c>
      <c r="B68" t="s">
        <v>505</v>
      </c>
      <c r="C68" t="s">
        <v>506</v>
      </c>
      <c r="D68" t="s">
        <v>507</v>
      </c>
      <c r="E68" t="s">
        <v>508</v>
      </c>
      <c r="F68" t="s">
        <v>24</v>
      </c>
      <c r="G68" t="s">
        <v>25</v>
      </c>
      <c r="I68" t="s">
        <v>7</v>
      </c>
      <c r="K68" s="1">
        <v>45566</v>
      </c>
      <c r="L68" t="s">
        <v>40</v>
      </c>
      <c r="M68" s="2">
        <v>46058</v>
      </c>
      <c r="N68" t="s">
        <v>503</v>
      </c>
      <c r="O68" t="s">
        <v>229</v>
      </c>
      <c r="P68" t="s">
        <v>31</v>
      </c>
      <c r="S68" t="s">
        <v>32</v>
      </c>
    </row>
    <row r="69" spans="1:19" x14ac:dyDescent="0.3">
      <c r="A69" t="s">
        <v>509</v>
      </c>
      <c r="B69" t="s">
        <v>510</v>
      </c>
      <c r="C69" t="s">
        <v>511</v>
      </c>
      <c r="D69" t="s">
        <v>512</v>
      </c>
      <c r="E69" t="s">
        <v>513</v>
      </c>
      <c r="F69" t="s">
        <v>24</v>
      </c>
      <c r="G69" t="s">
        <v>25</v>
      </c>
      <c r="H69" t="s">
        <v>514</v>
      </c>
      <c r="I69" t="s">
        <v>7</v>
      </c>
      <c r="J69" t="s">
        <v>515</v>
      </c>
      <c r="K69" s="1">
        <v>45383</v>
      </c>
      <c r="L69" t="s">
        <v>40</v>
      </c>
      <c r="M69" s="2">
        <v>46058</v>
      </c>
      <c r="N69" t="s">
        <v>516</v>
      </c>
      <c r="O69" t="s">
        <v>30</v>
      </c>
      <c r="P69" t="s">
        <v>31</v>
      </c>
      <c r="S69" t="s">
        <v>32</v>
      </c>
    </row>
    <row r="70" spans="1:19" x14ac:dyDescent="0.3">
      <c r="A70" t="s">
        <v>517</v>
      </c>
      <c r="B70" t="s">
        <v>518</v>
      </c>
      <c r="C70" t="s">
        <v>519</v>
      </c>
      <c r="D70" t="s">
        <v>520</v>
      </c>
      <c r="E70" t="s">
        <v>521</v>
      </c>
      <c r="F70" t="s">
        <v>24</v>
      </c>
      <c r="G70" t="s">
        <v>25</v>
      </c>
      <c r="I70" t="s">
        <v>7</v>
      </c>
      <c r="K70" s="1">
        <v>45931</v>
      </c>
      <c r="L70" t="s">
        <v>40</v>
      </c>
      <c r="M70" s="2">
        <v>46058</v>
      </c>
      <c r="N70" t="s">
        <v>522</v>
      </c>
      <c r="O70" t="s">
        <v>30</v>
      </c>
      <c r="P70" t="s">
        <v>31</v>
      </c>
      <c r="S70" t="s">
        <v>32</v>
      </c>
    </row>
    <row r="71" spans="1:19" x14ac:dyDescent="0.3">
      <c r="A71" t="s">
        <v>523</v>
      </c>
      <c r="B71" t="s">
        <v>524</v>
      </c>
      <c r="C71" t="s">
        <v>525</v>
      </c>
      <c r="D71" t="s">
        <v>526</v>
      </c>
      <c r="E71" t="s">
        <v>527</v>
      </c>
      <c r="F71" t="s">
        <v>24</v>
      </c>
      <c r="G71" t="s">
        <v>25</v>
      </c>
      <c r="I71" t="s">
        <v>7</v>
      </c>
      <c r="K71" s="1">
        <v>45261</v>
      </c>
      <c r="L71" t="s">
        <v>28</v>
      </c>
      <c r="M71" s="2">
        <v>46058</v>
      </c>
      <c r="N71" t="s">
        <v>497</v>
      </c>
      <c r="O71" t="s">
        <v>30</v>
      </c>
      <c r="P71" t="s">
        <v>31</v>
      </c>
      <c r="S71" t="s">
        <v>32</v>
      </c>
    </row>
    <row r="72" spans="1:19" x14ac:dyDescent="0.3">
      <c r="A72" t="s">
        <v>528</v>
      </c>
      <c r="B72" t="s">
        <v>529</v>
      </c>
      <c r="C72" t="s">
        <v>530</v>
      </c>
      <c r="D72" t="s">
        <v>531</v>
      </c>
      <c r="E72" t="s">
        <v>532</v>
      </c>
      <c r="F72" t="s">
        <v>24</v>
      </c>
      <c r="G72" t="s">
        <v>25</v>
      </c>
      <c r="H72" t="e">
        <f>-- Skinnskattebergs</f>
        <v>#NAME?</v>
      </c>
      <c r="I72" t="s">
        <v>7</v>
      </c>
      <c r="J72" t="e">
        <f>-- Skinnskattebergs kommun</f>
        <v>#NAME?</v>
      </c>
      <c r="K72" t="s">
        <v>140</v>
      </c>
      <c r="L72" t="s">
        <v>28</v>
      </c>
      <c r="M72" s="2">
        <v>46058</v>
      </c>
      <c r="N72" t="s">
        <v>533</v>
      </c>
      <c r="O72" t="s">
        <v>30</v>
      </c>
      <c r="P72" t="s">
        <v>31</v>
      </c>
      <c r="S72" t="s">
        <v>32</v>
      </c>
    </row>
    <row r="73" spans="1:19" x14ac:dyDescent="0.3">
      <c r="A73" t="s">
        <v>534</v>
      </c>
      <c r="B73" t="s">
        <v>535</v>
      </c>
      <c r="C73" t="s">
        <v>536</v>
      </c>
      <c r="D73" t="s">
        <v>537</v>
      </c>
      <c r="E73" t="s">
        <v>538</v>
      </c>
      <c r="F73" t="s">
        <v>24</v>
      </c>
      <c r="G73" t="s">
        <v>25</v>
      </c>
      <c r="I73" t="s">
        <v>7</v>
      </c>
      <c r="K73" s="1">
        <v>44805</v>
      </c>
      <c r="L73" t="s">
        <v>40</v>
      </c>
      <c r="M73" s="2">
        <v>46058</v>
      </c>
      <c r="N73" t="s">
        <v>539</v>
      </c>
      <c r="O73" t="s">
        <v>30</v>
      </c>
      <c r="P73" t="s">
        <v>31</v>
      </c>
      <c r="S73" t="s">
        <v>32</v>
      </c>
    </row>
    <row r="74" spans="1:19" x14ac:dyDescent="0.3">
      <c r="A74" t="s">
        <v>540</v>
      </c>
      <c r="B74" t="s">
        <v>541</v>
      </c>
      <c r="C74" t="s">
        <v>542</v>
      </c>
      <c r="D74" t="s">
        <v>543</v>
      </c>
      <c r="E74" t="s">
        <v>544</v>
      </c>
      <c r="F74" t="s">
        <v>24</v>
      </c>
      <c r="G74" t="s">
        <v>25</v>
      </c>
      <c r="H74" t="e">
        <f>-- Emmaboda</f>
        <v>#NAME?</v>
      </c>
      <c r="I74" t="s">
        <v>7</v>
      </c>
      <c r="J74" t="e">
        <f>-- Emmaboda kommun</f>
        <v>#NAME?</v>
      </c>
      <c r="K74" t="s">
        <v>545</v>
      </c>
      <c r="L74" t="s">
        <v>40</v>
      </c>
      <c r="M74" s="2">
        <v>46063</v>
      </c>
      <c r="N74" t="s">
        <v>546</v>
      </c>
      <c r="O74" t="s">
        <v>30</v>
      </c>
      <c r="P74" t="s">
        <v>31</v>
      </c>
      <c r="S74" t="s">
        <v>32</v>
      </c>
    </row>
    <row r="75" spans="1:19" x14ac:dyDescent="0.3">
      <c r="A75" t="s">
        <v>547</v>
      </c>
      <c r="B75" t="s">
        <v>548</v>
      </c>
      <c r="C75" t="s">
        <v>549</v>
      </c>
      <c r="D75" t="s">
        <v>550</v>
      </c>
      <c r="E75" t="s">
        <v>551</v>
      </c>
      <c r="F75" t="s">
        <v>24</v>
      </c>
      <c r="G75" t="s">
        <v>25</v>
      </c>
      <c r="H75" t="s">
        <v>482</v>
      </c>
      <c r="I75" t="s">
        <v>7</v>
      </c>
      <c r="J75" t="s">
        <v>483</v>
      </c>
      <c r="K75" t="s">
        <v>552</v>
      </c>
      <c r="L75" t="s">
        <v>40</v>
      </c>
      <c r="M75" s="2">
        <v>46058</v>
      </c>
      <c r="N75" t="s">
        <v>553</v>
      </c>
      <c r="O75" t="s">
        <v>30</v>
      </c>
      <c r="P75" t="s">
        <v>31</v>
      </c>
      <c r="S75" t="s">
        <v>32</v>
      </c>
    </row>
    <row r="76" spans="1:19" x14ac:dyDescent="0.3">
      <c r="A76" t="s">
        <v>554</v>
      </c>
      <c r="B76" t="s">
        <v>555</v>
      </c>
      <c r="C76" t="s">
        <v>556</v>
      </c>
      <c r="D76" t="s">
        <v>557</v>
      </c>
      <c r="E76" t="s">
        <v>558</v>
      </c>
      <c r="F76" t="s">
        <v>24</v>
      </c>
      <c r="G76" t="s">
        <v>25</v>
      </c>
      <c r="H76" t="s">
        <v>559</v>
      </c>
      <c r="I76" t="s">
        <v>7</v>
      </c>
      <c r="J76" t="s">
        <v>560</v>
      </c>
      <c r="K76" s="1">
        <v>45413</v>
      </c>
      <c r="L76" t="s">
        <v>40</v>
      </c>
      <c r="M76" s="2">
        <v>46058</v>
      </c>
      <c r="N76" t="s">
        <v>561</v>
      </c>
      <c r="O76" t="s">
        <v>30</v>
      </c>
      <c r="P76" t="s">
        <v>31</v>
      </c>
      <c r="S76" t="s">
        <v>32</v>
      </c>
    </row>
    <row r="77" spans="1:19" x14ac:dyDescent="0.3">
      <c r="A77" t="s">
        <v>562</v>
      </c>
      <c r="B77" t="s">
        <v>563</v>
      </c>
      <c r="C77" t="s">
        <v>564</v>
      </c>
      <c r="D77" t="s">
        <v>565</v>
      </c>
      <c r="E77" t="s">
        <v>566</v>
      </c>
      <c r="F77" t="s">
        <v>24</v>
      </c>
      <c r="G77" t="s">
        <v>25</v>
      </c>
      <c r="I77" t="s">
        <v>7</v>
      </c>
      <c r="K77" t="s">
        <v>140</v>
      </c>
      <c r="L77" t="s">
        <v>28</v>
      </c>
      <c r="M77" s="2">
        <v>46058</v>
      </c>
      <c r="N77" t="s">
        <v>567</v>
      </c>
      <c r="O77" t="s">
        <v>343</v>
      </c>
      <c r="P77" t="s">
        <v>31</v>
      </c>
      <c r="S77" t="s">
        <v>32</v>
      </c>
    </row>
    <row r="78" spans="1:19" x14ac:dyDescent="0.3">
      <c r="A78" t="s">
        <v>568</v>
      </c>
      <c r="B78" t="s">
        <v>569</v>
      </c>
      <c r="C78" t="s">
        <v>570</v>
      </c>
      <c r="D78" t="s">
        <v>571</v>
      </c>
      <c r="E78" t="s">
        <v>572</v>
      </c>
      <c r="F78" t="s">
        <v>24</v>
      </c>
      <c r="G78" t="s">
        <v>25</v>
      </c>
      <c r="I78" t="s">
        <v>7</v>
      </c>
      <c r="K78" t="s">
        <v>140</v>
      </c>
      <c r="L78" t="s">
        <v>28</v>
      </c>
      <c r="M78" s="2">
        <v>46058</v>
      </c>
      <c r="N78" t="s">
        <v>567</v>
      </c>
      <c r="O78" t="s">
        <v>343</v>
      </c>
      <c r="P78" t="s">
        <v>31</v>
      </c>
      <c r="S78" t="s">
        <v>32</v>
      </c>
    </row>
    <row r="79" spans="1:19" x14ac:dyDescent="0.3">
      <c r="A79" t="s">
        <v>573</v>
      </c>
      <c r="B79" t="s">
        <v>574</v>
      </c>
      <c r="C79" t="s">
        <v>575</v>
      </c>
      <c r="D79" t="s">
        <v>576</v>
      </c>
      <c r="E79" t="s">
        <v>577</v>
      </c>
      <c r="F79" t="s">
        <v>24</v>
      </c>
      <c r="G79" t="s">
        <v>25</v>
      </c>
      <c r="H79" t="e">
        <f>-- arlstads</f>
        <v>#NAME?</v>
      </c>
      <c r="I79" t="s">
        <v>7</v>
      </c>
      <c r="J79" t="e">
        <f>-- arlstads kommun</f>
        <v>#NAME?</v>
      </c>
      <c r="K79" s="1">
        <v>46023</v>
      </c>
      <c r="L79" t="s">
        <v>578</v>
      </c>
      <c r="M79" s="2">
        <v>46058</v>
      </c>
      <c r="N79" t="s">
        <v>579</v>
      </c>
      <c r="O79" t="s">
        <v>343</v>
      </c>
      <c r="P79" t="s">
        <v>31</v>
      </c>
      <c r="S79" t="s">
        <v>32</v>
      </c>
    </row>
    <row r="80" spans="1:19" x14ac:dyDescent="0.3">
      <c r="A80" t="s">
        <v>580</v>
      </c>
      <c r="B80" t="s">
        <v>581</v>
      </c>
      <c r="C80" t="s">
        <v>582</v>
      </c>
      <c r="D80" t="s">
        <v>583</v>
      </c>
      <c r="E80" t="s">
        <v>584</v>
      </c>
      <c r="F80" t="s">
        <v>24</v>
      </c>
      <c r="G80" t="s">
        <v>25</v>
      </c>
      <c r="H80" t="s">
        <v>585</v>
      </c>
      <c r="I80" t="s">
        <v>7</v>
      </c>
      <c r="J80" t="s">
        <v>586</v>
      </c>
      <c r="L80" t="s">
        <v>28</v>
      </c>
      <c r="M80" s="2">
        <v>46058</v>
      </c>
      <c r="N80" t="s">
        <v>587</v>
      </c>
      <c r="O80" t="s">
        <v>343</v>
      </c>
      <c r="P80" t="s">
        <v>31</v>
      </c>
      <c r="S80" t="s">
        <v>32</v>
      </c>
    </row>
    <row r="81" spans="1:19" x14ac:dyDescent="0.3">
      <c r="A81" t="s">
        <v>588</v>
      </c>
      <c r="B81" t="s">
        <v>589</v>
      </c>
      <c r="C81" t="s">
        <v>590</v>
      </c>
      <c r="D81" t="s">
        <v>591</v>
      </c>
      <c r="E81" t="s">
        <v>592</v>
      </c>
      <c r="F81" t="s">
        <v>24</v>
      </c>
      <c r="G81" t="s">
        <v>25</v>
      </c>
      <c r="I81" t="s">
        <v>7</v>
      </c>
      <c r="K81" s="1">
        <v>45839</v>
      </c>
      <c r="L81" t="s">
        <v>40</v>
      </c>
      <c r="M81" s="2">
        <v>46057</v>
      </c>
      <c r="N81" t="s">
        <v>593</v>
      </c>
      <c r="O81" t="s">
        <v>30</v>
      </c>
      <c r="P81" t="s">
        <v>31</v>
      </c>
      <c r="S81" t="s">
        <v>32</v>
      </c>
    </row>
    <row r="82" spans="1:19" x14ac:dyDescent="0.3">
      <c r="A82" t="s">
        <v>594</v>
      </c>
      <c r="B82" t="s">
        <v>595</v>
      </c>
      <c r="C82" t="s">
        <v>596</v>
      </c>
      <c r="D82" t="s">
        <v>597</v>
      </c>
      <c r="E82" t="s">
        <v>598</v>
      </c>
      <c r="F82" t="s">
        <v>24</v>
      </c>
      <c r="G82" t="s">
        <v>25</v>
      </c>
      <c r="H82" t="e">
        <f>-- Arvidsjaurs</f>
        <v>#NAME?</v>
      </c>
      <c r="I82" t="s">
        <v>7</v>
      </c>
      <c r="J82" t="e">
        <f>-- Arvidsjaurs kommun</f>
        <v>#NAME?</v>
      </c>
      <c r="K82" t="s">
        <v>599</v>
      </c>
      <c r="L82" t="s">
        <v>28</v>
      </c>
      <c r="M82" s="2">
        <v>46057</v>
      </c>
      <c r="N82" t="s">
        <v>600</v>
      </c>
      <c r="O82" t="s">
        <v>30</v>
      </c>
      <c r="P82" t="s">
        <v>31</v>
      </c>
      <c r="S82" t="s">
        <v>32</v>
      </c>
    </row>
    <row r="83" spans="1:19" x14ac:dyDescent="0.3">
      <c r="A83" t="s">
        <v>601</v>
      </c>
      <c r="B83" t="s">
        <v>602</v>
      </c>
      <c r="C83" t="s">
        <v>603</v>
      </c>
      <c r="D83" t="s">
        <v>604</v>
      </c>
      <c r="E83" t="s">
        <v>605</v>
      </c>
      <c r="F83" t="s">
        <v>24</v>
      </c>
      <c r="G83" t="s">
        <v>25</v>
      </c>
      <c r="I83" t="s">
        <v>7</v>
      </c>
      <c r="K83" t="s">
        <v>606</v>
      </c>
      <c r="L83" t="s">
        <v>28</v>
      </c>
      <c r="M83" s="2">
        <v>46057</v>
      </c>
      <c r="N83" t="s">
        <v>607</v>
      </c>
      <c r="O83" t="s">
        <v>75</v>
      </c>
      <c r="P83" t="s">
        <v>31</v>
      </c>
      <c r="S83" t="s">
        <v>32</v>
      </c>
    </row>
    <row r="84" spans="1:19" x14ac:dyDescent="0.3">
      <c r="A84" t="s">
        <v>608</v>
      </c>
      <c r="B84" t="s">
        <v>609</v>
      </c>
      <c r="C84" t="s">
        <v>610</v>
      </c>
      <c r="D84" t="s">
        <v>611</v>
      </c>
      <c r="E84" t="s">
        <v>612</v>
      </c>
      <c r="F84" t="s">
        <v>24</v>
      </c>
      <c r="G84" t="s">
        <v>25</v>
      </c>
      <c r="H84" t="s">
        <v>380</v>
      </c>
      <c r="I84" t="s">
        <v>7</v>
      </c>
      <c r="J84" t="s">
        <v>381</v>
      </c>
      <c r="K84" s="1">
        <v>45839</v>
      </c>
      <c r="L84" t="s">
        <v>28</v>
      </c>
      <c r="M84" s="2">
        <v>46057</v>
      </c>
      <c r="N84" t="s">
        <v>382</v>
      </c>
      <c r="O84" t="s">
        <v>383</v>
      </c>
      <c r="P84" t="s">
        <v>31</v>
      </c>
      <c r="S84" t="s">
        <v>32</v>
      </c>
    </row>
    <row r="85" spans="1:19" x14ac:dyDescent="0.3">
      <c r="A85" t="s">
        <v>613</v>
      </c>
      <c r="B85" t="s">
        <v>614</v>
      </c>
      <c r="C85" t="s">
        <v>615</v>
      </c>
      <c r="D85" t="s">
        <v>616</v>
      </c>
      <c r="E85" t="s">
        <v>617</v>
      </c>
      <c r="F85" t="s">
        <v>24</v>
      </c>
      <c r="G85" t="s">
        <v>25</v>
      </c>
      <c r="I85" t="s">
        <v>7</v>
      </c>
      <c r="K85" s="1">
        <v>45597</v>
      </c>
      <c r="L85" t="s">
        <v>28</v>
      </c>
      <c r="M85" s="2">
        <v>46057</v>
      </c>
      <c r="N85" t="s">
        <v>618</v>
      </c>
      <c r="O85" t="s">
        <v>619</v>
      </c>
      <c r="P85" t="s">
        <v>31</v>
      </c>
      <c r="S85" t="s">
        <v>32</v>
      </c>
    </row>
    <row r="86" spans="1:19" x14ac:dyDescent="0.3">
      <c r="A86" t="s">
        <v>620</v>
      </c>
      <c r="B86" t="s">
        <v>621</v>
      </c>
      <c r="C86" t="s">
        <v>622</v>
      </c>
      <c r="D86" t="s">
        <v>623</v>
      </c>
      <c r="E86" t="s">
        <v>624</v>
      </c>
      <c r="F86" t="s">
        <v>24</v>
      </c>
      <c r="G86" t="s">
        <v>25</v>
      </c>
      <c r="H86" t="s">
        <v>625</v>
      </c>
      <c r="I86" t="s">
        <v>7</v>
      </c>
      <c r="J86" t="s">
        <v>626</v>
      </c>
      <c r="K86" s="1">
        <v>45627</v>
      </c>
      <c r="L86" t="s">
        <v>40</v>
      </c>
      <c r="M86" s="2">
        <v>46057</v>
      </c>
      <c r="N86" t="s">
        <v>627</v>
      </c>
      <c r="O86" t="s">
        <v>619</v>
      </c>
      <c r="P86" t="s">
        <v>31</v>
      </c>
      <c r="S86" t="s">
        <v>32</v>
      </c>
    </row>
    <row r="87" spans="1:19" x14ac:dyDescent="0.3">
      <c r="A87" t="s">
        <v>628</v>
      </c>
      <c r="B87" t="s">
        <v>629</v>
      </c>
      <c r="C87" t="s">
        <v>630</v>
      </c>
      <c r="D87" t="s">
        <v>631</v>
      </c>
      <c r="E87" t="s">
        <v>632</v>
      </c>
      <c r="F87" t="s">
        <v>24</v>
      </c>
      <c r="G87" t="s">
        <v>25</v>
      </c>
      <c r="H87" t="e">
        <f>-- Borgholms</f>
        <v>#NAME?</v>
      </c>
      <c r="I87" t="s">
        <v>7</v>
      </c>
      <c r="J87" t="e">
        <f>-- Borgholms kommun</f>
        <v>#NAME?</v>
      </c>
      <c r="K87" s="1">
        <v>45261</v>
      </c>
      <c r="L87" t="s">
        <v>40</v>
      </c>
      <c r="M87" s="2">
        <v>46057</v>
      </c>
      <c r="N87" t="s">
        <v>389</v>
      </c>
      <c r="O87" t="s">
        <v>30</v>
      </c>
      <c r="P87" t="s">
        <v>31</v>
      </c>
      <c r="S87" t="s">
        <v>32</v>
      </c>
    </row>
    <row r="88" spans="1:19" x14ac:dyDescent="0.3">
      <c r="A88" t="s">
        <v>633</v>
      </c>
      <c r="B88" t="s">
        <v>634</v>
      </c>
      <c r="C88" t="s">
        <v>635</v>
      </c>
      <c r="D88" t="s">
        <v>636</v>
      </c>
      <c r="E88" t="s">
        <v>637</v>
      </c>
      <c r="F88" t="s">
        <v>24</v>
      </c>
      <c r="G88" t="s">
        <v>25</v>
      </c>
      <c r="H88" t="s">
        <v>81</v>
      </c>
      <c r="I88" t="s">
        <v>7</v>
      </c>
      <c r="J88" t="s">
        <v>82</v>
      </c>
      <c r="K88" s="1">
        <v>45748</v>
      </c>
      <c r="L88" t="s">
        <v>83</v>
      </c>
      <c r="M88" s="2">
        <v>46057</v>
      </c>
      <c r="N88" t="s">
        <v>638</v>
      </c>
      <c r="O88" t="s">
        <v>196</v>
      </c>
      <c r="P88" t="s">
        <v>31</v>
      </c>
      <c r="S88" t="s">
        <v>32</v>
      </c>
    </row>
    <row r="89" spans="1:19" x14ac:dyDescent="0.3">
      <c r="A89" t="s">
        <v>639</v>
      </c>
      <c r="B89" t="s">
        <v>640</v>
      </c>
      <c r="C89" t="s">
        <v>641</v>
      </c>
      <c r="D89" t="s">
        <v>642</v>
      </c>
      <c r="E89" t="s">
        <v>643</v>
      </c>
      <c r="F89" t="s">
        <v>24</v>
      </c>
      <c r="G89" t="s">
        <v>25</v>
      </c>
      <c r="H89" t="s">
        <v>644</v>
      </c>
      <c r="I89" t="s">
        <v>7</v>
      </c>
      <c r="J89" t="s">
        <v>645</v>
      </c>
      <c r="K89" t="s">
        <v>646</v>
      </c>
      <c r="L89" t="s">
        <v>28</v>
      </c>
      <c r="M89" s="2">
        <v>46057</v>
      </c>
      <c r="N89" t="s">
        <v>647</v>
      </c>
      <c r="O89" t="s">
        <v>30</v>
      </c>
      <c r="P89" t="s">
        <v>31</v>
      </c>
      <c r="S89" t="s">
        <v>32</v>
      </c>
    </row>
    <row r="90" spans="1:19" x14ac:dyDescent="0.3">
      <c r="A90" t="s">
        <v>648</v>
      </c>
      <c r="B90" t="s">
        <v>649</v>
      </c>
      <c r="C90" t="s">
        <v>650</v>
      </c>
      <c r="D90" t="s">
        <v>651</v>
      </c>
      <c r="E90" t="s">
        <v>652</v>
      </c>
      <c r="F90" t="s">
        <v>24</v>
      </c>
      <c r="G90" t="s">
        <v>25</v>
      </c>
      <c r="I90" t="s">
        <v>7</v>
      </c>
      <c r="K90" t="s">
        <v>653</v>
      </c>
      <c r="L90" t="s">
        <v>28</v>
      </c>
      <c r="M90" s="2">
        <v>46057</v>
      </c>
      <c r="N90" t="s">
        <v>183</v>
      </c>
      <c r="O90" t="s">
        <v>654</v>
      </c>
      <c r="P90" t="s">
        <v>31</v>
      </c>
      <c r="S90" t="s">
        <v>32</v>
      </c>
    </row>
    <row r="91" spans="1:19" x14ac:dyDescent="0.3">
      <c r="A91" t="s">
        <v>655</v>
      </c>
      <c r="B91" t="s">
        <v>656</v>
      </c>
      <c r="C91" t="s">
        <v>657</v>
      </c>
      <c r="D91" t="s">
        <v>658</v>
      </c>
      <c r="E91" t="s">
        <v>659</v>
      </c>
      <c r="F91" t="s">
        <v>24</v>
      </c>
      <c r="G91" t="s">
        <v>25</v>
      </c>
      <c r="I91" t="s">
        <v>7</v>
      </c>
      <c r="K91" t="s">
        <v>241</v>
      </c>
      <c r="L91" t="s">
        <v>40</v>
      </c>
      <c r="M91" s="2">
        <v>46058</v>
      </c>
      <c r="N91" t="s">
        <v>242</v>
      </c>
      <c r="O91" t="s">
        <v>50</v>
      </c>
      <c r="P91" t="s">
        <v>31</v>
      </c>
      <c r="S91" t="s">
        <v>32</v>
      </c>
    </row>
    <row r="92" spans="1:19" x14ac:dyDescent="0.3">
      <c r="A92" t="s">
        <v>660</v>
      </c>
      <c r="B92" t="s">
        <v>661</v>
      </c>
      <c r="C92" t="s">
        <v>662</v>
      </c>
      <c r="D92" t="s">
        <v>663</v>
      </c>
      <c r="E92" t="s">
        <v>664</v>
      </c>
      <c r="F92" t="s">
        <v>24</v>
      </c>
      <c r="G92" t="s">
        <v>25</v>
      </c>
      <c r="H92" t="e">
        <f>-- Skinnskattebergs</f>
        <v>#NAME?</v>
      </c>
      <c r="I92" t="s">
        <v>7</v>
      </c>
      <c r="J92" t="e">
        <f>-- Skinnskattebergs kommun</f>
        <v>#NAME?</v>
      </c>
      <c r="K92" t="s">
        <v>140</v>
      </c>
      <c r="L92" t="s">
        <v>28</v>
      </c>
      <c r="M92" s="2">
        <v>46058</v>
      </c>
      <c r="N92" t="s">
        <v>533</v>
      </c>
      <c r="O92" t="s">
        <v>30</v>
      </c>
      <c r="P92" t="s">
        <v>31</v>
      </c>
      <c r="S92" t="s">
        <v>32</v>
      </c>
    </row>
    <row r="93" spans="1:19" x14ac:dyDescent="0.3">
      <c r="A93" t="s">
        <v>665</v>
      </c>
      <c r="B93" t="s">
        <v>666</v>
      </c>
      <c r="C93" t="s">
        <v>667</v>
      </c>
      <c r="D93" t="s">
        <v>668</v>
      </c>
      <c r="E93" t="s">
        <v>669</v>
      </c>
      <c r="F93" t="s">
        <v>24</v>
      </c>
      <c r="G93" t="s">
        <v>25</v>
      </c>
      <c r="I93" t="s">
        <v>7</v>
      </c>
      <c r="K93" t="s">
        <v>328</v>
      </c>
      <c r="L93" t="s">
        <v>40</v>
      </c>
      <c r="M93" s="2">
        <v>46058</v>
      </c>
      <c r="N93" t="s">
        <v>329</v>
      </c>
      <c r="O93" t="s">
        <v>330</v>
      </c>
      <c r="P93" t="s">
        <v>31</v>
      </c>
      <c r="S93" t="s">
        <v>32</v>
      </c>
    </row>
    <row r="94" spans="1:19" x14ac:dyDescent="0.3">
      <c r="A94" t="s">
        <v>670</v>
      </c>
      <c r="B94" t="s">
        <v>671</v>
      </c>
      <c r="C94" t="s">
        <v>672</v>
      </c>
      <c r="D94" t="s">
        <v>673</v>
      </c>
      <c r="E94" t="s">
        <v>674</v>
      </c>
      <c r="F94" t="s">
        <v>24</v>
      </c>
      <c r="G94" t="s">
        <v>25</v>
      </c>
      <c r="H94" t="e">
        <f>-- arlstads</f>
        <v>#NAME?</v>
      </c>
      <c r="I94" t="s">
        <v>7</v>
      </c>
      <c r="J94" t="e">
        <f>-- arlstads kommun</f>
        <v>#NAME?</v>
      </c>
      <c r="K94" s="1">
        <v>46023</v>
      </c>
      <c r="L94" t="s">
        <v>578</v>
      </c>
      <c r="M94" s="2">
        <v>46058</v>
      </c>
      <c r="N94" t="s">
        <v>579</v>
      </c>
      <c r="O94" t="s">
        <v>343</v>
      </c>
      <c r="P94" t="s">
        <v>31</v>
      </c>
      <c r="S94" t="s">
        <v>32</v>
      </c>
    </row>
    <row r="95" spans="1:19" x14ac:dyDescent="0.3">
      <c r="A95" t="s">
        <v>675</v>
      </c>
      <c r="B95" t="s">
        <v>676</v>
      </c>
      <c r="C95" t="s">
        <v>677</v>
      </c>
      <c r="D95" t="s">
        <v>678</v>
      </c>
      <c r="E95" t="s">
        <v>679</v>
      </c>
      <c r="F95" t="s">
        <v>24</v>
      </c>
      <c r="G95" t="s">
        <v>25</v>
      </c>
      <c r="I95" t="s">
        <v>7</v>
      </c>
      <c r="K95" t="s">
        <v>680</v>
      </c>
      <c r="L95" t="s">
        <v>28</v>
      </c>
      <c r="M95" s="2">
        <v>46058</v>
      </c>
      <c r="N95" t="s">
        <v>681</v>
      </c>
      <c r="O95" t="s">
        <v>343</v>
      </c>
      <c r="P95" t="s">
        <v>31</v>
      </c>
      <c r="S95" t="s">
        <v>32</v>
      </c>
    </row>
    <row r="96" spans="1:19" x14ac:dyDescent="0.3">
      <c r="A96" t="s">
        <v>682</v>
      </c>
      <c r="B96" t="s">
        <v>683</v>
      </c>
      <c r="C96" t="s">
        <v>684</v>
      </c>
      <c r="D96" t="s">
        <v>685</v>
      </c>
      <c r="E96" t="s">
        <v>686</v>
      </c>
      <c r="F96" t="s">
        <v>24</v>
      </c>
      <c r="G96" t="s">
        <v>25</v>
      </c>
      <c r="H96" t="s">
        <v>585</v>
      </c>
      <c r="I96" t="s">
        <v>7</v>
      </c>
      <c r="J96" t="s">
        <v>586</v>
      </c>
      <c r="L96" t="s">
        <v>28</v>
      </c>
      <c r="M96" s="2">
        <v>46058</v>
      </c>
      <c r="N96" t="s">
        <v>587</v>
      </c>
      <c r="O96" t="s">
        <v>343</v>
      </c>
      <c r="P96" t="s">
        <v>31</v>
      </c>
      <c r="S96" t="s">
        <v>32</v>
      </c>
    </row>
    <row r="97" spans="1:19" x14ac:dyDescent="0.3">
      <c r="A97" t="s">
        <v>687</v>
      </c>
      <c r="B97" t="s">
        <v>688</v>
      </c>
      <c r="C97" t="s">
        <v>689</v>
      </c>
      <c r="D97" t="s">
        <v>690</v>
      </c>
      <c r="E97" t="s">
        <v>691</v>
      </c>
      <c r="F97" t="s">
        <v>24</v>
      </c>
      <c r="G97" t="s">
        <v>25</v>
      </c>
      <c r="I97" t="s">
        <v>7</v>
      </c>
      <c r="K97" t="s">
        <v>606</v>
      </c>
      <c r="L97" t="s">
        <v>28</v>
      </c>
      <c r="M97" s="2">
        <v>46057</v>
      </c>
      <c r="N97" t="s">
        <v>607</v>
      </c>
      <c r="O97" t="s">
        <v>75</v>
      </c>
      <c r="P97" t="s">
        <v>31</v>
      </c>
      <c r="S97" t="s">
        <v>32</v>
      </c>
    </row>
    <row r="98" spans="1:19" x14ac:dyDescent="0.3">
      <c r="A98" t="s">
        <v>692</v>
      </c>
      <c r="B98" t="s">
        <v>693</v>
      </c>
      <c r="C98" t="s">
        <v>694</v>
      </c>
      <c r="D98" t="s">
        <v>695</v>
      </c>
      <c r="E98" t="s">
        <v>696</v>
      </c>
      <c r="F98" t="s">
        <v>24</v>
      </c>
      <c r="G98" t="s">
        <v>25</v>
      </c>
      <c r="H98" t="s">
        <v>81</v>
      </c>
      <c r="I98" t="s">
        <v>7</v>
      </c>
      <c r="J98" t="s">
        <v>82</v>
      </c>
      <c r="K98" s="1">
        <v>45748</v>
      </c>
      <c r="L98" t="s">
        <v>83</v>
      </c>
      <c r="M98" s="2">
        <v>46057</v>
      </c>
      <c r="N98" t="s">
        <v>638</v>
      </c>
      <c r="O98" t="s">
        <v>196</v>
      </c>
      <c r="P98" t="s">
        <v>31</v>
      </c>
      <c r="S98" t="s">
        <v>32</v>
      </c>
    </row>
    <row r="99" spans="1:19" x14ac:dyDescent="0.3">
      <c r="A99" t="s">
        <v>697</v>
      </c>
      <c r="B99" t="s">
        <v>698</v>
      </c>
      <c r="C99" t="s">
        <v>699</v>
      </c>
      <c r="D99" t="s">
        <v>700</v>
      </c>
      <c r="E99" t="s">
        <v>701</v>
      </c>
      <c r="F99" t="s">
        <v>24</v>
      </c>
      <c r="G99" t="s">
        <v>25</v>
      </c>
      <c r="I99" t="s">
        <v>7</v>
      </c>
      <c r="K99" t="s">
        <v>653</v>
      </c>
      <c r="L99" t="s">
        <v>40</v>
      </c>
      <c r="M99" s="2">
        <v>46057</v>
      </c>
      <c r="N99" t="s">
        <v>702</v>
      </c>
      <c r="O99" t="s">
        <v>654</v>
      </c>
      <c r="P99" t="s">
        <v>31</v>
      </c>
      <c r="S99" t="s">
        <v>32</v>
      </c>
    </row>
    <row r="100" spans="1:19" x14ac:dyDescent="0.3">
      <c r="A100" t="s">
        <v>703</v>
      </c>
      <c r="B100" t="s">
        <v>704</v>
      </c>
      <c r="C100" t="s">
        <v>705</v>
      </c>
      <c r="D100" t="s">
        <v>706</v>
      </c>
      <c r="E100" t="s">
        <v>707</v>
      </c>
      <c r="F100" t="s">
        <v>24</v>
      </c>
      <c r="G100" t="s">
        <v>25</v>
      </c>
      <c r="H100" t="s">
        <v>708</v>
      </c>
      <c r="I100" t="s">
        <v>7</v>
      </c>
      <c r="J100" t="s">
        <v>709</v>
      </c>
      <c r="K100" t="s">
        <v>710</v>
      </c>
      <c r="L100" t="s">
        <v>83</v>
      </c>
      <c r="M100" s="2">
        <v>46057</v>
      </c>
      <c r="N100" t="s">
        <v>711</v>
      </c>
      <c r="O100" t="s">
        <v>30</v>
      </c>
      <c r="P100" t="s">
        <v>31</v>
      </c>
      <c r="S100" t="s">
        <v>32</v>
      </c>
    </row>
    <row r="101" spans="1:19" x14ac:dyDescent="0.3">
      <c r="A101" t="s">
        <v>712</v>
      </c>
      <c r="B101" t="s">
        <v>713</v>
      </c>
      <c r="C101" t="s">
        <v>714</v>
      </c>
      <c r="D101" t="s">
        <v>715</v>
      </c>
      <c r="E101" t="s">
        <v>716</v>
      </c>
      <c r="F101" t="s">
        <v>24</v>
      </c>
      <c r="G101" t="s">
        <v>25</v>
      </c>
      <c r="H101" t="s">
        <v>708</v>
      </c>
      <c r="I101" t="s">
        <v>7</v>
      </c>
      <c r="J101" t="s">
        <v>709</v>
      </c>
      <c r="K101" t="s">
        <v>710</v>
      </c>
      <c r="L101" t="s">
        <v>83</v>
      </c>
      <c r="M101" s="2">
        <v>46057</v>
      </c>
      <c r="N101" t="s">
        <v>711</v>
      </c>
      <c r="O101" t="s">
        <v>30</v>
      </c>
      <c r="P101" t="s">
        <v>31</v>
      </c>
      <c r="S101" t="s">
        <v>32</v>
      </c>
    </row>
    <row r="102" spans="1:19" x14ac:dyDescent="0.3">
      <c r="A102" t="s">
        <v>717</v>
      </c>
      <c r="B102" t="s">
        <v>718</v>
      </c>
      <c r="C102" t="s">
        <v>719</v>
      </c>
      <c r="D102" t="s">
        <v>720</v>
      </c>
      <c r="E102" t="s">
        <v>721</v>
      </c>
      <c r="F102" t="s">
        <v>24</v>
      </c>
      <c r="G102" t="s">
        <v>25</v>
      </c>
      <c r="I102" t="s">
        <v>7</v>
      </c>
      <c r="K102" s="1">
        <v>45870</v>
      </c>
      <c r="L102" t="s">
        <v>40</v>
      </c>
      <c r="M102" s="2">
        <v>46057</v>
      </c>
      <c r="N102" t="s">
        <v>722</v>
      </c>
      <c r="O102" t="s">
        <v>30</v>
      </c>
      <c r="P102" t="s">
        <v>31</v>
      </c>
      <c r="S102" t="s">
        <v>32</v>
      </c>
    </row>
    <row r="103" spans="1:19" x14ac:dyDescent="0.3">
      <c r="A103" t="s">
        <v>723</v>
      </c>
      <c r="B103" t="s">
        <v>724</v>
      </c>
      <c r="C103" t="s">
        <v>725</v>
      </c>
      <c r="D103" t="s">
        <v>726</v>
      </c>
      <c r="E103" t="s">
        <v>727</v>
      </c>
      <c r="F103" t="s">
        <v>24</v>
      </c>
      <c r="G103" t="s">
        <v>25</v>
      </c>
      <c r="I103" t="s">
        <v>7</v>
      </c>
      <c r="K103" s="1">
        <v>45870</v>
      </c>
      <c r="L103" t="s">
        <v>40</v>
      </c>
      <c r="M103" s="2">
        <v>46057</v>
      </c>
      <c r="N103" t="s">
        <v>722</v>
      </c>
      <c r="O103" t="s">
        <v>30</v>
      </c>
      <c r="P103" t="s">
        <v>31</v>
      </c>
      <c r="S103" t="s">
        <v>32</v>
      </c>
    </row>
    <row r="104" spans="1:19" x14ac:dyDescent="0.3">
      <c r="A104" t="s">
        <v>728</v>
      </c>
      <c r="B104" t="s">
        <v>729</v>
      </c>
      <c r="C104" t="s">
        <v>730</v>
      </c>
      <c r="D104" t="s">
        <v>731</v>
      </c>
      <c r="E104" t="s">
        <v>732</v>
      </c>
      <c r="F104" t="s">
        <v>24</v>
      </c>
      <c r="G104" t="s">
        <v>25</v>
      </c>
      <c r="I104" t="s">
        <v>7</v>
      </c>
      <c r="K104" t="s">
        <v>140</v>
      </c>
      <c r="L104" t="s">
        <v>28</v>
      </c>
      <c r="M104" s="2">
        <v>46057</v>
      </c>
      <c r="N104" t="s">
        <v>733</v>
      </c>
      <c r="O104" t="s">
        <v>92</v>
      </c>
      <c r="P104" t="s">
        <v>31</v>
      </c>
      <c r="S104" t="s">
        <v>32</v>
      </c>
    </row>
    <row r="105" spans="1:19" x14ac:dyDescent="0.3">
      <c r="A105" t="s">
        <v>734</v>
      </c>
      <c r="B105" t="s">
        <v>735</v>
      </c>
      <c r="C105" t="s">
        <v>736</v>
      </c>
      <c r="D105" t="s">
        <v>737</v>
      </c>
      <c r="E105" t="s">
        <v>738</v>
      </c>
      <c r="F105" t="s">
        <v>24</v>
      </c>
      <c r="G105" t="s">
        <v>25</v>
      </c>
      <c r="I105" t="s">
        <v>7</v>
      </c>
      <c r="K105" t="s">
        <v>140</v>
      </c>
      <c r="L105" t="s">
        <v>28</v>
      </c>
      <c r="M105" s="2">
        <v>46057</v>
      </c>
      <c r="N105" t="s">
        <v>733</v>
      </c>
      <c r="O105" t="s">
        <v>92</v>
      </c>
      <c r="P105" t="s">
        <v>31</v>
      </c>
      <c r="S105" t="s">
        <v>32</v>
      </c>
    </row>
    <row r="106" spans="1:19" x14ac:dyDescent="0.3">
      <c r="A106" t="s">
        <v>739</v>
      </c>
      <c r="B106" t="s">
        <v>740</v>
      </c>
      <c r="C106" t="s">
        <v>741</v>
      </c>
      <c r="D106" t="s">
        <v>742</v>
      </c>
      <c r="E106" t="s">
        <v>743</v>
      </c>
      <c r="F106" t="s">
        <v>24</v>
      </c>
      <c r="G106" t="s">
        <v>25</v>
      </c>
      <c r="I106" t="s">
        <v>7</v>
      </c>
      <c r="K106" s="1">
        <v>45689</v>
      </c>
      <c r="L106" t="s">
        <v>28</v>
      </c>
      <c r="M106" s="2">
        <v>46057</v>
      </c>
      <c r="N106" t="s">
        <v>744</v>
      </c>
      <c r="O106" t="s">
        <v>148</v>
      </c>
      <c r="P106" t="s">
        <v>31</v>
      </c>
      <c r="S106" t="s">
        <v>32</v>
      </c>
    </row>
    <row r="107" spans="1:19" x14ac:dyDescent="0.3">
      <c r="A107" t="s">
        <v>745</v>
      </c>
      <c r="B107" t="s">
        <v>746</v>
      </c>
      <c r="C107" t="s">
        <v>747</v>
      </c>
      <c r="D107" t="s">
        <v>748</v>
      </c>
      <c r="E107" t="s">
        <v>749</v>
      </c>
      <c r="F107" t="s">
        <v>24</v>
      </c>
      <c r="G107" t="s">
        <v>25</v>
      </c>
      <c r="I107" t="s">
        <v>7</v>
      </c>
      <c r="K107" s="1">
        <v>45689</v>
      </c>
      <c r="L107" t="s">
        <v>28</v>
      </c>
      <c r="M107" s="2">
        <v>46057</v>
      </c>
      <c r="N107" t="s">
        <v>744</v>
      </c>
      <c r="O107" t="s">
        <v>148</v>
      </c>
      <c r="P107" t="s">
        <v>31</v>
      </c>
      <c r="S107" t="s">
        <v>32</v>
      </c>
    </row>
    <row r="108" spans="1:19" x14ac:dyDescent="0.3">
      <c r="A108" t="s">
        <v>750</v>
      </c>
      <c r="B108" t="s">
        <v>751</v>
      </c>
      <c r="C108" t="s">
        <v>752</v>
      </c>
      <c r="D108" t="s">
        <v>753</v>
      </c>
      <c r="E108" t="s">
        <v>754</v>
      </c>
      <c r="F108" t="s">
        <v>24</v>
      </c>
      <c r="G108" t="s">
        <v>25</v>
      </c>
      <c r="I108" t="s">
        <v>7</v>
      </c>
      <c r="K108" s="1">
        <v>29434</v>
      </c>
      <c r="L108" t="s">
        <v>28</v>
      </c>
      <c r="M108" s="2">
        <v>46057</v>
      </c>
      <c r="N108" t="s">
        <v>755</v>
      </c>
      <c r="O108" t="s">
        <v>756</v>
      </c>
      <c r="P108" t="s">
        <v>31</v>
      </c>
      <c r="S108" t="s">
        <v>32</v>
      </c>
    </row>
    <row r="109" spans="1:19" x14ac:dyDescent="0.3">
      <c r="A109" t="s">
        <v>757</v>
      </c>
      <c r="B109" t="s">
        <v>758</v>
      </c>
      <c r="C109" t="s">
        <v>759</v>
      </c>
      <c r="D109" t="s">
        <v>760</v>
      </c>
      <c r="E109" t="s">
        <v>761</v>
      </c>
      <c r="F109" t="s">
        <v>24</v>
      </c>
      <c r="G109" t="s">
        <v>25</v>
      </c>
      <c r="I109" t="s">
        <v>7</v>
      </c>
      <c r="K109" s="1">
        <v>29434</v>
      </c>
      <c r="L109" t="s">
        <v>28</v>
      </c>
      <c r="M109" s="2">
        <v>46057</v>
      </c>
      <c r="N109" t="s">
        <v>755</v>
      </c>
      <c r="O109" t="s">
        <v>756</v>
      </c>
      <c r="P109" t="s">
        <v>31</v>
      </c>
      <c r="S109" t="s">
        <v>32</v>
      </c>
    </row>
    <row r="110" spans="1:19" x14ac:dyDescent="0.3">
      <c r="A110" t="s">
        <v>762</v>
      </c>
      <c r="B110" t="s">
        <v>763</v>
      </c>
      <c r="C110" t="s">
        <v>764</v>
      </c>
      <c r="D110" t="s">
        <v>765</v>
      </c>
      <c r="E110" t="s">
        <v>766</v>
      </c>
      <c r="F110" t="s">
        <v>24</v>
      </c>
      <c r="G110" t="s">
        <v>25</v>
      </c>
      <c r="I110" t="s">
        <v>7</v>
      </c>
      <c r="K110" s="1">
        <v>46054</v>
      </c>
      <c r="L110" t="s">
        <v>40</v>
      </c>
      <c r="M110" s="2">
        <v>46057</v>
      </c>
      <c r="N110" t="s">
        <v>767</v>
      </c>
      <c r="O110" t="s">
        <v>30</v>
      </c>
      <c r="P110" t="s">
        <v>31</v>
      </c>
      <c r="S110" t="s">
        <v>32</v>
      </c>
    </row>
    <row r="111" spans="1:19" x14ac:dyDescent="0.3">
      <c r="A111" t="s">
        <v>768</v>
      </c>
      <c r="B111" t="s">
        <v>769</v>
      </c>
      <c r="C111" t="s">
        <v>770</v>
      </c>
      <c r="D111" t="s">
        <v>771</v>
      </c>
      <c r="E111" t="s">
        <v>772</v>
      </c>
      <c r="F111" t="s">
        <v>24</v>
      </c>
      <c r="G111" t="s">
        <v>25</v>
      </c>
      <c r="I111" t="s">
        <v>7</v>
      </c>
      <c r="K111" s="1">
        <v>46054</v>
      </c>
      <c r="L111" t="s">
        <v>40</v>
      </c>
      <c r="M111" s="2">
        <v>46057</v>
      </c>
      <c r="N111" t="s">
        <v>767</v>
      </c>
      <c r="O111" t="s">
        <v>30</v>
      </c>
      <c r="P111" t="s">
        <v>31</v>
      </c>
      <c r="S111" t="s">
        <v>32</v>
      </c>
    </row>
    <row r="112" spans="1:19" x14ac:dyDescent="0.3">
      <c r="A112" t="s">
        <v>773</v>
      </c>
      <c r="B112" t="s">
        <v>774</v>
      </c>
      <c r="C112" t="s">
        <v>775</v>
      </c>
      <c r="D112" t="s">
        <v>776</v>
      </c>
      <c r="E112" t="s">
        <v>777</v>
      </c>
      <c r="F112" t="s">
        <v>24</v>
      </c>
      <c r="G112" t="s">
        <v>25</v>
      </c>
      <c r="I112" t="s">
        <v>7</v>
      </c>
      <c r="K112" s="1">
        <v>46054</v>
      </c>
      <c r="L112" t="s">
        <v>40</v>
      </c>
      <c r="M112" s="2">
        <v>46057</v>
      </c>
      <c r="N112" t="s">
        <v>778</v>
      </c>
      <c r="O112" t="s">
        <v>30</v>
      </c>
      <c r="P112" t="s">
        <v>31</v>
      </c>
      <c r="S112" t="s">
        <v>32</v>
      </c>
    </row>
    <row r="113" spans="1:19" x14ac:dyDescent="0.3">
      <c r="A113" t="s">
        <v>779</v>
      </c>
      <c r="B113" t="s">
        <v>780</v>
      </c>
      <c r="C113" t="s">
        <v>781</v>
      </c>
      <c r="D113" t="s">
        <v>782</v>
      </c>
      <c r="E113" t="s">
        <v>783</v>
      </c>
      <c r="F113" t="s">
        <v>24</v>
      </c>
      <c r="G113" t="s">
        <v>25</v>
      </c>
      <c r="I113" t="s">
        <v>7</v>
      </c>
      <c r="K113" s="1">
        <v>46054</v>
      </c>
      <c r="L113" t="s">
        <v>40</v>
      </c>
      <c r="M113" s="2">
        <v>46057</v>
      </c>
      <c r="N113" t="s">
        <v>778</v>
      </c>
      <c r="O113" t="s">
        <v>30</v>
      </c>
      <c r="P113" t="s">
        <v>31</v>
      </c>
      <c r="S113" t="s">
        <v>32</v>
      </c>
    </row>
    <row r="114" spans="1:19" x14ac:dyDescent="0.3">
      <c r="A114" t="s">
        <v>784</v>
      </c>
      <c r="B114" t="s">
        <v>785</v>
      </c>
      <c r="C114" t="s">
        <v>786</v>
      </c>
      <c r="D114" t="s">
        <v>787</v>
      </c>
      <c r="E114" t="s">
        <v>788</v>
      </c>
      <c r="F114" t="s">
        <v>24</v>
      </c>
      <c r="G114" t="s">
        <v>25</v>
      </c>
      <c r="H114" t="s">
        <v>789</v>
      </c>
      <c r="I114" t="s">
        <v>7</v>
      </c>
      <c r="J114" t="s">
        <v>790</v>
      </c>
      <c r="K114" t="s">
        <v>791</v>
      </c>
      <c r="L114" t="s">
        <v>28</v>
      </c>
      <c r="M114" s="2">
        <v>46057</v>
      </c>
      <c r="N114" t="s">
        <v>792</v>
      </c>
      <c r="O114" t="s">
        <v>793</v>
      </c>
      <c r="P114" t="s">
        <v>31</v>
      </c>
      <c r="S114" t="s">
        <v>32</v>
      </c>
    </row>
    <row r="115" spans="1:19" x14ac:dyDescent="0.3">
      <c r="A115" t="s">
        <v>794</v>
      </c>
      <c r="B115" t="s">
        <v>795</v>
      </c>
      <c r="C115" t="s">
        <v>796</v>
      </c>
      <c r="D115" t="s">
        <v>797</v>
      </c>
      <c r="E115" t="s">
        <v>798</v>
      </c>
      <c r="F115" t="s">
        <v>24</v>
      </c>
      <c r="G115" t="s">
        <v>25</v>
      </c>
      <c r="H115" t="s">
        <v>789</v>
      </c>
      <c r="I115" t="s">
        <v>7</v>
      </c>
      <c r="J115" t="s">
        <v>790</v>
      </c>
      <c r="K115" t="s">
        <v>791</v>
      </c>
      <c r="L115" t="s">
        <v>28</v>
      </c>
      <c r="M115" s="2">
        <v>46057</v>
      </c>
      <c r="N115" t="s">
        <v>792</v>
      </c>
      <c r="O115" t="s">
        <v>793</v>
      </c>
      <c r="P115" t="s">
        <v>31</v>
      </c>
      <c r="S115" t="s">
        <v>32</v>
      </c>
    </row>
    <row r="116" spans="1:19" x14ac:dyDescent="0.3">
      <c r="A116" t="s">
        <v>799</v>
      </c>
      <c r="B116" t="s">
        <v>800</v>
      </c>
      <c r="C116" t="s">
        <v>801</v>
      </c>
      <c r="D116" t="s">
        <v>802</v>
      </c>
      <c r="E116" t="s">
        <v>803</v>
      </c>
      <c r="F116" t="s">
        <v>24</v>
      </c>
      <c r="G116" t="s">
        <v>25</v>
      </c>
      <c r="H116" t="s">
        <v>804</v>
      </c>
      <c r="I116" t="s">
        <v>7</v>
      </c>
      <c r="J116" t="s">
        <v>805</v>
      </c>
      <c r="K116" s="1">
        <v>45778</v>
      </c>
      <c r="L116" t="s">
        <v>40</v>
      </c>
      <c r="M116" s="2">
        <v>46057</v>
      </c>
      <c r="N116" t="s">
        <v>806</v>
      </c>
      <c r="O116" t="s">
        <v>30</v>
      </c>
      <c r="P116" t="s">
        <v>31</v>
      </c>
      <c r="S116" t="s">
        <v>32</v>
      </c>
    </row>
    <row r="117" spans="1:19" x14ac:dyDescent="0.3">
      <c r="A117" t="s">
        <v>807</v>
      </c>
      <c r="B117" t="s">
        <v>808</v>
      </c>
      <c r="C117" t="s">
        <v>809</v>
      </c>
      <c r="D117" t="s">
        <v>810</v>
      </c>
      <c r="E117" t="s">
        <v>811</v>
      </c>
      <c r="F117" t="s">
        <v>24</v>
      </c>
      <c r="G117" t="s">
        <v>25</v>
      </c>
      <c r="H117" t="s">
        <v>804</v>
      </c>
      <c r="I117" t="s">
        <v>7</v>
      </c>
      <c r="J117" t="s">
        <v>805</v>
      </c>
      <c r="K117" s="1">
        <v>45778</v>
      </c>
      <c r="L117" t="s">
        <v>40</v>
      </c>
      <c r="M117" s="2">
        <v>46057</v>
      </c>
      <c r="N117" t="s">
        <v>806</v>
      </c>
      <c r="O117" t="s">
        <v>30</v>
      </c>
      <c r="P117" t="s">
        <v>31</v>
      </c>
      <c r="S117" t="s">
        <v>32</v>
      </c>
    </row>
    <row r="118" spans="1:19" x14ac:dyDescent="0.3">
      <c r="A118" t="s">
        <v>812</v>
      </c>
      <c r="B118" t="s">
        <v>813</v>
      </c>
      <c r="C118" t="s">
        <v>814</v>
      </c>
      <c r="D118" t="s">
        <v>815</v>
      </c>
      <c r="E118" t="s">
        <v>816</v>
      </c>
      <c r="F118" t="s">
        <v>24</v>
      </c>
      <c r="G118" t="s">
        <v>25</v>
      </c>
      <c r="I118" t="s">
        <v>7</v>
      </c>
      <c r="K118" t="s">
        <v>817</v>
      </c>
      <c r="L118" t="s">
        <v>40</v>
      </c>
      <c r="M118" s="2">
        <v>46056</v>
      </c>
      <c r="N118" t="s">
        <v>818</v>
      </c>
      <c r="O118" t="s">
        <v>819</v>
      </c>
      <c r="P118" t="s">
        <v>31</v>
      </c>
      <c r="S118" t="s">
        <v>32</v>
      </c>
    </row>
    <row r="119" spans="1:19" x14ac:dyDescent="0.3">
      <c r="A119" t="s">
        <v>820</v>
      </c>
      <c r="B119" t="s">
        <v>821</v>
      </c>
      <c r="C119" t="s">
        <v>822</v>
      </c>
      <c r="D119" t="s">
        <v>823</v>
      </c>
      <c r="E119" t="s">
        <v>824</v>
      </c>
      <c r="F119" t="s">
        <v>24</v>
      </c>
      <c r="G119" t="s">
        <v>25</v>
      </c>
      <c r="I119" t="s">
        <v>7</v>
      </c>
      <c r="K119" t="s">
        <v>817</v>
      </c>
      <c r="L119" t="s">
        <v>40</v>
      </c>
      <c r="M119" s="2">
        <v>46056</v>
      </c>
      <c r="N119" t="s">
        <v>818</v>
      </c>
      <c r="O119" t="s">
        <v>819</v>
      </c>
      <c r="P119" t="s">
        <v>31</v>
      </c>
      <c r="S119" t="s">
        <v>32</v>
      </c>
    </row>
    <row r="120" spans="1:19" x14ac:dyDescent="0.3">
      <c r="A120" t="s">
        <v>825</v>
      </c>
      <c r="B120" t="s">
        <v>826</v>
      </c>
      <c r="C120" t="s">
        <v>827</v>
      </c>
      <c r="D120" t="s">
        <v>828</v>
      </c>
      <c r="E120" t="s">
        <v>829</v>
      </c>
      <c r="F120" t="s">
        <v>24</v>
      </c>
      <c r="G120" t="s">
        <v>25</v>
      </c>
      <c r="H120" t="s">
        <v>830</v>
      </c>
      <c r="I120" t="s">
        <v>7</v>
      </c>
      <c r="J120" t="s">
        <v>831</v>
      </c>
      <c r="K120" s="1">
        <v>45992</v>
      </c>
      <c r="L120" t="s">
        <v>40</v>
      </c>
      <c r="M120" s="2">
        <v>46056</v>
      </c>
      <c r="N120" t="s">
        <v>832</v>
      </c>
      <c r="O120" t="s">
        <v>148</v>
      </c>
      <c r="P120" t="s">
        <v>31</v>
      </c>
      <c r="S120" t="s">
        <v>32</v>
      </c>
    </row>
    <row r="121" spans="1:19" x14ac:dyDescent="0.3">
      <c r="A121" t="s">
        <v>833</v>
      </c>
      <c r="B121" t="s">
        <v>834</v>
      </c>
      <c r="C121" t="s">
        <v>835</v>
      </c>
      <c r="D121" t="s">
        <v>836</v>
      </c>
      <c r="E121" t="s">
        <v>837</v>
      </c>
      <c r="F121" t="s">
        <v>24</v>
      </c>
      <c r="G121" t="s">
        <v>25</v>
      </c>
      <c r="H121" t="s">
        <v>830</v>
      </c>
      <c r="I121" t="s">
        <v>7</v>
      </c>
      <c r="J121" t="s">
        <v>831</v>
      </c>
      <c r="K121" s="1">
        <v>45992</v>
      </c>
      <c r="L121" t="s">
        <v>40</v>
      </c>
      <c r="M121" s="2">
        <v>46056</v>
      </c>
      <c r="N121" t="s">
        <v>832</v>
      </c>
      <c r="O121" t="s">
        <v>148</v>
      </c>
      <c r="P121" t="s">
        <v>31</v>
      </c>
      <c r="S121" t="s">
        <v>32</v>
      </c>
    </row>
    <row r="122" spans="1:19" x14ac:dyDescent="0.3">
      <c r="A122" t="s">
        <v>838</v>
      </c>
      <c r="B122" t="s">
        <v>839</v>
      </c>
      <c r="C122" t="s">
        <v>840</v>
      </c>
      <c r="D122" t="s">
        <v>841</v>
      </c>
      <c r="E122" t="s">
        <v>842</v>
      </c>
      <c r="F122" t="s">
        <v>24</v>
      </c>
      <c r="G122" t="s">
        <v>25</v>
      </c>
      <c r="H122" t="s">
        <v>843</v>
      </c>
      <c r="I122" t="s">
        <v>7</v>
      </c>
      <c r="J122" t="s">
        <v>844</v>
      </c>
      <c r="K122" s="1">
        <v>45748</v>
      </c>
      <c r="L122" t="s">
        <v>40</v>
      </c>
      <c r="M122" s="2">
        <v>46056</v>
      </c>
      <c r="N122" t="s">
        <v>845</v>
      </c>
      <c r="O122" t="s">
        <v>846</v>
      </c>
      <c r="P122" t="s">
        <v>31</v>
      </c>
      <c r="S122" t="s">
        <v>32</v>
      </c>
    </row>
    <row r="123" spans="1:19" x14ac:dyDescent="0.3">
      <c r="A123" t="s">
        <v>847</v>
      </c>
      <c r="B123" t="s">
        <v>848</v>
      </c>
      <c r="C123" t="s">
        <v>849</v>
      </c>
      <c r="D123" t="s">
        <v>850</v>
      </c>
      <c r="E123" t="s">
        <v>851</v>
      </c>
      <c r="F123" t="s">
        <v>24</v>
      </c>
      <c r="G123" t="s">
        <v>25</v>
      </c>
      <c r="H123" t="s">
        <v>843</v>
      </c>
      <c r="I123" t="s">
        <v>7</v>
      </c>
      <c r="J123" t="s">
        <v>844</v>
      </c>
      <c r="K123" s="1">
        <v>45748</v>
      </c>
      <c r="L123" t="s">
        <v>40</v>
      </c>
      <c r="M123" s="2">
        <v>46056</v>
      </c>
      <c r="N123" t="s">
        <v>845</v>
      </c>
      <c r="O123" t="s">
        <v>846</v>
      </c>
      <c r="P123" t="s">
        <v>31</v>
      </c>
      <c r="S123" t="s">
        <v>32</v>
      </c>
    </row>
    <row r="124" spans="1:19" x14ac:dyDescent="0.3">
      <c r="A124" t="s">
        <v>852</v>
      </c>
      <c r="B124" t="s">
        <v>853</v>
      </c>
      <c r="C124" t="s">
        <v>854</v>
      </c>
      <c r="D124" t="s">
        <v>855</v>
      </c>
      <c r="E124" t="s">
        <v>856</v>
      </c>
      <c r="F124" t="s">
        <v>24</v>
      </c>
      <c r="G124" t="s">
        <v>25</v>
      </c>
      <c r="I124" t="s">
        <v>7</v>
      </c>
      <c r="K124" s="1">
        <v>45809</v>
      </c>
      <c r="L124" t="s">
        <v>83</v>
      </c>
      <c r="M124" s="2">
        <v>46056</v>
      </c>
      <c r="N124" t="s">
        <v>857</v>
      </c>
      <c r="O124" t="s">
        <v>619</v>
      </c>
      <c r="P124" t="s">
        <v>31</v>
      </c>
      <c r="S124" t="s">
        <v>32</v>
      </c>
    </row>
    <row r="125" spans="1:19" x14ac:dyDescent="0.3">
      <c r="A125" t="s">
        <v>858</v>
      </c>
      <c r="B125" t="s">
        <v>859</v>
      </c>
      <c r="C125" t="s">
        <v>860</v>
      </c>
      <c r="D125" t="s">
        <v>861</v>
      </c>
      <c r="E125" t="s">
        <v>862</v>
      </c>
      <c r="F125" t="s">
        <v>24</v>
      </c>
      <c r="G125" t="s">
        <v>25</v>
      </c>
      <c r="I125" t="s">
        <v>7</v>
      </c>
      <c r="K125" s="1">
        <v>45809</v>
      </c>
      <c r="L125" t="s">
        <v>83</v>
      </c>
      <c r="M125" s="2">
        <v>46056</v>
      </c>
      <c r="N125" t="s">
        <v>857</v>
      </c>
      <c r="O125" t="s">
        <v>619</v>
      </c>
      <c r="P125" t="s">
        <v>31</v>
      </c>
      <c r="S125" t="s">
        <v>32</v>
      </c>
    </row>
    <row r="126" spans="1:19" x14ac:dyDescent="0.3">
      <c r="A126" t="s">
        <v>863</v>
      </c>
      <c r="B126" t="s">
        <v>864</v>
      </c>
      <c r="C126" t="s">
        <v>865</v>
      </c>
      <c r="D126" t="s">
        <v>866</v>
      </c>
      <c r="E126" t="s">
        <v>867</v>
      </c>
      <c r="F126" t="s">
        <v>24</v>
      </c>
      <c r="G126" t="s">
        <v>25</v>
      </c>
      <c r="H126" t="s">
        <v>868</v>
      </c>
      <c r="I126" t="s">
        <v>7</v>
      </c>
      <c r="J126" t="s">
        <v>869</v>
      </c>
      <c r="K126" s="1">
        <v>45901</v>
      </c>
      <c r="L126" t="s">
        <v>40</v>
      </c>
      <c r="M126" s="2">
        <v>46056</v>
      </c>
      <c r="N126" t="s">
        <v>870</v>
      </c>
      <c r="O126" t="s">
        <v>75</v>
      </c>
      <c r="P126" t="s">
        <v>31</v>
      </c>
      <c r="S126" t="s">
        <v>32</v>
      </c>
    </row>
    <row r="127" spans="1:19" x14ac:dyDescent="0.3">
      <c r="A127" t="s">
        <v>871</v>
      </c>
      <c r="B127" t="s">
        <v>872</v>
      </c>
      <c r="C127" t="s">
        <v>873</v>
      </c>
      <c r="D127" t="s">
        <v>874</v>
      </c>
      <c r="E127" t="s">
        <v>875</v>
      </c>
      <c r="F127" t="s">
        <v>24</v>
      </c>
      <c r="G127" t="s">
        <v>25</v>
      </c>
      <c r="H127" t="s">
        <v>868</v>
      </c>
      <c r="I127" t="s">
        <v>7</v>
      </c>
      <c r="J127" t="s">
        <v>869</v>
      </c>
      <c r="K127" s="1">
        <v>45901</v>
      </c>
      <c r="L127" t="s">
        <v>40</v>
      </c>
      <c r="M127" s="2">
        <v>46056</v>
      </c>
      <c r="N127" t="s">
        <v>870</v>
      </c>
      <c r="O127" t="s">
        <v>75</v>
      </c>
      <c r="P127" t="s">
        <v>31</v>
      </c>
      <c r="S127" t="s">
        <v>32</v>
      </c>
    </row>
    <row r="128" spans="1:19" x14ac:dyDescent="0.3">
      <c r="A128" t="s">
        <v>876</v>
      </c>
      <c r="B128" t="s">
        <v>877</v>
      </c>
      <c r="C128" t="s">
        <v>878</v>
      </c>
      <c r="D128" t="s">
        <v>879</v>
      </c>
      <c r="E128" t="s">
        <v>880</v>
      </c>
      <c r="F128" t="s">
        <v>24</v>
      </c>
      <c r="G128" t="s">
        <v>25</v>
      </c>
      <c r="H128" t="s">
        <v>881</v>
      </c>
      <c r="I128" t="s">
        <v>7</v>
      </c>
      <c r="J128" t="s">
        <v>882</v>
      </c>
      <c r="K128" s="1">
        <v>45352</v>
      </c>
      <c r="L128" t="s">
        <v>40</v>
      </c>
      <c r="M128" s="2">
        <v>46056</v>
      </c>
      <c r="N128" t="s">
        <v>883</v>
      </c>
      <c r="O128" t="s">
        <v>148</v>
      </c>
      <c r="P128" t="s">
        <v>31</v>
      </c>
      <c r="S128" t="s">
        <v>32</v>
      </c>
    </row>
    <row r="129" spans="1:19" x14ac:dyDescent="0.3">
      <c r="A129" t="s">
        <v>884</v>
      </c>
      <c r="B129" t="s">
        <v>885</v>
      </c>
      <c r="C129" t="s">
        <v>886</v>
      </c>
      <c r="D129" t="s">
        <v>887</v>
      </c>
      <c r="E129" t="s">
        <v>888</v>
      </c>
      <c r="F129" t="s">
        <v>24</v>
      </c>
      <c r="G129" t="s">
        <v>25</v>
      </c>
      <c r="H129" t="s">
        <v>881</v>
      </c>
      <c r="I129" t="s">
        <v>7</v>
      </c>
      <c r="J129" t="s">
        <v>882</v>
      </c>
      <c r="K129" s="1">
        <v>45352</v>
      </c>
      <c r="L129" t="s">
        <v>40</v>
      </c>
      <c r="M129" s="2">
        <v>46056</v>
      </c>
      <c r="N129" t="s">
        <v>883</v>
      </c>
      <c r="O129" t="s">
        <v>148</v>
      </c>
      <c r="P129" t="s">
        <v>31</v>
      </c>
      <c r="S129" t="s">
        <v>32</v>
      </c>
    </row>
    <row r="130" spans="1:19" x14ac:dyDescent="0.3">
      <c r="A130" t="s">
        <v>889</v>
      </c>
      <c r="B130" t="s">
        <v>890</v>
      </c>
      <c r="C130" t="s">
        <v>891</v>
      </c>
      <c r="D130" t="s">
        <v>892</v>
      </c>
      <c r="E130" t="s">
        <v>893</v>
      </c>
      <c r="F130" t="s">
        <v>24</v>
      </c>
      <c r="G130" t="s">
        <v>25</v>
      </c>
      <c r="H130" t="s">
        <v>894</v>
      </c>
      <c r="I130" t="s">
        <v>7</v>
      </c>
      <c r="J130" t="s">
        <v>895</v>
      </c>
      <c r="K130" t="s">
        <v>896</v>
      </c>
      <c r="L130" t="s">
        <v>40</v>
      </c>
      <c r="M130" s="2">
        <v>46056</v>
      </c>
      <c r="N130" t="s">
        <v>897</v>
      </c>
      <c r="O130" t="s">
        <v>898</v>
      </c>
      <c r="P130" t="s">
        <v>31</v>
      </c>
      <c r="S130" t="s">
        <v>32</v>
      </c>
    </row>
    <row r="131" spans="1:19" x14ac:dyDescent="0.3">
      <c r="A131" t="s">
        <v>899</v>
      </c>
      <c r="B131" t="s">
        <v>900</v>
      </c>
      <c r="C131" t="s">
        <v>901</v>
      </c>
      <c r="D131" t="s">
        <v>902</v>
      </c>
      <c r="E131" t="s">
        <v>903</v>
      </c>
      <c r="F131" t="s">
        <v>24</v>
      </c>
      <c r="G131" t="s">
        <v>25</v>
      </c>
      <c r="H131" t="s">
        <v>894</v>
      </c>
      <c r="I131" t="s">
        <v>7</v>
      </c>
      <c r="J131" t="s">
        <v>895</v>
      </c>
      <c r="K131" t="s">
        <v>896</v>
      </c>
      <c r="L131" t="s">
        <v>40</v>
      </c>
      <c r="M131" s="2">
        <v>46056</v>
      </c>
      <c r="N131" t="s">
        <v>897</v>
      </c>
      <c r="O131" t="s">
        <v>898</v>
      </c>
      <c r="P131" t="s">
        <v>31</v>
      </c>
      <c r="S131" t="s">
        <v>32</v>
      </c>
    </row>
    <row r="132" spans="1:19" x14ac:dyDescent="0.3">
      <c r="A132" t="s">
        <v>904</v>
      </c>
      <c r="B132" t="s">
        <v>905</v>
      </c>
      <c r="C132" t="s">
        <v>906</v>
      </c>
      <c r="D132" t="s">
        <v>907</v>
      </c>
      <c r="E132" t="s">
        <v>908</v>
      </c>
      <c r="F132" t="s">
        <v>24</v>
      </c>
      <c r="G132" t="s">
        <v>25</v>
      </c>
      <c r="H132" t="e">
        <f>-- MiljÃ¶kontoret SÃ¶derkÃ¶pings</f>
        <v>#NAME?</v>
      </c>
      <c r="I132" t="s">
        <v>7</v>
      </c>
      <c r="J132" t="e">
        <f>-- MiljÃ¶kontoret SÃ¶derkÃ¶pings kommun</f>
        <v>#NAME?</v>
      </c>
      <c r="K132" s="1">
        <v>45292</v>
      </c>
      <c r="L132" t="s">
        <v>28</v>
      </c>
      <c r="M132" s="2">
        <v>46056</v>
      </c>
      <c r="N132" t="s">
        <v>909</v>
      </c>
      <c r="O132" t="s">
        <v>148</v>
      </c>
      <c r="P132" t="s">
        <v>31</v>
      </c>
      <c r="S132" t="s">
        <v>32</v>
      </c>
    </row>
    <row r="133" spans="1:19" x14ac:dyDescent="0.3">
      <c r="A133" t="s">
        <v>910</v>
      </c>
      <c r="B133" t="s">
        <v>911</v>
      </c>
      <c r="C133" t="s">
        <v>912</v>
      </c>
      <c r="D133" t="s">
        <v>913</v>
      </c>
      <c r="E133" t="s">
        <v>914</v>
      </c>
      <c r="F133" t="s">
        <v>24</v>
      </c>
      <c r="G133" t="s">
        <v>25</v>
      </c>
      <c r="H133" t="s">
        <v>915</v>
      </c>
      <c r="I133" t="s">
        <v>7</v>
      </c>
      <c r="J133" t="s">
        <v>916</v>
      </c>
      <c r="K133" t="s">
        <v>917</v>
      </c>
      <c r="L133" t="s">
        <v>28</v>
      </c>
      <c r="M133" s="2">
        <v>46056</v>
      </c>
      <c r="N133" t="s">
        <v>909</v>
      </c>
      <c r="O133" t="s">
        <v>148</v>
      </c>
      <c r="P133" t="s">
        <v>31</v>
      </c>
      <c r="S133" t="s">
        <v>32</v>
      </c>
    </row>
    <row r="134" spans="1:19" x14ac:dyDescent="0.3">
      <c r="A134" t="s">
        <v>918</v>
      </c>
      <c r="B134" t="s">
        <v>919</v>
      </c>
      <c r="C134" t="s">
        <v>920</v>
      </c>
      <c r="D134" t="s">
        <v>921</v>
      </c>
      <c r="E134" t="s">
        <v>922</v>
      </c>
      <c r="F134" t="s">
        <v>24</v>
      </c>
      <c r="G134" t="s">
        <v>25</v>
      </c>
      <c r="H134" t="s">
        <v>923</v>
      </c>
      <c r="I134" t="s">
        <v>7</v>
      </c>
      <c r="J134" t="s">
        <v>924</v>
      </c>
      <c r="K134" s="1">
        <v>46054</v>
      </c>
      <c r="L134" t="s">
        <v>40</v>
      </c>
      <c r="M134" s="2">
        <v>46056</v>
      </c>
      <c r="N134" t="s">
        <v>925</v>
      </c>
      <c r="O134" t="s">
        <v>30</v>
      </c>
      <c r="P134" t="s">
        <v>31</v>
      </c>
      <c r="S134" t="s">
        <v>32</v>
      </c>
    </row>
    <row r="135" spans="1:19" x14ac:dyDescent="0.3">
      <c r="A135" t="s">
        <v>926</v>
      </c>
      <c r="B135" t="s">
        <v>927</v>
      </c>
      <c r="C135" t="s">
        <v>928</v>
      </c>
      <c r="D135" t="s">
        <v>929</v>
      </c>
      <c r="E135" t="s">
        <v>930</v>
      </c>
      <c r="F135" t="s">
        <v>24</v>
      </c>
      <c r="G135" t="s">
        <v>25</v>
      </c>
      <c r="H135" t="s">
        <v>923</v>
      </c>
      <c r="I135" t="s">
        <v>7</v>
      </c>
      <c r="J135" t="s">
        <v>924</v>
      </c>
      <c r="K135" s="1">
        <v>46054</v>
      </c>
      <c r="L135" t="s">
        <v>40</v>
      </c>
      <c r="M135" s="2">
        <v>46056</v>
      </c>
      <c r="N135" t="s">
        <v>925</v>
      </c>
      <c r="O135" t="s">
        <v>30</v>
      </c>
      <c r="P135" t="s">
        <v>31</v>
      </c>
      <c r="S135" t="s">
        <v>32</v>
      </c>
    </row>
    <row r="136" spans="1:19" x14ac:dyDescent="0.3">
      <c r="A136" t="s">
        <v>931</v>
      </c>
      <c r="B136" t="s">
        <v>932</v>
      </c>
      <c r="C136" t="s">
        <v>933</v>
      </c>
      <c r="D136" t="s">
        <v>934</v>
      </c>
      <c r="E136" t="s">
        <v>935</v>
      </c>
      <c r="F136" t="s">
        <v>24</v>
      </c>
      <c r="G136" t="s">
        <v>25</v>
      </c>
      <c r="H136" t="s">
        <v>936</v>
      </c>
      <c r="I136" t="s">
        <v>7</v>
      </c>
      <c r="J136" t="s">
        <v>937</v>
      </c>
      <c r="K136" s="1">
        <v>46054</v>
      </c>
      <c r="L136" t="s">
        <v>40</v>
      </c>
      <c r="M136" s="2">
        <v>46056</v>
      </c>
      <c r="N136" t="s">
        <v>938</v>
      </c>
      <c r="O136" t="s">
        <v>939</v>
      </c>
      <c r="P136" t="s">
        <v>31</v>
      </c>
      <c r="S136" t="s">
        <v>32</v>
      </c>
    </row>
    <row r="137" spans="1:19" x14ac:dyDescent="0.3">
      <c r="A137" t="s">
        <v>940</v>
      </c>
      <c r="B137" t="s">
        <v>941</v>
      </c>
      <c r="C137" t="s">
        <v>942</v>
      </c>
      <c r="D137" t="s">
        <v>943</v>
      </c>
      <c r="E137" t="s">
        <v>944</v>
      </c>
      <c r="F137" t="s">
        <v>24</v>
      </c>
      <c r="G137" t="s">
        <v>25</v>
      </c>
      <c r="H137" t="s">
        <v>936</v>
      </c>
      <c r="I137" t="s">
        <v>7</v>
      </c>
      <c r="J137" t="s">
        <v>937</v>
      </c>
      <c r="K137" s="1">
        <v>46054</v>
      </c>
      <c r="L137" t="s">
        <v>40</v>
      </c>
      <c r="M137" s="2">
        <v>46056</v>
      </c>
      <c r="N137" t="s">
        <v>938</v>
      </c>
      <c r="O137" t="s">
        <v>939</v>
      </c>
      <c r="P137" t="s">
        <v>31</v>
      </c>
      <c r="S137" t="s">
        <v>32</v>
      </c>
    </row>
    <row r="138" spans="1:19" x14ac:dyDescent="0.3">
      <c r="A138" t="s">
        <v>945</v>
      </c>
      <c r="B138" t="s">
        <v>946</v>
      </c>
      <c r="C138" t="s">
        <v>947</v>
      </c>
      <c r="D138" t="s">
        <v>948</v>
      </c>
      <c r="E138" t="s">
        <v>949</v>
      </c>
      <c r="F138" t="s">
        <v>24</v>
      </c>
      <c r="G138" t="s">
        <v>25</v>
      </c>
      <c r="H138" t="s">
        <v>950</v>
      </c>
      <c r="I138" t="s">
        <v>7</v>
      </c>
      <c r="J138" t="s">
        <v>951</v>
      </c>
      <c r="K138" s="1">
        <v>45689</v>
      </c>
      <c r="L138" t="s">
        <v>83</v>
      </c>
      <c r="M138" s="2">
        <v>46056</v>
      </c>
      <c r="N138" t="s">
        <v>952</v>
      </c>
      <c r="O138" t="s">
        <v>953</v>
      </c>
      <c r="P138" t="s">
        <v>31</v>
      </c>
      <c r="S138" t="s">
        <v>32</v>
      </c>
    </row>
    <row r="139" spans="1:19" x14ac:dyDescent="0.3">
      <c r="A139" t="s">
        <v>954</v>
      </c>
      <c r="B139" t="s">
        <v>955</v>
      </c>
      <c r="C139" t="s">
        <v>956</v>
      </c>
      <c r="D139" t="s">
        <v>957</v>
      </c>
      <c r="E139" t="s">
        <v>958</v>
      </c>
      <c r="F139" t="s">
        <v>24</v>
      </c>
      <c r="G139" t="s">
        <v>25</v>
      </c>
      <c r="H139" t="s">
        <v>950</v>
      </c>
      <c r="I139" t="s">
        <v>7</v>
      </c>
      <c r="J139" t="s">
        <v>951</v>
      </c>
      <c r="K139" s="1">
        <v>45689</v>
      </c>
      <c r="L139" t="s">
        <v>83</v>
      </c>
      <c r="M139" s="2">
        <v>46056</v>
      </c>
      <c r="N139" t="s">
        <v>952</v>
      </c>
      <c r="O139" t="s">
        <v>953</v>
      </c>
      <c r="P139" t="s">
        <v>31</v>
      </c>
      <c r="S139" t="s">
        <v>32</v>
      </c>
    </row>
    <row r="140" spans="1:19" x14ac:dyDescent="0.3">
      <c r="A140" t="s">
        <v>959</v>
      </c>
      <c r="B140" t="s">
        <v>960</v>
      </c>
      <c r="C140" t="s">
        <v>961</v>
      </c>
      <c r="D140" t="s">
        <v>962</v>
      </c>
      <c r="E140" t="s">
        <v>963</v>
      </c>
      <c r="F140" t="s">
        <v>24</v>
      </c>
      <c r="G140" t="s">
        <v>25</v>
      </c>
      <c r="I140" t="s">
        <v>7</v>
      </c>
      <c r="K140" t="s">
        <v>964</v>
      </c>
      <c r="L140" t="s">
        <v>40</v>
      </c>
      <c r="M140" s="2">
        <v>46056</v>
      </c>
      <c r="N140" t="s">
        <v>965</v>
      </c>
      <c r="O140" t="s">
        <v>966</v>
      </c>
      <c r="P140" t="s">
        <v>31</v>
      </c>
      <c r="S140" t="s">
        <v>32</v>
      </c>
    </row>
    <row r="141" spans="1:19" x14ac:dyDescent="0.3">
      <c r="A141" t="s">
        <v>967</v>
      </c>
      <c r="B141" t="s">
        <v>968</v>
      </c>
      <c r="C141" t="s">
        <v>969</v>
      </c>
      <c r="D141" t="s">
        <v>970</v>
      </c>
      <c r="E141" t="s">
        <v>971</v>
      </c>
      <c r="F141" t="s">
        <v>24</v>
      </c>
      <c r="G141" t="s">
        <v>25</v>
      </c>
      <c r="I141" t="s">
        <v>7</v>
      </c>
      <c r="K141" t="s">
        <v>964</v>
      </c>
      <c r="L141" t="s">
        <v>40</v>
      </c>
      <c r="M141" s="2">
        <v>46056</v>
      </c>
      <c r="N141" t="s">
        <v>965</v>
      </c>
      <c r="O141" t="s">
        <v>966</v>
      </c>
      <c r="P141" t="s">
        <v>31</v>
      </c>
      <c r="S141" t="s">
        <v>32</v>
      </c>
    </row>
    <row r="142" spans="1:19" x14ac:dyDescent="0.3">
      <c r="A142" t="s">
        <v>972</v>
      </c>
      <c r="B142" t="s">
        <v>973</v>
      </c>
      <c r="C142" t="s">
        <v>974</v>
      </c>
      <c r="D142" t="s">
        <v>975</v>
      </c>
      <c r="E142" t="s">
        <v>976</v>
      </c>
      <c r="F142" t="s">
        <v>24</v>
      </c>
      <c r="G142" t="s">
        <v>25</v>
      </c>
      <c r="H142" t="s">
        <v>977</v>
      </c>
      <c r="I142" t="s">
        <v>7</v>
      </c>
      <c r="J142" t="s">
        <v>978</v>
      </c>
      <c r="K142" s="1">
        <v>46054</v>
      </c>
      <c r="L142" t="s">
        <v>40</v>
      </c>
      <c r="M142" s="2">
        <v>46056</v>
      </c>
      <c r="N142" t="s">
        <v>979</v>
      </c>
      <c r="O142" t="s">
        <v>980</v>
      </c>
      <c r="P142" t="s">
        <v>31</v>
      </c>
      <c r="S142" t="s">
        <v>32</v>
      </c>
    </row>
    <row r="143" spans="1:19" x14ac:dyDescent="0.3">
      <c r="A143" t="s">
        <v>981</v>
      </c>
      <c r="B143" t="s">
        <v>982</v>
      </c>
      <c r="C143" t="s">
        <v>983</v>
      </c>
      <c r="D143" t="s">
        <v>984</v>
      </c>
      <c r="E143" t="s">
        <v>985</v>
      </c>
      <c r="F143" t="s">
        <v>24</v>
      </c>
      <c r="G143" t="s">
        <v>25</v>
      </c>
      <c r="H143" t="s">
        <v>977</v>
      </c>
      <c r="I143" t="s">
        <v>7</v>
      </c>
      <c r="J143" t="s">
        <v>978</v>
      </c>
      <c r="K143" s="1">
        <v>46054</v>
      </c>
      <c r="L143" t="s">
        <v>40</v>
      </c>
      <c r="M143" s="2">
        <v>46056</v>
      </c>
      <c r="N143" t="s">
        <v>979</v>
      </c>
      <c r="O143" t="s">
        <v>980</v>
      </c>
      <c r="P143" t="s">
        <v>31</v>
      </c>
      <c r="S143" t="s">
        <v>32</v>
      </c>
    </row>
    <row r="144" spans="1:19" x14ac:dyDescent="0.3">
      <c r="A144" t="s">
        <v>986</v>
      </c>
      <c r="B144" t="s">
        <v>987</v>
      </c>
      <c r="C144" t="s">
        <v>988</v>
      </c>
      <c r="D144" t="s">
        <v>989</v>
      </c>
      <c r="E144" t="s">
        <v>990</v>
      </c>
      <c r="F144" t="s">
        <v>24</v>
      </c>
      <c r="G144" t="s">
        <v>25</v>
      </c>
      <c r="I144" t="s">
        <v>7</v>
      </c>
      <c r="K144" s="1">
        <v>46054</v>
      </c>
      <c r="L144" t="s">
        <v>40</v>
      </c>
      <c r="M144" s="2">
        <v>46056</v>
      </c>
      <c r="N144" t="s">
        <v>991</v>
      </c>
      <c r="O144" t="s">
        <v>939</v>
      </c>
      <c r="P144" t="s">
        <v>31</v>
      </c>
      <c r="S144" t="s">
        <v>32</v>
      </c>
    </row>
    <row r="145" spans="1:19" x14ac:dyDescent="0.3">
      <c r="A145" t="s">
        <v>992</v>
      </c>
      <c r="B145" t="s">
        <v>993</v>
      </c>
      <c r="C145" t="s">
        <v>994</v>
      </c>
      <c r="D145" t="s">
        <v>995</v>
      </c>
      <c r="E145" t="s">
        <v>996</v>
      </c>
      <c r="F145" t="s">
        <v>24</v>
      </c>
      <c r="G145" t="s">
        <v>25</v>
      </c>
      <c r="I145" t="s">
        <v>7</v>
      </c>
      <c r="K145" s="1">
        <v>46054</v>
      </c>
      <c r="L145" t="s">
        <v>40</v>
      </c>
      <c r="M145" s="2">
        <v>46056</v>
      </c>
      <c r="N145" t="s">
        <v>991</v>
      </c>
      <c r="O145" t="s">
        <v>939</v>
      </c>
      <c r="P145" t="s">
        <v>31</v>
      </c>
      <c r="S145" t="s">
        <v>32</v>
      </c>
    </row>
    <row r="146" spans="1:19" x14ac:dyDescent="0.3">
      <c r="A146" t="s">
        <v>997</v>
      </c>
      <c r="B146" t="s">
        <v>998</v>
      </c>
      <c r="C146" t="s">
        <v>999</v>
      </c>
      <c r="D146" t="s">
        <v>1000</v>
      </c>
      <c r="E146" t="s">
        <v>1001</v>
      </c>
      <c r="F146" t="s">
        <v>24</v>
      </c>
      <c r="G146" t="s">
        <v>25</v>
      </c>
      <c r="H146" t="s">
        <v>123</v>
      </c>
      <c r="I146" t="s">
        <v>7</v>
      </c>
      <c r="J146" t="s">
        <v>124</v>
      </c>
      <c r="K146" s="1">
        <v>45597</v>
      </c>
      <c r="L146" t="s">
        <v>40</v>
      </c>
      <c r="M146" s="2">
        <v>46056</v>
      </c>
      <c r="N146" t="s">
        <v>1002</v>
      </c>
      <c r="O146" t="s">
        <v>30</v>
      </c>
      <c r="P146" t="s">
        <v>31</v>
      </c>
      <c r="S146" t="s">
        <v>32</v>
      </c>
    </row>
    <row r="147" spans="1:19" x14ac:dyDescent="0.3">
      <c r="A147" t="s">
        <v>1003</v>
      </c>
      <c r="B147" t="s">
        <v>1004</v>
      </c>
      <c r="C147" t="s">
        <v>1005</v>
      </c>
      <c r="D147" t="s">
        <v>1006</v>
      </c>
      <c r="E147" t="s">
        <v>1007</v>
      </c>
      <c r="F147" t="s">
        <v>24</v>
      </c>
      <c r="G147" t="s">
        <v>25</v>
      </c>
      <c r="H147" t="s">
        <v>123</v>
      </c>
      <c r="I147" t="s">
        <v>7</v>
      </c>
      <c r="J147" t="s">
        <v>124</v>
      </c>
      <c r="K147" s="1">
        <v>45597</v>
      </c>
      <c r="L147" t="s">
        <v>40</v>
      </c>
      <c r="M147" s="2">
        <v>46056</v>
      </c>
      <c r="N147" t="s">
        <v>1002</v>
      </c>
      <c r="O147" t="s">
        <v>30</v>
      </c>
      <c r="P147" t="s">
        <v>31</v>
      </c>
      <c r="S147" t="s">
        <v>32</v>
      </c>
    </row>
    <row r="148" spans="1:19" x14ac:dyDescent="0.3">
      <c r="A148" t="s">
        <v>1008</v>
      </c>
      <c r="B148" t="s">
        <v>1009</v>
      </c>
      <c r="C148" t="s">
        <v>1010</v>
      </c>
      <c r="D148" t="s">
        <v>1011</v>
      </c>
      <c r="E148" t="s">
        <v>1012</v>
      </c>
      <c r="F148" t="s">
        <v>24</v>
      </c>
      <c r="G148" t="s">
        <v>25</v>
      </c>
      <c r="H148" t="s">
        <v>81</v>
      </c>
      <c r="I148" t="s">
        <v>7</v>
      </c>
      <c r="J148" t="s">
        <v>82</v>
      </c>
      <c r="K148" t="s">
        <v>1013</v>
      </c>
      <c r="L148" t="s">
        <v>28</v>
      </c>
      <c r="M148" s="2">
        <v>46056</v>
      </c>
      <c r="N148" t="s">
        <v>1014</v>
      </c>
      <c r="O148" t="s">
        <v>196</v>
      </c>
      <c r="P148" t="s">
        <v>31</v>
      </c>
      <c r="S148" t="s">
        <v>32</v>
      </c>
    </row>
    <row r="149" spans="1:19" x14ac:dyDescent="0.3">
      <c r="A149" t="s">
        <v>1015</v>
      </c>
      <c r="B149" t="s">
        <v>1016</v>
      </c>
      <c r="C149" t="s">
        <v>1017</v>
      </c>
      <c r="D149" t="s">
        <v>1018</v>
      </c>
      <c r="E149" t="s">
        <v>1019</v>
      </c>
      <c r="F149" t="s">
        <v>24</v>
      </c>
      <c r="G149" t="s">
        <v>25</v>
      </c>
      <c r="H149" t="s">
        <v>81</v>
      </c>
      <c r="I149" t="s">
        <v>7</v>
      </c>
      <c r="J149" t="s">
        <v>82</v>
      </c>
      <c r="K149" t="s">
        <v>1013</v>
      </c>
      <c r="L149" t="s">
        <v>28</v>
      </c>
      <c r="M149" s="2">
        <v>46056</v>
      </c>
      <c r="N149" t="s">
        <v>1014</v>
      </c>
      <c r="O149" t="s">
        <v>196</v>
      </c>
      <c r="P149" t="s">
        <v>31</v>
      </c>
      <c r="S149" t="s">
        <v>32</v>
      </c>
    </row>
    <row r="150" spans="1:19" x14ac:dyDescent="0.3">
      <c r="A150" t="s">
        <v>1020</v>
      </c>
      <c r="B150" t="s">
        <v>1021</v>
      </c>
      <c r="C150" t="s">
        <v>1022</v>
      </c>
      <c r="D150" t="s">
        <v>1023</v>
      </c>
      <c r="E150" t="s">
        <v>1024</v>
      </c>
      <c r="F150" t="s">
        <v>24</v>
      </c>
      <c r="G150" t="s">
        <v>25</v>
      </c>
      <c r="H150" t="s">
        <v>1025</v>
      </c>
      <c r="I150" t="s">
        <v>7</v>
      </c>
      <c r="J150" t="s">
        <v>1026</v>
      </c>
      <c r="K150" t="s">
        <v>1027</v>
      </c>
      <c r="L150" t="s">
        <v>40</v>
      </c>
      <c r="M150" s="2">
        <v>46056</v>
      </c>
      <c r="N150" t="s">
        <v>1028</v>
      </c>
      <c r="O150" t="s">
        <v>75</v>
      </c>
      <c r="P150" t="s">
        <v>31</v>
      </c>
      <c r="S150" t="s">
        <v>32</v>
      </c>
    </row>
    <row r="151" spans="1:19" x14ac:dyDescent="0.3">
      <c r="A151" t="s">
        <v>1029</v>
      </c>
      <c r="B151" t="s">
        <v>1030</v>
      </c>
      <c r="C151" t="s">
        <v>1031</v>
      </c>
      <c r="D151" t="s">
        <v>1032</v>
      </c>
      <c r="E151" t="s">
        <v>1033</v>
      </c>
      <c r="F151" t="s">
        <v>24</v>
      </c>
      <c r="G151" t="s">
        <v>25</v>
      </c>
      <c r="H151" t="s">
        <v>1025</v>
      </c>
      <c r="I151" t="s">
        <v>7</v>
      </c>
      <c r="J151" t="s">
        <v>1026</v>
      </c>
      <c r="K151" t="s">
        <v>1027</v>
      </c>
      <c r="L151" t="s">
        <v>40</v>
      </c>
      <c r="M151" s="2">
        <v>46056</v>
      </c>
      <c r="N151" t="s">
        <v>1028</v>
      </c>
      <c r="O151" t="s">
        <v>75</v>
      </c>
      <c r="P151" t="s">
        <v>31</v>
      </c>
      <c r="S151" t="s">
        <v>32</v>
      </c>
    </row>
    <row r="152" spans="1:19" x14ac:dyDescent="0.3">
      <c r="A152" t="s">
        <v>1034</v>
      </c>
      <c r="B152" t="s">
        <v>1035</v>
      </c>
      <c r="C152" t="s">
        <v>1036</v>
      </c>
      <c r="D152" t="s">
        <v>1037</v>
      </c>
      <c r="E152" t="s">
        <v>1038</v>
      </c>
      <c r="F152" t="s">
        <v>24</v>
      </c>
      <c r="G152" t="s">
        <v>25</v>
      </c>
      <c r="I152" t="s">
        <v>7</v>
      </c>
      <c r="K152" s="1">
        <v>46054</v>
      </c>
      <c r="L152" t="s">
        <v>40</v>
      </c>
      <c r="M152" s="2">
        <v>46056</v>
      </c>
      <c r="N152" t="s">
        <v>1039</v>
      </c>
      <c r="O152" t="s">
        <v>1040</v>
      </c>
      <c r="P152" t="s">
        <v>31</v>
      </c>
      <c r="S152" t="s">
        <v>32</v>
      </c>
    </row>
    <row r="153" spans="1:19" x14ac:dyDescent="0.3">
      <c r="A153" t="s">
        <v>1041</v>
      </c>
      <c r="B153" t="s">
        <v>1042</v>
      </c>
      <c r="C153" t="s">
        <v>1043</v>
      </c>
      <c r="D153" t="s">
        <v>1044</v>
      </c>
      <c r="E153" t="s">
        <v>1045</v>
      </c>
      <c r="F153" t="s">
        <v>24</v>
      </c>
      <c r="G153" t="s">
        <v>25</v>
      </c>
      <c r="I153" t="s">
        <v>7</v>
      </c>
      <c r="K153" s="1">
        <v>46054</v>
      </c>
      <c r="L153" t="s">
        <v>40</v>
      </c>
      <c r="M153" s="2">
        <v>46056</v>
      </c>
      <c r="N153" t="s">
        <v>1039</v>
      </c>
      <c r="O153" t="s">
        <v>1040</v>
      </c>
      <c r="P153" t="s">
        <v>31</v>
      </c>
      <c r="S153" t="s">
        <v>32</v>
      </c>
    </row>
    <row r="154" spans="1:19" x14ac:dyDescent="0.3">
      <c r="A154" t="s">
        <v>1046</v>
      </c>
      <c r="B154" t="s">
        <v>1047</v>
      </c>
      <c r="C154" t="s">
        <v>1048</v>
      </c>
      <c r="D154" t="s">
        <v>1049</v>
      </c>
      <c r="E154" t="s">
        <v>1050</v>
      </c>
      <c r="F154" t="s">
        <v>24</v>
      </c>
      <c r="G154" t="s">
        <v>25</v>
      </c>
      <c r="I154" t="s">
        <v>7</v>
      </c>
      <c r="K154" s="1">
        <v>45597</v>
      </c>
      <c r="L154" t="s">
        <v>40</v>
      </c>
      <c r="M154" s="2">
        <v>46056</v>
      </c>
      <c r="N154" t="s">
        <v>1051</v>
      </c>
      <c r="O154" t="s">
        <v>30</v>
      </c>
      <c r="P154" t="s">
        <v>31</v>
      </c>
      <c r="S154" t="s">
        <v>32</v>
      </c>
    </row>
    <row r="155" spans="1:19" x14ac:dyDescent="0.3">
      <c r="A155" t="s">
        <v>1052</v>
      </c>
      <c r="B155" t="s">
        <v>1053</v>
      </c>
      <c r="C155" t="s">
        <v>1054</v>
      </c>
      <c r="D155" t="s">
        <v>1055</v>
      </c>
      <c r="E155" t="s">
        <v>1056</v>
      </c>
      <c r="F155" t="s">
        <v>24</v>
      </c>
      <c r="G155" t="s">
        <v>25</v>
      </c>
      <c r="I155" t="s">
        <v>7</v>
      </c>
      <c r="K155" s="1">
        <v>45597</v>
      </c>
      <c r="L155" t="s">
        <v>40</v>
      </c>
      <c r="M155" s="2">
        <v>46056</v>
      </c>
      <c r="N155" t="s">
        <v>1051</v>
      </c>
      <c r="O155" t="s">
        <v>30</v>
      </c>
      <c r="P155" t="s">
        <v>31</v>
      </c>
      <c r="S155" t="s">
        <v>32</v>
      </c>
    </row>
    <row r="156" spans="1:19" x14ac:dyDescent="0.3">
      <c r="A156" t="s">
        <v>1057</v>
      </c>
      <c r="B156" t="s">
        <v>1058</v>
      </c>
      <c r="C156" t="s">
        <v>1059</v>
      </c>
      <c r="D156" t="s">
        <v>1060</v>
      </c>
      <c r="E156" t="s">
        <v>1061</v>
      </c>
      <c r="F156" t="s">
        <v>24</v>
      </c>
      <c r="G156" t="s">
        <v>25</v>
      </c>
      <c r="I156" t="s">
        <v>7</v>
      </c>
      <c r="L156" t="s">
        <v>40</v>
      </c>
      <c r="M156" s="2">
        <v>46056</v>
      </c>
      <c r="N156" t="s">
        <v>1062</v>
      </c>
      <c r="O156" t="s">
        <v>1063</v>
      </c>
      <c r="P156" t="s">
        <v>31</v>
      </c>
      <c r="S156" t="s">
        <v>32</v>
      </c>
    </row>
    <row r="157" spans="1:19" x14ac:dyDescent="0.3">
      <c r="A157" t="s">
        <v>1064</v>
      </c>
      <c r="B157" t="s">
        <v>1065</v>
      </c>
      <c r="C157" t="s">
        <v>1066</v>
      </c>
      <c r="D157" t="s">
        <v>1067</v>
      </c>
      <c r="E157" t="s">
        <v>1068</v>
      </c>
      <c r="F157" t="s">
        <v>24</v>
      </c>
      <c r="G157" t="s">
        <v>25</v>
      </c>
      <c r="I157" t="s">
        <v>7</v>
      </c>
      <c r="L157" t="s">
        <v>40</v>
      </c>
      <c r="M157" s="2">
        <v>46056</v>
      </c>
      <c r="N157" t="s">
        <v>1062</v>
      </c>
      <c r="O157" t="s">
        <v>1063</v>
      </c>
      <c r="P157" t="s">
        <v>31</v>
      </c>
      <c r="S157" t="s">
        <v>32</v>
      </c>
    </row>
    <row r="158" spans="1:19" x14ac:dyDescent="0.3">
      <c r="A158" t="s">
        <v>1069</v>
      </c>
      <c r="B158" t="s">
        <v>1070</v>
      </c>
      <c r="C158" t="s">
        <v>1071</v>
      </c>
      <c r="D158" t="s">
        <v>1072</v>
      </c>
      <c r="E158" t="s">
        <v>1073</v>
      </c>
      <c r="F158" t="s">
        <v>24</v>
      </c>
      <c r="G158" t="s">
        <v>25</v>
      </c>
      <c r="H158" t="s">
        <v>1074</v>
      </c>
      <c r="I158" t="s">
        <v>7</v>
      </c>
      <c r="J158" t="s">
        <v>1075</v>
      </c>
      <c r="K158" s="1">
        <v>45383</v>
      </c>
      <c r="L158" t="s">
        <v>40</v>
      </c>
      <c r="M158" s="2">
        <v>46056</v>
      </c>
      <c r="N158" t="s">
        <v>1076</v>
      </c>
      <c r="O158" t="s">
        <v>1077</v>
      </c>
      <c r="P158" t="s">
        <v>31</v>
      </c>
      <c r="S158" t="s">
        <v>32</v>
      </c>
    </row>
    <row r="159" spans="1:19" x14ac:dyDescent="0.3">
      <c r="A159" t="s">
        <v>1078</v>
      </c>
      <c r="B159" t="s">
        <v>1079</v>
      </c>
      <c r="C159" t="s">
        <v>1080</v>
      </c>
      <c r="D159" t="s">
        <v>1081</v>
      </c>
      <c r="E159" t="s">
        <v>1082</v>
      </c>
      <c r="F159" t="s">
        <v>24</v>
      </c>
      <c r="G159" t="s">
        <v>25</v>
      </c>
      <c r="H159" t="s">
        <v>1074</v>
      </c>
      <c r="I159" t="s">
        <v>7</v>
      </c>
      <c r="J159" t="s">
        <v>1075</v>
      </c>
      <c r="K159" s="1">
        <v>45383</v>
      </c>
      <c r="L159" t="s">
        <v>40</v>
      </c>
      <c r="M159" s="2">
        <v>46056</v>
      </c>
      <c r="N159" t="s">
        <v>1076</v>
      </c>
      <c r="O159" t="s">
        <v>1077</v>
      </c>
      <c r="P159" t="s">
        <v>31</v>
      </c>
      <c r="S159" t="s">
        <v>32</v>
      </c>
    </row>
    <row r="160" spans="1:19" x14ac:dyDescent="0.3">
      <c r="A160" t="s">
        <v>1083</v>
      </c>
      <c r="B160" t="s">
        <v>1084</v>
      </c>
      <c r="C160" t="s">
        <v>1085</v>
      </c>
      <c r="D160" t="s">
        <v>1086</v>
      </c>
      <c r="E160" t="s">
        <v>1087</v>
      </c>
      <c r="F160" t="s">
        <v>24</v>
      </c>
      <c r="G160" t="s">
        <v>25</v>
      </c>
      <c r="I160" t="s">
        <v>7</v>
      </c>
      <c r="K160" t="s">
        <v>1088</v>
      </c>
      <c r="L160" t="s">
        <v>40</v>
      </c>
      <c r="M160" s="2">
        <v>46056</v>
      </c>
      <c r="N160" t="s">
        <v>1089</v>
      </c>
      <c r="O160" t="s">
        <v>1090</v>
      </c>
      <c r="P160" t="s">
        <v>31</v>
      </c>
      <c r="S160" t="s">
        <v>32</v>
      </c>
    </row>
    <row r="161" spans="1:19" x14ac:dyDescent="0.3">
      <c r="A161" t="s">
        <v>1091</v>
      </c>
      <c r="B161" t="s">
        <v>1092</v>
      </c>
      <c r="C161" t="s">
        <v>1093</v>
      </c>
      <c r="D161" t="s">
        <v>1094</v>
      </c>
      <c r="E161" t="s">
        <v>1095</v>
      </c>
      <c r="F161" t="s">
        <v>24</v>
      </c>
      <c r="G161" t="s">
        <v>25</v>
      </c>
      <c r="I161" t="s">
        <v>7</v>
      </c>
      <c r="K161" t="s">
        <v>1088</v>
      </c>
      <c r="L161" t="s">
        <v>40</v>
      </c>
      <c r="M161" s="2">
        <v>46056</v>
      </c>
      <c r="N161" t="s">
        <v>1089</v>
      </c>
      <c r="O161" t="s">
        <v>1090</v>
      </c>
      <c r="P161" t="s">
        <v>31</v>
      </c>
      <c r="S161" t="s">
        <v>32</v>
      </c>
    </row>
    <row r="162" spans="1:19" x14ac:dyDescent="0.3">
      <c r="A162" t="s">
        <v>1096</v>
      </c>
      <c r="B162" t="s">
        <v>1097</v>
      </c>
      <c r="C162" t="s">
        <v>1098</v>
      </c>
      <c r="D162" t="s">
        <v>1099</v>
      </c>
      <c r="E162" t="s">
        <v>1100</v>
      </c>
      <c r="F162" t="s">
        <v>24</v>
      </c>
      <c r="G162" t="s">
        <v>25</v>
      </c>
      <c r="H162" t="s">
        <v>81</v>
      </c>
      <c r="I162" t="s">
        <v>7</v>
      </c>
      <c r="J162" t="s">
        <v>82</v>
      </c>
      <c r="K162" s="1">
        <v>45383</v>
      </c>
      <c r="L162" t="s">
        <v>28</v>
      </c>
      <c r="M162" s="2">
        <v>46056</v>
      </c>
      <c r="N162" t="s">
        <v>1101</v>
      </c>
      <c r="O162" t="s">
        <v>196</v>
      </c>
      <c r="P162" t="s">
        <v>31</v>
      </c>
      <c r="S162" t="s">
        <v>32</v>
      </c>
    </row>
    <row r="163" spans="1:19" x14ac:dyDescent="0.3">
      <c r="A163" t="s">
        <v>1102</v>
      </c>
      <c r="B163" t="s">
        <v>1103</v>
      </c>
      <c r="C163" t="s">
        <v>1104</v>
      </c>
      <c r="D163" t="s">
        <v>1105</v>
      </c>
      <c r="E163" t="s">
        <v>1106</v>
      </c>
      <c r="F163" t="s">
        <v>24</v>
      </c>
      <c r="G163" t="s">
        <v>25</v>
      </c>
      <c r="H163" t="s">
        <v>81</v>
      </c>
      <c r="I163" t="s">
        <v>7</v>
      </c>
      <c r="J163" t="s">
        <v>82</v>
      </c>
      <c r="K163" s="1">
        <v>45383</v>
      </c>
      <c r="L163" t="s">
        <v>28</v>
      </c>
      <c r="M163" s="2">
        <v>46056</v>
      </c>
      <c r="N163" t="s">
        <v>1101</v>
      </c>
      <c r="O163" t="s">
        <v>196</v>
      </c>
      <c r="P163" t="s">
        <v>31</v>
      </c>
      <c r="S163" t="s">
        <v>32</v>
      </c>
    </row>
    <row r="164" spans="1:19" x14ac:dyDescent="0.3">
      <c r="A164" t="s">
        <v>1107</v>
      </c>
      <c r="B164" t="s">
        <v>1108</v>
      </c>
      <c r="C164" t="s">
        <v>1109</v>
      </c>
      <c r="D164" t="s">
        <v>1110</v>
      </c>
      <c r="E164" t="s">
        <v>1111</v>
      </c>
      <c r="F164" t="s">
        <v>24</v>
      </c>
      <c r="G164" t="s">
        <v>25</v>
      </c>
      <c r="I164" t="s">
        <v>7</v>
      </c>
      <c r="K164" s="1">
        <v>45658</v>
      </c>
      <c r="L164" t="s">
        <v>40</v>
      </c>
      <c r="M164" s="2">
        <v>46056</v>
      </c>
      <c r="N164" t="s">
        <v>1112</v>
      </c>
      <c r="O164" t="s">
        <v>1113</v>
      </c>
      <c r="P164" t="s">
        <v>31</v>
      </c>
      <c r="S164" t="s">
        <v>32</v>
      </c>
    </row>
    <row r="165" spans="1:19" x14ac:dyDescent="0.3">
      <c r="A165" t="s">
        <v>1114</v>
      </c>
      <c r="B165" t="s">
        <v>1115</v>
      </c>
      <c r="C165" t="s">
        <v>1116</v>
      </c>
      <c r="D165" t="s">
        <v>1117</v>
      </c>
      <c r="E165" t="s">
        <v>1118</v>
      </c>
      <c r="F165" t="s">
        <v>24</v>
      </c>
      <c r="G165" t="s">
        <v>25</v>
      </c>
      <c r="I165" t="s">
        <v>7</v>
      </c>
      <c r="K165" s="1">
        <v>45658</v>
      </c>
      <c r="L165" t="s">
        <v>40</v>
      </c>
      <c r="M165" s="2">
        <v>46056</v>
      </c>
      <c r="N165" t="s">
        <v>1112</v>
      </c>
      <c r="O165" t="s">
        <v>1113</v>
      </c>
      <c r="P165" t="s">
        <v>31</v>
      </c>
      <c r="S165" t="s">
        <v>32</v>
      </c>
    </row>
    <row r="166" spans="1:19" x14ac:dyDescent="0.3">
      <c r="A166" t="s">
        <v>1119</v>
      </c>
      <c r="B166" t="s">
        <v>1120</v>
      </c>
      <c r="C166" t="s">
        <v>1121</v>
      </c>
      <c r="D166" t="s">
        <v>1122</v>
      </c>
      <c r="E166" t="s">
        <v>1123</v>
      </c>
      <c r="F166" t="s">
        <v>24</v>
      </c>
      <c r="G166" t="s">
        <v>25</v>
      </c>
      <c r="I166" t="s">
        <v>7</v>
      </c>
      <c r="K166" t="s">
        <v>1124</v>
      </c>
      <c r="L166" t="s">
        <v>40</v>
      </c>
      <c r="M166" s="2">
        <v>46056</v>
      </c>
      <c r="N166" t="s">
        <v>1125</v>
      </c>
      <c r="O166" t="s">
        <v>1126</v>
      </c>
      <c r="P166" t="s">
        <v>31</v>
      </c>
      <c r="S166" t="s">
        <v>32</v>
      </c>
    </row>
    <row r="167" spans="1:19" x14ac:dyDescent="0.3">
      <c r="A167" t="s">
        <v>1127</v>
      </c>
      <c r="B167" t="s">
        <v>1128</v>
      </c>
      <c r="C167" t="s">
        <v>1129</v>
      </c>
      <c r="D167" t="s">
        <v>1130</v>
      </c>
      <c r="E167" t="s">
        <v>1131</v>
      </c>
      <c r="F167" t="s">
        <v>24</v>
      </c>
      <c r="G167" t="s">
        <v>25</v>
      </c>
      <c r="I167" t="s">
        <v>7</v>
      </c>
      <c r="K167" t="s">
        <v>1124</v>
      </c>
      <c r="L167" t="s">
        <v>40</v>
      </c>
      <c r="M167" s="2">
        <v>46056</v>
      </c>
      <c r="N167" t="s">
        <v>1125</v>
      </c>
      <c r="O167" t="s">
        <v>1126</v>
      </c>
      <c r="P167" t="s">
        <v>31</v>
      </c>
      <c r="S167" t="s">
        <v>32</v>
      </c>
    </row>
    <row r="168" spans="1:19" x14ac:dyDescent="0.3">
      <c r="A168" t="s">
        <v>1132</v>
      </c>
      <c r="B168" t="s">
        <v>1133</v>
      </c>
      <c r="C168" t="s">
        <v>1134</v>
      </c>
      <c r="D168" t="s">
        <v>1135</v>
      </c>
      <c r="E168" t="s">
        <v>1136</v>
      </c>
      <c r="F168" t="s">
        <v>24</v>
      </c>
      <c r="G168" t="s">
        <v>25</v>
      </c>
      <c r="I168" t="s">
        <v>7</v>
      </c>
      <c r="K168" s="1">
        <v>45078</v>
      </c>
      <c r="L168" t="s">
        <v>28</v>
      </c>
      <c r="M168" s="2">
        <v>46056</v>
      </c>
      <c r="N168" t="s">
        <v>1137</v>
      </c>
      <c r="O168" t="s">
        <v>1138</v>
      </c>
      <c r="P168" t="s">
        <v>31</v>
      </c>
      <c r="S168" t="s">
        <v>32</v>
      </c>
    </row>
    <row r="169" spans="1:19" x14ac:dyDescent="0.3">
      <c r="A169" t="s">
        <v>1139</v>
      </c>
      <c r="B169" t="s">
        <v>1140</v>
      </c>
      <c r="C169" t="s">
        <v>1141</v>
      </c>
      <c r="D169" t="s">
        <v>1142</v>
      </c>
      <c r="E169" t="s">
        <v>1143</v>
      </c>
      <c r="F169" t="s">
        <v>24</v>
      </c>
      <c r="G169" t="s">
        <v>25</v>
      </c>
      <c r="I169" t="s">
        <v>7</v>
      </c>
      <c r="K169" s="1">
        <v>45078</v>
      </c>
      <c r="L169" t="s">
        <v>28</v>
      </c>
      <c r="M169" s="2">
        <v>46056</v>
      </c>
      <c r="N169" t="s">
        <v>1137</v>
      </c>
      <c r="O169" t="s">
        <v>1138</v>
      </c>
      <c r="P169" t="s">
        <v>31</v>
      </c>
      <c r="S169" t="s">
        <v>32</v>
      </c>
    </row>
    <row r="170" spans="1:19" x14ac:dyDescent="0.3">
      <c r="A170" t="s">
        <v>1144</v>
      </c>
      <c r="B170" t="s">
        <v>1145</v>
      </c>
      <c r="C170" t="s">
        <v>1146</v>
      </c>
      <c r="D170" t="s">
        <v>1147</v>
      </c>
      <c r="E170" t="s">
        <v>1148</v>
      </c>
      <c r="F170" t="s">
        <v>24</v>
      </c>
      <c r="G170" t="s">
        <v>25</v>
      </c>
      <c r="I170" t="s">
        <v>7</v>
      </c>
      <c r="K170" s="1">
        <v>45352</v>
      </c>
      <c r="L170" t="s">
        <v>40</v>
      </c>
      <c r="M170" s="2">
        <v>46056</v>
      </c>
      <c r="N170" t="s">
        <v>1149</v>
      </c>
      <c r="O170" t="s">
        <v>1150</v>
      </c>
      <c r="P170" t="s">
        <v>31</v>
      </c>
      <c r="S170" t="s">
        <v>32</v>
      </c>
    </row>
    <row r="171" spans="1:19" x14ac:dyDescent="0.3">
      <c r="A171" t="s">
        <v>1151</v>
      </c>
      <c r="B171" t="s">
        <v>1152</v>
      </c>
      <c r="C171" t="s">
        <v>1153</v>
      </c>
      <c r="D171" t="s">
        <v>1154</v>
      </c>
      <c r="E171" t="s">
        <v>1155</v>
      </c>
      <c r="F171" t="s">
        <v>24</v>
      </c>
      <c r="G171" t="s">
        <v>25</v>
      </c>
      <c r="I171" t="s">
        <v>7</v>
      </c>
      <c r="K171" s="1">
        <v>45352</v>
      </c>
      <c r="L171" t="s">
        <v>40</v>
      </c>
      <c r="M171" s="2">
        <v>46056</v>
      </c>
      <c r="N171" t="s">
        <v>1149</v>
      </c>
      <c r="O171" t="s">
        <v>1150</v>
      </c>
      <c r="P171" t="s">
        <v>31</v>
      </c>
      <c r="S171" t="s">
        <v>32</v>
      </c>
    </row>
    <row r="172" spans="1:19" x14ac:dyDescent="0.3">
      <c r="A172" t="s">
        <v>1156</v>
      </c>
      <c r="B172" t="s">
        <v>1157</v>
      </c>
      <c r="C172" t="s">
        <v>1158</v>
      </c>
      <c r="D172" t="s">
        <v>1159</v>
      </c>
      <c r="E172" t="s">
        <v>1160</v>
      </c>
      <c r="F172" t="s">
        <v>24</v>
      </c>
      <c r="G172" t="s">
        <v>25</v>
      </c>
      <c r="I172" t="s">
        <v>7</v>
      </c>
      <c r="K172" s="1">
        <v>45809</v>
      </c>
      <c r="L172" t="s">
        <v>28</v>
      </c>
      <c r="M172" s="2">
        <v>46056</v>
      </c>
      <c r="N172" t="s">
        <v>1161</v>
      </c>
      <c r="O172" t="s">
        <v>1162</v>
      </c>
      <c r="P172" t="s">
        <v>31</v>
      </c>
      <c r="S172" t="s">
        <v>32</v>
      </c>
    </row>
    <row r="173" spans="1:19" x14ac:dyDescent="0.3">
      <c r="A173" t="s">
        <v>1163</v>
      </c>
      <c r="B173" t="s">
        <v>1164</v>
      </c>
      <c r="C173" t="s">
        <v>1165</v>
      </c>
      <c r="D173" t="s">
        <v>1166</v>
      </c>
      <c r="E173" t="s">
        <v>1167</v>
      </c>
      <c r="F173" t="s">
        <v>24</v>
      </c>
      <c r="G173" t="s">
        <v>25</v>
      </c>
      <c r="I173" t="s">
        <v>7</v>
      </c>
      <c r="K173" s="1">
        <v>45809</v>
      </c>
      <c r="L173" t="s">
        <v>28</v>
      </c>
      <c r="M173" s="2">
        <v>46056</v>
      </c>
      <c r="N173" t="s">
        <v>1161</v>
      </c>
      <c r="O173" t="s">
        <v>1162</v>
      </c>
      <c r="P173" t="s">
        <v>31</v>
      </c>
      <c r="S173" t="s">
        <v>32</v>
      </c>
    </row>
    <row r="174" spans="1:19" x14ac:dyDescent="0.3">
      <c r="A174" t="s">
        <v>1168</v>
      </c>
      <c r="B174" t="s">
        <v>1169</v>
      </c>
      <c r="C174" t="s">
        <v>1170</v>
      </c>
      <c r="D174" t="s">
        <v>1171</v>
      </c>
      <c r="E174" t="s">
        <v>1172</v>
      </c>
      <c r="F174" t="s">
        <v>24</v>
      </c>
      <c r="G174" t="s">
        <v>25</v>
      </c>
      <c r="H174" t="s">
        <v>1173</v>
      </c>
      <c r="I174" t="s">
        <v>7</v>
      </c>
      <c r="J174" t="s">
        <v>1174</v>
      </c>
      <c r="K174" s="1">
        <v>45809</v>
      </c>
      <c r="L174" t="s">
        <v>40</v>
      </c>
      <c r="M174" s="2">
        <v>46056</v>
      </c>
      <c r="N174" t="s">
        <v>1175</v>
      </c>
      <c r="O174" t="s">
        <v>30</v>
      </c>
      <c r="P174" t="s">
        <v>31</v>
      </c>
      <c r="S174" t="s">
        <v>32</v>
      </c>
    </row>
    <row r="175" spans="1:19" x14ac:dyDescent="0.3">
      <c r="A175" t="s">
        <v>1176</v>
      </c>
      <c r="B175" t="s">
        <v>1177</v>
      </c>
      <c r="C175" t="s">
        <v>1178</v>
      </c>
      <c r="D175" t="s">
        <v>1179</v>
      </c>
      <c r="E175" t="s">
        <v>1180</v>
      </c>
      <c r="F175" t="s">
        <v>24</v>
      </c>
      <c r="G175" t="s">
        <v>25</v>
      </c>
      <c r="H175" t="s">
        <v>1173</v>
      </c>
      <c r="I175" t="s">
        <v>7</v>
      </c>
      <c r="J175" t="s">
        <v>1174</v>
      </c>
      <c r="K175" s="1">
        <v>45809</v>
      </c>
      <c r="L175" t="s">
        <v>40</v>
      </c>
      <c r="M175" s="2">
        <v>46056</v>
      </c>
      <c r="N175" t="s">
        <v>1175</v>
      </c>
      <c r="O175" t="s">
        <v>30</v>
      </c>
      <c r="P175" t="s">
        <v>31</v>
      </c>
      <c r="S175" t="s">
        <v>32</v>
      </c>
    </row>
    <row r="176" spans="1:19" x14ac:dyDescent="0.3">
      <c r="A176" t="s">
        <v>1181</v>
      </c>
      <c r="B176" t="s">
        <v>1182</v>
      </c>
      <c r="C176" t="s">
        <v>1183</v>
      </c>
      <c r="D176" t="s">
        <v>1184</v>
      </c>
      <c r="E176" t="s">
        <v>1185</v>
      </c>
      <c r="F176" t="s">
        <v>24</v>
      </c>
      <c r="G176" t="s">
        <v>25</v>
      </c>
      <c r="H176" t="s">
        <v>1186</v>
      </c>
      <c r="I176" t="s">
        <v>7</v>
      </c>
      <c r="J176" t="s">
        <v>1187</v>
      </c>
      <c r="K176" t="s">
        <v>1188</v>
      </c>
      <c r="L176" t="s">
        <v>40</v>
      </c>
      <c r="M176" s="2">
        <v>46056</v>
      </c>
      <c r="N176" t="s">
        <v>1189</v>
      </c>
      <c r="O176" t="s">
        <v>1190</v>
      </c>
      <c r="P176" t="s">
        <v>31</v>
      </c>
      <c r="S176" t="s">
        <v>32</v>
      </c>
    </row>
    <row r="177" spans="1:19" x14ac:dyDescent="0.3">
      <c r="A177" t="s">
        <v>1191</v>
      </c>
      <c r="B177" t="s">
        <v>1192</v>
      </c>
      <c r="C177" t="s">
        <v>1193</v>
      </c>
      <c r="D177" t="s">
        <v>1194</v>
      </c>
      <c r="E177" t="s">
        <v>1195</v>
      </c>
      <c r="F177" t="s">
        <v>24</v>
      </c>
      <c r="G177" t="s">
        <v>25</v>
      </c>
      <c r="H177" t="s">
        <v>1186</v>
      </c>
      <c r="I177" t="s">
        <v>7</v>
      </c>
      <c r="J177" t="s">
        <v>1187</v>
      </c>
      <c r="K177" t="s">
        <v>1188</v>
      </c>
      <c r="L177" t="s">
        <v>40</v>
      </c>
      <c r="M177" s="2">
        <v>46056</v>
      </c>
      <c r="N177" t="s">
        <v>1189</v>
      </c>
      <c r="O177" t="s">
        <v>1190</v>
      </c>
      <c r="P177" t="s">
        <v>31</v>
      </c>
      <c r="S177" t="s">
        <v>32</v>
      </c>
    </row>
    <row r="178" spans="1:19" x14ac:dyDescent="0.3">
      <c r="A178" t="s">
        <v>1196</v>
      </c>
      <c r="B178" t="s">
        <v>1197</v>
      </c>
      <c r="C178" t="s">
        <v>1198</v>
      </c>
      <c r="D178" t="s">
        <v>1199</v>
      </c>
      <c r="E178" t="s">
        <v>1200</v>
      </c>
      <c r="F178" t="s">
        <v>24</v>
      </c>
      <c r="G178" t="s">
        <v>25</v>
      </c>
      <c r="H178" t="s">
        <v>1201</v>
      </c>
      <c r="I178" t="s">
        <v>7</v>
      </c>
      <c r="J178" t="s">
        <v>1202</v>
      </c>
      <c r="K178" s="1">
        <v>46054</v>
      </c>
      <c r="L178" t="s">
        <v>40</v>
      </c>
      <c r="M178" s="2">
        <v>46056</v>
      </c>
      <c r="N178" t="s">
        <v>1203</v>
      </c>
      <c r="O178" t="s">
        <v>939</v>
      </c>
      <c r="P178" t="s">
        <v>31</v>
      </c>
      <c r="S178" t="s">
        <v>32</v>
      </c>
    </row>
    <row r="179" spans="1:19" x14ac:dyDescent="0.3">
      <c r="A179" t="s">
        <v>1204</v>
      </c>
      <c r="B179" t="s">
        <v>1205</v>
      </c>
      <c r="C179" t="s">
        <v>1206</v>
      </c>
      <c r="D179" t="s">
        <v>1207</v>
      </c>
      <c r="E179" t="s">
        <v>1208</v>
      </c>
      <c r="F179" t="s">
        <v>24</v>
      </c>
      <c r="G179" t="s">
        <v>25</v>
      </c>
      <c r="H179" t="s">
        <v>1201</v>
      </c>
      <c r="I179" t="s">
        <v>7</v>
      </c>
      <c r="J179" t="s">
        <v>1202</v>
      </c>
      <c r="K179" s="1">
        <v>46054</v>
      </c>
      <c r="L179" t="s">
        <v>40</v>
      </c>
      <c r="M179" s="2">
        <v>46056</v>
      </c>
      <c r="N179" t="s">
        <v>1203</v>
      </c>
      <c r="O179" t="s">
        <v>939</v>
      </c>
      <c r="P179" t="s">
        <v>31</v>
      </c>
      <c r="S179" t="s">
        <v>32</v>
      </c>
    </row>
    <row r="180" spans="1:19" x14ac:dyDescent="0.3">
      <c r="A180" t="s">
        <v>1209</v>
      </c>
      <c r="B180" t="s">
        <v>1210</v>
      </c>
      <c r="C180" t="s">
        <v>1211</v>
      </c>
      <c r="D180" t="s">
        <v>1212</v>
      </c>
      <c r="E180" t="s">
        <v>1213</v>
      </c>
      <c r="F180" t="s">
        <v>24</v>
      </c>
      <c r="G180" t="s">
        <v>25</v>
      </c>
      <c r="H180" t="s">
        <v>1201</v>
      </c>
      <c r="I180" t="s">
        <v>7</v>
      </c>
      <c r="J180" t="s">
        <v>1202</v>
      </c>
      <c r="K180" s="1">
        <v>46054</v>
      </c>
      <c r="L180" t="s">
        <v>40</v>
      </c>
      <c r="M180" s="2">
        <v>46056</v>
      </c>
      <c r="N180" t="s">
        <v>1214</v>
      </c>
      <c r="O180" t="s">
        <v>939</v>
      </c>
      <c r="P180" t="s">
        <v>31</v>
      </c>
      <c r="S180" t="s">
        <v>32</v>
      </c>
    </row>
    <row r="181" spans="1:19" x14ac:dyDescent="0.3">
      <c r="A181" t="s">
        <v>1215</v>
      </c>
      <c r="B181" t="s">
        <v>1216</v>
      </c>
      <c r="C181" t="s">
        <v>1217</v>
      </c>
      <c r="D181" t="s">
        <v>1218</v>
      </c>
      <c r="E181" t="s">
        <v>1219</v>
      </c>
      <c r="F181" t="s">
        <v>24</v>
      </c>
      <c r="G181" t="s">
        <v>25</v>
      </c>
      <c r="H181" t="s">
        <v>1201</v>
      </c>
      <c r="I181" t="s">
        <v>7</v>
      </c>
      <c r="J181" t="s">
        <v>1202</v>
      </c>
      <c r="K181" s="1">
        <v>46054</v>
      </c>
      <c r="L181" t="s">
        <v>40</v>
      </c>
      <c r="M181" s="2">
        <v>46056</v>
      </c>
      <c r="N181" t="s">
        <v>1214</v>
      </c>
      <c r="O181" t="s">
        <v>939</v>
      </c>
      <c r="P181" t="s">
        <v>31</v>
      </c>
      <c r="S181" t="s">
        <v>32</v>
      </c>
    </row>
    <row r="182" spans="1:19" x14ac:dyDescent="0.3">
      <c r="A182" t="s">
        <v>1220</v>
      </c>
      <c r="B182" t="s">
        <v>1221</v>
      </c>
      <c r="C182" t="s">
        <v>1222</v>
      </c>
      <c r="D182" t="s">
        <v>1223</v>
      </c>
      <c r="E182" t="s">
        <v>1224</v>
      </c>
      <c r="F182" t="s">
        <v>24</v>
      </c>
      <c r="G182" t="s">
        <v>25</v>
      </c>
      <c r="I182" t="s">
        <v>7</v>
      </c>
      <c r="K182" t="s">
        <v>1225</v>
      </c>
      <c r="L182" t="s">
        <v>28</v>
      </c>
      <c r="M182" s="2">
        <v>46056</v>
      </c>
      <c r="N182" t="s">
        <v>1226</v>
      </c>
      <c r="O182" t="s">
        <v>1190</v>
      </c>
      <c r="P182" t="s">
        <v>31</v>
      </c>
      <c r="S182" t="s">
        <v>32</v>
      </c>
    </row>
    <row r="183" spans="1:19" x14ac:dyDescent="0.3">
      <c r="A183" t="s">
        <v>1227</v>
      </c>
      <c r="B183" t="s">
        <v>1228</v>
      </c>
      <c r="C183" t="s">
        <v>1229</v>
      </c>
      <c r="D183" t="s">
        <v>1230</v>
      </c>
      <c r="E183" t="s">
        <v>1231</v>
      </c>
      <c r="F183" t="s">
        <v>24</v>
      </c>
      <c r="G183" t="s">
        <v>25</v>
      </c>
      <c r="I183" t="s">
        <v>7</v>
      </c>
      <c r="K183" t="s">
        <v>1225</v>
      </c>
      <c r="L183" t="s">
        <v>28</v>
      </c>
      <c r="M183" s="2">
        <v>46056</v>
      </c>
      <c r="N183" t="s">
        <v>1226</v>
      </c>
      <c r="O183" t="s">
        <v>1190</v>
      </c>
      <c r="P183" t="s">
        <v>31</v>
      </c>
      <c r="S183" t="s">
        <v>32</v>
      </c>
    </row>
    <row r="184" spans="1:19" x14ac:dyDescent="0.3">
      <c r="A184" t="s">
        <v>1232</v>
      </c>
      <c r="B184" t="s">
        <v>1233</v>
      </c>
      <c r="C184" t="s">
        <v>1234</v>
      </c>
      <c r="D184" t="s">
        <v>1235</v>
      </c>
      <c r="E184" t="s">
        <v>1236</v>
      </c>
      <c r="F184" t="s">
        <v>24</v>
      </c>
      <c r="G184" t="s">
        <v>25</v>
      </c>
      <c r="I184" t="s">
        <v>7</v>
      </c>
      <c r="K184" t="s">
        <v>328</v>
      </c>
      <c r="L184" t="s">
        <v>40</v>
      </c>
      <c r="M184" s="2">
        <v>46056</v>
      </c>
      <c r="N184" t="s">
        <v>329</v>
      </c>
      <c r="O184" t="s">
        <v>1237</v>
      </c>
      <c r="P184" t="s">
        <v>31</v>
      </c>
      <c r="S184" t="s">
        <v>32</v>
      </c>
    </row>
    <row r="185" spans="1:19" x14ac:dyDescent="0.3">
      <c r="A185" t="s">
        <v>1238</v>
      </c>
      <c r="B185" t="s">
        <v>1239</v>
      </c>
      <c r="C185" t="s">
        <v>1240</v>
      </c>
      <c r="D185" t="s">
        <v>1241</v>
      </c>
      <c r="E185" t="s">
        <v>1242</v>
      </c>
      <c r="F185" t="s">
        <v>24</v>
      </c>
      <c r="G185" t="s">
        <v>25</v>
      </c>
      <c r="I185" t="s">
        <v>7</v>
      </c>
      <c r="K185" t="s">
        <v>328</v>
      </c>
      <c r="L185" t="s">
        <v>40</v>
      </c>
      <c r="M185" s="2">
        <v>46056</v>
      </c>
      <c r="N185" t="s">
        <v>329</v>
      </c>
      <c r="O185" t="s">
        <v>1237</v>
      </c>
      <c r="P185" t="s">
        <v>31</v>
      </c>
      <c r="S185" t="s">
        <v>32</v>
      </c>
    </row>
    <row r="186" spans="1:19" x14ac:dyDescent="0.3">
      <c r="A186" t="s">
        <v>1243</v>
      </c>
      <c r="B186" t="s">
        <v>1244</v>
      </c>
      <c r="C186" t="s">
        <v>1245</v>
      </c>
      <c r="D186" t="s">
        <v>1246</v>
      </c>
      <c r="E186" t="s">
        <v>1247</v>
      </c>
      <c r="F186" t="s">
        <v>24</v>
      </c>
      <c r="G186" t="s">
        <v>25</v>
      </c>
      <c r="H186" t="s">
        <v>1248</v>
      </c>
      <c r="I186" t="s">
        <v>7</v>
      </c>
      <c r="J186" t="s">
        <v>1249</v>
      </c>
      <c r="K186" s="1">
        <v>45689</v>
      </c>
      <c r="L186" t="s">
        <v>40</v>
      </c>
      <c r="M186" s="2">
        <v>46056</v>
      </c>
      <c r="N186" t="s">
        <v>1250</v>
      </c>
      <c r="O186" t="s">
        <v>1251</v>
      </c>
      <c r="P186" t="s">
        <v>31</v>
      </c>
      <c r="S186" t="s">
        <v>32</v>
      </c>
    </row>
    <row r="187" spans="1:19" x14ac:dyDescent="0.3">
      <c r="A187" t="s">
        <v>1252</v>
      </c>
      <c r="B187" t="s">
        <v>1253</v>
      </c>
      <c r="C187" t="s">
        <v>1254</v>
      </c>
      <c r="D187" t="s">
        <v>1255</v>
      </c>
      <c r="E187" t="s">
        <v>1256</v>
      </c>
      <c r="F187" t="s">
        <v>24</v>
      </c>
      <c r="G187" t="s">
        <v>25</v>
      </c>
      <c r="H187" t="s">
        <v>1248</v>
      </c>
      <c r="I187" t="s">
        <v>7</v>
      </c>
      <c r="J187" t="s">
        <v>1249</v>
      </c>
      <c r="K187" s="1">
        <v>45689</v>
      </c>
      <c r="L187" t="s">
        <v>40</v>
      </c>
      <c r="M187" s="2">
        <v>46056</v>
      </c>
      <c r="N187" t="s">
        <v>1250</v>
      </c>
      <c r="O187" t="s">
        <v>1251</v>
      </c>
      <c r="P187" t="s">
        <v>31</v>
      </c>
      <c r="S187" t="s">
        <v>32</v>
      </c>
    </row>
    <row r="188" spans="1:19" x14ac:dyDescent="0.3">
      <c r="A188" t="s">
        <v>1257</v>
      </c>
      <c r="B188" t="s">
        <v>1258</v>
      </c>
      <c r="C188" t="s">
        <v>1259</v>
      </c>
      <c r="D188" t="s">
        <v>1260</v>
      </c>
      <c r="E188" t="s">
        <v>1261</v>
      </c>
      <c r="F188" t="s">
        <v>24</v>
      </c>
      <c r="G188" t="s">
        <v>25</v>
      </c>
      <c r="H188" t="s">
        <v>1262</v>
      </c>
      <c r="I188" t="s">
        <v>7</v>
      </c>
      <c r="J188" t="s">
        <v>1263</v>
      </c>
      <c r="K188" t="s">
        <v>1264</v>
      </c>
      <c r="L188" t="s">
        <v>40</v>
      </c>
      <c r="M188" s="2">
        <v>46056</v>
      </c>
      <c r="N188" t="s">
        <v>1265</v>
      </c>
      <c r="O188" t="s">
        <v>30</v>
      </c>
      <c r="P188" t="s">
        <v>31</v>
      </c>
      <c r="S188" t="s">
        <v>32</v>
      </c>
    </row>
    <row r="189" spans="1:19" x14ac:dyDescent="0.3">
      <c r="A189" t="s">
        <v>1266</v>
      </c>
      <c r="B189" t="s">
        <v>1267</v>
      </c>
      <c r="C189" t="s">
        <v>1268</v>
      </c>
      <c r="D189" t="s">
        <v>1269</v>
      </c>
      <c r="E189" t="s">
        <v>1270</v>
      </c>
      <c r="F189" t="s">
        <v>24</v>
      </c>
      <c r="G189" t="s">
        <v>25</v>
      </c>
      <c r="H189" t="s">
        <v>1262</v>
      </c>
      <c r="I189" t="s">
        <v>7</v>
      </c>
      <c r="J189" t="s">
        <v>1263</v>
      </c>
      <c r="K189" t="s">
        <v>1264</v>
      </c>
      <c r="L189" t="s">
        <v>40</v>
      </c>
      <c r="M189" s="2">
        <v>46056</v>
      </c>
      <c r="N189" t="s">
        <v>1265</v>
      </c>
      <c r="O189" t="s">
        <v>30</v>
      </c>
      <c r="P189" t="s">
        <v>31</v>
      </c>
      <c r="S189" t="s">
        <v>32</v>
      </c>
    </row>
    <row r="190" spans="1:19" x14ac:dyDescent="0.3">
      <c r="A190" t="s">
        <v>1271</v>
      </c>
      <c r="B190" t="s">
        <v>1272</v>
      </c>
      <c r="C190" t="s">
        <v>1273</v>
      </c>
      <c r="D190" t="s">
        <v>1274</v>
      </c>
      <c r="E190" t="s">
        <v>1275</v>
      </c>
      <c r="F190" t="s">
        <v>24</v>
      </c>
      <c r="G190" t="s">
        <v>25</v>
      </c>
      <c r="H190" t="s">
        <v>1276</v>
      </c>
      <c r="I190" t="s">
        <v>7</v>
      </c>
      <c r="J190" t="s">
        <v>1277</v>
      </c>
      <c r="K190" t="s">
        <v>1278</v>
      </c>
      <c r="L190" t="s">
        <v>28</v>
      </c>
      <c r="M190" s="2">
        <v>46056</v>
      </c>
      <c r="N190" t="s">
        <v>1279</v>
      </c>
      <c r="O190" t="s">
        <v>1280</v>
      </c>
      <c r="P190" t="s">
        <v>31</v>
      </c>
      <c r="S190" t="s">
        <v>32</v>
      </c>
    </row>
    <row r="191" spans="1:19" x14ac:dyDescent="0.3">
      <c r="A191" t="s">
        <v>1281</v>
      </c>
      <c r="B191" t="s">
        <v>1282</v>
      </c>
      <c r="C191" t="s">
        <v>1283</v>
      </c>
      <c r="D191" t="s">
        <v>1284</v>
      </c>
      <c r="E191" t="s">
        <v>1285</v>
      </c>
      <c r="F191" t="s">
        <v>24</v>
      </c>
      <c r="G191" t="s">
        <v>25</v>
      </c>
      <c r="H191" t="s">
        <v>1276</v>
      </c>
      <c r="I191" t="s">
        <v>7</v>
      </c>
      <c r="J191" t="s">
        <v>1277</v>
      </c>
      <c r="K191" t="s">
        <v>1278</v>
      </c>
      <c r="L191" t="s">
        <v>28</v>
      </c>
      <c r="M191" s="2">
        <v>46056</v>
      </c>
      <c r="N191" t="s">
        <v>1279</v>
      </c>
      <c r="O191" t="s">
        <v>1280</v>
      </c>
      <c r="P191" t="s">
        <v>31</v>
      </c>
      <c r="S191" t="s">
        <v>32</v>
      </c>
    </row>
    <row r="192" spans="1:19" x14ac:dyDescent="0.3">
      <c r="A192" t="s">
        <v>1286</v>
      </c>
      <c r="B192" t="s">
        <v>1287</v>
      </c>
      <c r="C192" t="s">
        <v>1288</v>
      </c>
      <c r="D192" t="s">
        <v>1289</v>
      </c>
      <c r="E192" t="s">
        <v>1290</v>
      </c>
      <c r="F192" t="s">
        <v>24</v>
      </c>
      <c r="G192" t="s">
        <v>25</v>
      </c>
      <c r="I192" t="s">
        <v>7</v>
      </c>
      <c r="K192" s="1">
        <v>45689</v>
      </c>
      <c r="L192" t="s">
        <v>578</v>
      </c>
      <c r="M192" s="2">
        <v>46056</v>
      </c>
      <c r="N192" t="s">
        <v>1291</v>
      </c>
      <c r="O192" t="s">
        <v>30</v>
      </c>
      <c r="P192" t="s">
        <v>31</v>
      </c>
      <c r="S192" t="s">
        <v>32</v>
      </c>
    </row>
    <row r="193" spans="1:19" x14ac:dyDescent="0.3">
      <c r="A193" t="s">
        <v>1292</v>
      </c>
      <c r="B193" t="s">
        <v>1293</v>
      </c>
      <c r="C193" t="s">
        <v>1294</v>
      </c>
      <c r="D193" t="s">
        <v>1295</v>
      </c>
      <c r="E193" t="s">
        <v>1296</v>
      </c>
      <c r="F193" t="s">
        <v>24</v>
      </c>
      <c r="G193" t="s">
        <v>25</v>
      </c>
      <c r="I193" t="s">
        <v>7</v>
      </c>
      <c r="K193" s="1">
        <v>45689</v>
      </c>
      <c r="L193" t="s">
        <v>578</v>
      </c>
      <c r="M193" s="2">
        <v>46056</v>
      </c>
      <c r="N193" t="s">
        <v>1291</v>
      </c>
      <c r="O193" t="s">
        <v>30</v>
      </c>
      <c r="P193" t="s">
        <v>31</v>
      </c>
      <c r="S193" t="s">
        <v>32</v>
      </c>
    </row>
    <row r="194" spans="1:19" x14ac:dyDescent="0.3">
      <c r="A194" t="s">
        <v>1297</v>
      </c>
      <c r="B194" t="s">
        <v>1298</v>
      </c>
      <c r="C194" t="s">
        <v>1299</v>
      </c>
      <c r="D194" t="s">
        <v>1300</v>
      </c>
      <c r="E194" t="s">
        <v>1301</v>
      </c>
      <c r="F194" t="s">
        <v>24</v>
      </c>
      <c r="G194" t="s">
        <v>25</v>
      </c>
      <c r="H194" t="s">
        <v>1302</v>
      </c>
      <c r="I194" t="s">
        <v>7</v>
      </c>
      <c r="J194" t="s">
        <v>1303</v>
      </c>
      <c r="K194" s="1">
        <v>46054</v>
      </c>
      <c r="L194" t="s">
        <v>40</v>
      </c>
      <c r="M194" s="2">
        <v>46056</v>
      </c>
      <c r="N194" t="s">
        <v>1304</v>
      </c>
      <c r="O194" t="s">
        <v>30</v>
      </c>
      <c r="P194" t="s">
        <v>31</v>
      </c>
      <c r="S194" t="s">
        <v>32</v>
      </c>
    </row>
    <row r="195" spans="1:19" x14ac:dyDescent="0.3">
      <c r="A195" t="s">
        <v>1305</v>
      </c>
      <c r="B195" t="s">
        <v>1306</v>
      </c>
      <c r="C195" t="s">
        <v>1307</v>
      </c>
      <c r="D195" t="s">
        <v>1308</v>
      </c>
      <c r="E195" t="s">
        <v>1309</v>
      </c>
      <c r="F195" t="s">
        <v>24</v>
      </c>
      <c r="G195" t="s">
        <v>25</v>
      </c>
      <c r="H195" t="s">
        <v>1302</v>
      </c>
      <c r="I195" t="s">
        <v>7</v>
      </c>
      <c r="J195" t="s">
        <v>1303</v>
      </c>
      <c r="K195" s="1">
        <v>46054</v>
      </c>
      <c r="L195" t="s">
        <v>40</v>
      </c>
      <c r="M195" s="2">
        <v>46056</v>
      </c>
      <c r="N195" t="s">
        <v>1304</v>
      </c>
      <c r="O195" t="s">
        <v>30</v>
      </c>
      <c r="P195" t="s">
        <v>31</v>
      </c>
      <c r="S195" t="s">
        <v>32</v>
      </c>
    </row>
    <row r="196" spans="1:19" x14ac:dyDescent="0.3">
      <c r="A196" t="s">
        <v>1310</v>
      </c>
      <c r="B196" t="s">
        <v>1311</v>
      </c>
      <c r="C196" t="s">
        <v>1312</v>
      </c>
      <c r="D196" t="s">
        <v>1313</v>
      </c>
      <c r="E196" t="s">
        <v>1314</v>
      </c>
      <c r="F196" t="s">
        <v>24</v>
      </c>
      <c r="G196" t="s">
        <v>25</v>
      </c>
      <c r="H196" t="s">
        <v>1315</v>
      </c>
      <c r="I196" t="s">
        <v>7</v>
      </c>
      <c r="J196" t="s">
        <v>1316</v>
      </c>
      <c r="K196" t="s">
        <v>1317</v>
      </c>
      <c r="L196" t="s">
        <v>40</v>
      </c>
      <c r="M196" s="2">
        <v>46056</v>
      </c>
      <c r="N196" t="s">
        <v>1318</v>
      </c>
      <c r="O196" t="s">
        <v>619</v>
      </c>
      <c r="P196" t="s">
        <v>31</v>
      </c>
      <c r="S196" t="s">
        <v>32</v>
      </c>
    </row>
    <row r="197" spans="1:19" x14ac:dyDescent="0.3">
      <c r="A197" t="s">
        <v>1319</v>
      </c>
      <c r="B197" t="s">
        <v>1320</v>
      </c>
      <c r="C197" t="s">
        <v>1321</v>
      </c>
      <c r="D197" t="s">
        <v>1322</v>
      </c>
      <c r="E197" t="s">
        <v>1323</v>
      </c>
      <c r="F197" t="s">
        <v>24</v>
      </c>
      <c r="G197" t="s">
        <v>25</v>
      </c>
      <c r="H197" t="s">
        <v>1315</v>
      </c>
      <c r="I197" t="s">
        <v>7</v>
      </c>
      <c r="J197" t="s">
        <v>1316</v>
      </c>
      <c r="K197" t="s">
        <v>1317</v>
      </c>
      <c r="L197" t="s">
        <v>40</v>
      </c>
      <c r="M197" s="2">
        <v>46056</v>
      </c>
      <c r="N197" t="s">
        <v>1318</v>
      </c>
      <c r="O197" t="s">
        <v>619</v>
      </c>
      <c r="P197" t="s">
        <v>31</v>
      </c>
      <c r="S197" t="s">
        <v>32</v>
      </c>
    </row>
    <row r="198" spans="1:19" x14ac:dyDescent="0.3">
      <c r="A198" t="s">
        <v>1324</v>
      </c>
      <c r="B198" t="s">
        <v>1325</v>
      </c>
      <c r="C198" t="s">
        <v>1326</v>
      </c>
      <c r="D198" t="s">
        <v>1327</v>
      </c>
      <c r="E198" t="s">
        <v>1328</v>
      </c>
      <c r="F198" t="s">
        <v>24</v>
      </c>
      <c r="G198" t="s">
        <v>25</v>
      </c>
      <c r="H198" t="s">
        <v>950</v>
      </c>
      <c r="I198" t="s">
        <v>7</v>
      </c>
      <c r="J198" t="s">
        <v>951</v>
      </c>
      <c r="K198" s="1">
        <v>45931</v>
      </c>
      <c r="L198" t="s">
        <v>83</v>
      </c>
      <c r="M198" s="2">
        <v>46056</v>
      </c>
      <c r="N198" t="s">
        <v>1329</v>
      </c>
      <c r="O198" t="s">
        <v>953</v>
      </c>
      <c r="P198" t="s">
        <v>31</v>
      </c>
      <c r="S198" t="s">
        <v>32</v>
      </c>
    </row>
    <row r="199" spans="1:19" x14ac:dyDescent="0.3">
      <c r="A199" t="s">
        <v>1330</v>
      </c>
      <c r="B199" t="s">
        <v>1331</v>
      </c>
      <c r="C199" t="s">
        <v>1332</v>
      </c>
      <c r="D199" t="s">
        <v>1333</v>
      </c>
      <c r="E199" t="s">
        <v>1334</v>
      </c>
      <c r="F199" t="s">
        <v>24</v>
      </c>
      <c r="G199" t="s">
        <v>25</v>
      </c>
      <c r="H199" t="s">
        <v>950</v>
      </c>
      <c r="I199" t="s">
        <v>7</v>
      </c>
      <c r="J199" t="s">
        <v>951</v>
      </c>
      <c r="K199" s="1">
        <v>45931</v>
      </c>
      <c r="L199" t="s">
        <v>83</v>
      </c>
      <c r="M199" s="2">
        <v>46056</v>
      </c>
      <c r="N199" t="s">
        <v>1329</v>
      </c>
      <c r="O199" t="s">
        <v>953</v>
      </c>
      <c r="P199" t="s">
        <v>31</v>
      </c>
      <c r="S199" t="s">
        <v>32</v>
      </c>
    </row>
    <row r="200" spans="1:19" x14ac:dyDescent="0.3">
      <c r="A200" t="s">
        <v>1335</v>
      </c>
      <c r="B200" t="s">
        <v>1336</v>
      </c>
      <c r="C200" t="s">
        <v>1337</v>
      </c>
      <c r="D200" t="s">
        <v>1338</v>
      </c>
      <c r="E200" t="s">
        <v>1339</v>
      </c>
      <c r="F200" t="s">
        <v>24</v>
      </c>
      <c r="G200" t="s">
        <v>25</v>
      </c>
      <c r="H200" t="s">
        <v>1340</v>
      </c>
      <c r="I200" t="s">
        <v>7</v>
      </c>
      <c r="J200" t="s">
        <v>1341</v>
      </c>
      <c r="K200" s="1">
        <v>45658</v>
      </c>
      <c r="L200" t="s">
        <v>40</v>
      </c>
      <c r="M200" s="2">
        <v>46056</v>
      </c>
      <c r="N200" t="s">
        <v>1342</v>
      </c>
      <c r="O200" t="s">
        <v>148</v>
      </c>
      <c r="P200" t="s">
        <v>31</v>
      </c>
      <c r="S200" t="s">
        <v>32</v>
      </c>
    </row>
    <row r="201" spans="1:19" x14ac:dyDescent="0.3">
      <c r="A201" t="s">
        <v>1343</v>
      </c>
      <c r="B201" t="s">
        <v>1344</v>
      </c>
      <c r="C201" t="s">
        <v>1345</v>
      </c>
      <c r="D201" t="s">
        <v>1346</v>
      </c>
      <c r="E201" t="s">
        <v>1347</v>
      </c>
      <c r="F201" t="s">
        <v>24</v>
      </c>
      <c r="G201" t="s">
        <v>25</v>
      </c>
      <c r="H201" t="s">
        <v>950</v>
      </c>
      <c r="I201" t="s">
        <v>7</v>
      </c>
      <c r="J201" t="s">
        <v>951</v>
      </c>
      <c r="K201" s="1">
        <v>45992</v>
      </c>
      <c r="L201" t="s">
        <v>83</v>
      </c>
      <c r="M201" s="2">
        <v>46056</v>
      </c>
      <c r="N201" t="s">
        <v>1348</v>
      </c>
      <c r="O201" t="s">
        <v>229</v>
      </c>
      <c r="P201" t="s">
        <v>31</v>
      </c>
      <c r="S201" t="s">
        <v>32</v>
      </c>
    </row>
    <row r="202" spans="1:19" x14ac:dyDescent="0.3">
      <c r="A202" t="s">
        <v>1349</v>
      </c>
      <c r="B202" t="s">
        <v>1350</v>
      </c>
      <c r="C202" t="s">
        <v>1351</v>
      </c>
      <c r="D202" t="s">
        <v>1352</v>
      </c>
      <c r="E202" t="s">
        <v>1353</v>
      </c>
      <c r="F202" t="s">
        <v>24</v>
      </c>
      <c r="G202" t="s">
        <v>25</v>
      </c>
      <c r="H202" t="s">
        <v>950</v>
      </c>
      <c r="I202" t="s">
        <v>7</v>
      </c>
      <c r="J202" t="s">
        <v>951</v>
      </c>
      <c r="K202" s="1">
        <v>45992</v>
      </c>
      <c r="L202" t="s">
        <v>83</v>
      </c>
      <c r="M202" s="2">
        <v>46056</v>
      </c>
      <c r="N202" t="s">
        <v>1348</v>
      </c>
      <c r="O202" t="s">
        <v>229</v>
      </c>
      <c r="P202" t="s">
        <v>31</v>
      </c>
      <c r="S202" t="s">
        <v>32</v>
      </c>
    </row>
    <row r="203" spans="1:19" x14ac:dyDescent="0.3">
      <c r="A203" t="s">
        <v>1354</v>
      </c>
      <c r="B203" t="s">
        <v>1355</v>
      </c>
      <c r="C203" t="s">
        <v>1356</v>
      </c>
      <c r="D203" t="s">
        <v>1357</v>
      </c>
      <c r="E203" t="s">
        <v>1358</v>
      </c>
      <c r="F203" t="s">
        <v>24</v>
      </c>
      <c r="G203" t="s">
        <v>25</v>
      </c>
      <c r="I203" t="s">
        <v>7</v>
      </c>
      <c r="K203" s="1">
        <v>46054</v>
      </c>
      <c r="L203" t="s">
        <v>40</v>
      </c>
      <c r="M203" s="2">
        <v>46056</v>
      </c>
      <c r="N203" t="s">
        <v>1359</v>
      </c>
      <c r="O203" t="s">
        <v>939</v>
      </c>
      <c r="P203" t="s">
        <v>31</v>
      </c>
      <c r="S203" t="s">
        <v>32</v>
      </c>
    </row>
    <row r="204" spans="1:19" x14ac:dyDescent="0.3">
      <c r="A204" t="s">
        <v>1360</v>
      </c>
      <c r="B204" t="s">
        <v>1361</v>
      </c>
      <c r="C204" t="s">
        <v>1362</v>
      </c>
      <c r="D204" t="s">
        <v>1363</v>
      </c>
      <c r="E204" t="s">
        <v>1364</v>
      </c>
      <c r="F204" t="s">
        <v>24</v>
      </c>
      <c r="G204" t="s">
        <v>25</v>
      </c>
      <c r="I204" t="s">
        <v>7</v>
      </c>
      <c r="K204" s="1">
        <v>46054</v>
      </c>
      <c r="L204" t="s">
        <v>40</v>
      </c>
      <c r="M204" s="2">
        <v>46056</v>
      </c>
      <c r="N204" t="s">
        <v>1365</v>
      </c>
      <c r="O204" t="s">
        <v>939</v>
      </c>
      <c r="P204" t="s">
        <v>31</v>
      </c>
      <c r="S204" t="s">
        <v>32</v>
      </c>
    </row>
    <row r="205" spans="1:19" x14ac:dyDescent="0.3">
      <c r="A205" t="s">
        <v>1366</v>
      </c>
      <c r="B205" t="s">
        <v>1367</v>
      </c>
      <c r="C205" t="s">
        <v>1368</v>
      </c>
      <c r="D205" t="s">
        <v>1369</v>
      </c>
      <c r="E205" t="s">
        <v>1370</v>
      </c>
      <c r="F205" t="s">
        <v>24</v>
      </c>
      <c r="G205" t="s">
        <v>25</v>
      </c>
      <c r="I205" t="s">
        <v>7</v>
      </c>
      <c r="K205" s="1">
        <v>46023</v>
      </c>
      <c r="L205" t="s">
        <v>40</v>
      </c>
      <c r="M205" s="2">
        <v>46056</v>
      </c>
      <c r="N205" t="s">
        <v>1371</v>
      </c>
      <c r="O205" t="s">
        <v>75</v>
      </c>
      <c r="P205" t="s">
        <v>31</v>
      </c>
      <c r="S205" t="s">
        <v>32</v>
      </c>
    </row>
    <row r="206" spans="1:19" x14ac:dyDescent="0.3">
      <c r="A206" t="s">
        <v>1372</v>
      </c>
      <c r="B206" t="s">
        <v>1373</v>
      </c>
      <c r="C206" t="s">
        <v>1374</v>
      </c>
      <c r="D206" t="s">
        <v>1375</v>
      </c>
      <c r="E206" t="s">
        <v>1376</v>
      </c>
      <c r="F206" t="s">
        <v>24</v>
      </c>
      <c r="G206" t="s">
        <v>25</v>
      </c>
      <c r="I206" t="s">
        <v>7</v>
      </c>
      <c r="K206" s="1">
        <v>46054</v>
      </c>
      <c r="L206" t="s">
        <v>40</v>
      </c>
      <c r="M206" s="2">
        <v>46056</v>
      </c>
      <c r="N206" t="s">
        <v>1377</v>
      </c>
      <c r="O206" t="s">
        <v>939</v>
      </c>
      <c r="P206" t="s">
        <v>31</v>
      </c>
      <c r="S206" t="s">
        <v>32</v>
      </c>
    </row>
    <row r="207" spans="1:19" x14ac:dyDescent="0.3">
      <c r="A207" t="s">
        <v>1378</v>
      </c>
      <c r="B207" t="s">
        <v>1379</v>
      </c>
      <c r="C207" t="s">
        <v>1380</v>
      </c>
      <c r="D207" t="s">
        <v>1381</v>
      </c>
      <c r="E207" t="s">
        <v>1382</v>
      </c>
      <c r="F207" t="s">
        <v>24</v>
      </c>
      <c r="G207" t="s">
        <v>25</v>
      </c>
      <c r="I207" t="s">
        <v>7</v>
      </c>
      <c r="K207" s="1">
        <v>46054</v>
      </c>
      <c r="L207" t="s">
        <v>40</v>
      </c>
      <c r="M207" s="2">
        <v>46056</v>
      </c>
      <c r="N207" t="s">
        <v>1383</v>
      </c>
      <c r="O207" t="s">
        <v>939</v>
      </c>
      <c r="P207" t="s">
        <v>31</v>
      </c>
      <c r="S207" t="s">
        <v>32</v>
      </c>
    </row>
    <row r="208" spans="1:19" x14ac:dyDescent="0.3">
      <c r="A208" t="s">
        <v>1384</v>
      </c>
      <c r="B208" t="s">
        <v>1385</v>
      </c>
      <c r="C208" t="s">
        <v>1386</v>
      </c>
      <c r="D208" t="s">
        <v>1387</v>
      </c>
      <c r="E208" t="s">
        <v>1388</v>
      </c>
      <c r="F208" t="s">
        <v>24</v>
      </c>
      <c r="G208" t="s">
        <v>25</v>
      </c>
      <c r="H208" t="s">
        <v>1389</v>
      </c>
      <c r="I208" t="s">
        <v>7</v>
      </c>
      <c r="J208" t="s">
        <v>1390</v>
      </c>
      <c r="K208" t="s">
        <v>1391</v>
      </c>
      <c r="L208" t="s">
        <v>83</v>
      </c>
      <c r="M208" s="2">
        <v>46056</v>
      </c>
      <c r="N208" t="s">
        <v>1392</v>
      </c>
      <c r="O208" t="s">
        <v>1393</v>
      </c>
      <c r="P208" t="s">
        <v>31</v>
      </c>
      <c r="S208" t="s">
        <v>32</v>
      </c>
    </row>
    <row r="209" spans="1:19" x14ac:dyDescent="0.3">
      <c r="A209" t="s">
        <v>1394</v>
      </c>
      <c r="B209" t="s">
        <v>1395</v>
      </c>
      <c r="C209" t="s">
        <v>1396</v>
      </c>
      <c r="D209" t="s">
        <v>1397</v>
      </c>
      <c r="E209" t="s">
        <v>1398</v>
      </c>
      <c r="F209" t="s">
        <v>24</v>
      </c>
      <c r="G209" t="s">
        <v>25</v>
      </c>
      <c r="H209" t="s">
        <v>1399</v>
      </c>
      <c r="I209" t="s">
        <v>7</v>
      </c>
      <c r="J209" t="s">
        <v>1400</v>
      </c>
      <c r="K209" t="s">
        <v>1401</v>
      </c>
      <c r="L209" t="s">
        <v>28</v>
      </c>
      <c r="M209" s="2">
        <v>46056</v>
      </c>
      <c r="N209" t="s">
        <v>1402</v>
      </c>
      <c r="O209" t="s">
        <v>1403</v>
      </c>
      <c r="P209" t="s">
        <v>31</v>
      </c>
      <c r="S209" t="s">
        <v>32</v>
      </c>
    </row>
    <row r="210" spans="1:19" x14ac:dyDescent="0.3">
      <c r="A210" t="s">
        <v>1404</v>
      </c>
      <c r="B210" t="s">
        <v>1405</v>
      </c>
      <c r="C210" t="s">
        <v>1406</v>
      </c>
      <c r="D210" t="s">
        <v>1407</v>
      </c>
      <c r="E210" t="s">
        <v>1408</v>
      </c>
      <c r="F210" t="s">
        <v>24</v>
      </c>
      <c r="G210" t="s">
        <v>25</v>
      </c>
      <c r="I210" t="s">
        <v>7</v>
      </c>
      <c r="K210" t="s">
        <v>1409</v>
      </c>
      <c r="L210" t="s">
        <v>40</v>
      </c>
      <c r="M210" s="2">
        <v>46056</v>
      </c>
      <c r="N210" t="s">
        <v>1410</v>
      </c>
      <c r="O210" t="s">
        <v>1411</v>
      </c>
      <c r="P210" t="s">
        <v>31</v>
      </c>
      <c r="S210" t="s">
        <v>32</v>
      </c>
    </row>
    <row r="211" spans="1:19" x14ac:dyDescent="0.3">
      <c r="A211" t="s">
        <v>1412</v>
      </c>
      <c r="B211" t="s">
        <v>1413</v>
      </c>
      <c r="C211" t="s">
        <v>1414</v>
      </c>
      <c r="D211" t="s">
        <v>1415</v>
      </c>
      <c r="E211" t="s">
        <v>1416</v>
      </c>
      <c r="F211" t="s">
        <v>24</v>
      </c>
      <c r="G211" t="s">
        <v>25</v>
      </c>
      <c r="H211" t="s">
        <v>1417</v>
      </c>
      <c r="I211" t="s">
        <v>7</v>
      </c>
      <c r="J211" t="s">
        <v>1418</v>
      </c>
      <c r="K211" s="1">
        <v>44986</v>
      </c>
      <c r="L211" t="s">
        <v>40</v>
      </c>
      <c r="M211" s="2">
        <v>46056</v>
      </c>
      <c r="N211" t="s">
        <v>1419</v>
      </c>
      <c r="O211" t="s">
        <v>1420</v>
      </c>
      <c r="P211" t="s">
        <v>31</v>
      </c>
      <c r="S211" t="s">
        <v>32</v>
      </c>
    </row>
    <row r="212" spans="1:19" x14ac:dyDescent="0.3">
      <c r="A212" t="s">
        <v>1421</v>
      </c>
      <c r="B212" t="s">
        <v>1422</v>
      </c>
      <c r="C212" t="s">
        <v>1423</v>
      </c>
      <c r="D212" t="s">
        <v>1424</v>
      </c>
      <c r="E212" t="s">
        <v>1425</v>
      </c>
      <c r="F212" t="s">
        <v>24</v>
      </c>
      <c r="G212" t="s">
        <v>25</v>
      </c>
      <c r="I212" t="s">
        <v>7</v>
      </c>
      <c r="K212" s="1">
        <v>46054</v>
      </c>
      <c r="L212" t="s">
        <v>40</v>
      </c>
      <c r="M212" s="2">
        <v>46056</v>
      </c>
      <c r="N212" t="s">
        <v>1426</v>
      </c>
      <c r="O212" t="s">
        <v>939</v>
      </c>
      <c r="P212" t="s">
        <v>31</v>
      </c>
      <c r="S212" t="s">
        <v>32</v>
      </c>
    </row>
    <row r="213" spans="1:19" x14ac:dyDescent="0.3">
      <c r="A213" t="s">
        <v>1427</v>
      </c>
      <c r="B213" t="s">
        <v>1428</v>
      </c>
      <c r="C213" t="s">
        <v>1429</v>
      </c>
      <c r="D213" t="s">
        <v>1430</v>
      </c>
      <c r="E213" t="s">
        <v>1431</v>
      </c>
      <c r="F213" t="s">
        <v>24</v>
      </c>
      <c r="G213" t="s">
        <v>25</v>
      </c>
      <c r="I213" t="s">
        <v>7</v>
      </c>
      <c r="K213" s="1">
        <v>46054</v>
      </c>
      <c r="L213" t="s">
        <v>40</v>
      </c>
      <c r="M213" s="2">
        <v>46056</v>
      </c>
      <c r="N213" t="s">
        <v>1432</v>
      </c>
      <c r="O213" t="s">
        <v>939</v>
      </c>
      <c r="P213" t="s">
        <v>31</v>
      </c>
      <c r="S213" t="s">
        <v>32</v>
      </c>
    </row>
    <row r="214" spans="1:19" x14ac:dyDescent="0.3">
      <c r="A214" t="s">
        <v>1433</v>
      </c>
      <c r="B214" t="s">
        <v>1434</v>
      </c>
      <c r="C214" t="s">
        <v>1435</v>
      </c>
      <c r="D214" t="s">
        <v>1436</v>
      </c>
      <c r="E214" t="s">
        <v>1437</v>
      </c>
      <c r="F214" t="s">
        <v>24</v>
      </c>
      <c r="G214" t="s">
        <v>25</v>
      </c>
      <c r="I214" t="s">
        <v>7</v>
      </c>
      <c r="K214" s="1">
        <v>46054</v>
      </c>
      <c r="L214" t="s">
        <v>40</v>
      </c>
      <c r="M214" s="2">
        <v>46056</v>
      </c>
      <c r="N214" t="s">
        <v>1438</v>
      </c>
      <c r="O214" t="s">
        <v>939</v>
      </c>
      <c r="P214" t="s">
        <v>31</v>
      </c>
      <c r="S214" t="s">
        <v>32</v>
      </c>
    </row>
    <row r="215" spans="1:19" x14ac:dyDescent="0.3">
      <c r="A215" t="s">
        <v>1439</v>
      </c>
      <c r="B215" t="s">
        <v>1440</v>
      </c>
      <c r="C215" t="s">
        <v>1441</v>
      </c>
      <c r="D215" t="s">
        <v>1442</v>
      </c>
      <c r="E215" t="s">
        <v>1443</v>
      </c>
      <c r="F215" t="s">
        <v>24</v>
      </c>
      <c r="G215" t="s">
        <v>25</v>
      </c>
      <c r="I215" t="s">
        <v>7</v>
      </c>
      <c r="K215" s="1">
        <v>46054</v>
      </c>
      <c r="L215" t="s">
        <v>40</v>
      </c>
      <c r="M215" s="2">
        <v>46056</v>
      </c>
      <c r="N215" t="s">
        <v>1444</v>
      </c>
      <c r="O215" t="s">
        <v>939</v>
      </c>
      <c r="P215" t="s">
        <v>31</v>
      </c>
      <c r="S215" t="s">
        <v>32</v>
      </c>
    </row>
    <row r="216" spans="1:19" x14ac:dyDescent="0.3">
      <c r="A216" t="s">
        <v>1445</v>
      </c>
      <c r="B216" t="s">
        <v>1446</v>
      </c>
      <c r="C216" t="s">
        <v>1447</v>
      </c>
      <c r="D216" t="s">
        <v>1448</v>
      </c>
      <c r="E216" t="s">
        <v>1449</v>
      </c>
      <c r="F216" t="s">
        <v>24</v>
      </c>
      <c r="G216" t="s">
        <v>25</v>
      </c>
      <c r="I216" t="s">
        <v>7</v>
      </c>
      <c r="K216" s="1">
        <v>46054</v>
      </c>
      <c r="L216" t="s">
        <v>40</v>
      </c>
      <c r="M216" s="2">
        <v>46056</v>
      </c>
      <c r="N216" t="s">
        <v>1450</v>
      </c>
      <c r="O216" t="s">
        <v>1451</v>
      </c>
      <c r="P216" t="s">
        <v>31</v>
      </c>
      <c r="S216" t="s">
        <v>32</v>
      </c>
    </row>
    <row r="217" spans="1:19" x14ac:dyDescent="0.3">
      <c r="A217" t="s">
        <v>1452</v>
      </c>
      <c r="B217" t="s">
        <v>1453</v>
      </c>
      <c r="C217" t="s">
        <v>1454</v>
      </c>
      <c r="D217" t="s">
        <v>1455</v>
      </c>
      <c r="E217" t="s">
        <v>1456</v>
      </c>
      <c r="F217" t="s">
        <v>24</v>
      </c>
      <c r="G217" t="s">
        <v>25</v>
      </c>
      <c r="I217" t="s">
        <v>7</v>
      </c>
      <c r="K217" s="1">
        <v>46054</v>
      </c>
      <c r="L217" t="s">
        <v>40</v>
      </c>
      <c r="M217" s="2">
        <v>46056</v>
      </c>
      <c r="N217" t="s">
        <v>1457</v>
      </c>
      <c r="O217" t="s">
        <v>939</v>
      </c>
      <c r="P217" t="s">
        <v>31</v>
      </c>
      <c r="S217" t="s">
        <v>32</v>
      </c>
    </row>
    <row r="218" spans="1:19" x14ac:dyDescent="0.3">
      <c r="A218" t="s">
        <v>1458</v>
      </c>
      <c r="B218" t="s">
        <v>1459</v>
      </c>
      <c r="C218" t="s">
        <v>1460</v>
      </c>
      <c r="D218" t="s">
        <v>1461</v>
      </c>
      <c r="E218" t="s">
        <v>1462</v>
      </c>
      <c r="F218" t="s">
        <v>24</v>
      </c>
      <c r="G218" t="s">
        <v>25</v>
      </c>
      <c r="I218" t="s">
        <v>7</v>
      </c>
      <c r="K218" s="1">
        <v>46054</v>
      </c>
      <c r="L218" t="s">
        <v>40</v>
      </c>
      <c r="M218" s="2">
        <v>46056</v>
      </c>
      <c r="N218" t="s">
        <v>1463</v>
      </c>
      <c r="O218" t="s">
        <v>939</v>
      </c>
      <c r="P218" t="s">
        <v>31</v>
      </c>
      <c r="S218" t="s">
        <v>32</v>
      </c>
    </row>
    <row r="219" spans="1:19" x14ac:dyDescent="0.3">
      <c r="A219" t="s">
        <v>1464</v>
      </c>
      <c r="B219" t="s">
        <v>1465</v>
      </c>
      <c r="C219" t="s">
        <v>1466</v>
      </c>
      <c r="D219" t="s">
        <v>1467</v>
      </c>
      <c r="E219" t="s">
        <v>1468</v>
      </c>
      <c r="F219" t="s">
        <v>24</v>
      </c>
      <c r="G219" t="s">
        <v>25</v>
      </c>
      <c r="H219" t="s">
        <v>1469</v>
      </c>
      <c r="I219" t="s">
        <v>7</v>
      </c>
      <c r="J219" t="s">
        <v>1470</v>
      </c>
      <c r="K219" s="4">
        <v>46351</v>
      </c>
      <c r="L219" t="s">
        <v>28</v>
      </c>
      <c r="M219" s="2">
        <v>46056</v>
      </c>
      <c r="N219" t="s">
        <v>1471</v>
      </c>
      <c r="O219" t="s">
        <v>92</v>
      </c>
      <c r="P219" t="s">
        <v>31</v>
      </c>
      <c r="S219" t="s">
        <v>32</v>
      </c>
    </row>
    <row r="220" spans="1:19" x14ac:dyDescent="0.3">
      <c r="A220" t="s">
        <v>1472</v>
      </c>
      <c r="B220" t="s">
        <v>1473</v>
      </c>
      <c r="C220" t="s">
        <v>1474</v>
      </c>
      <c r="D220" t="s">
        <v>1475</v>
      </c>
      <c r="E220" t="s">
        <v>1476</v>
      </c>
      <c r="F220" t="s">
        <v>24</v>
      </c>
      <c r="G220" t="s">
        <v>25</v>
      </c>
      <c r="I220" t="s">
        <v>7</v>
      </c>
      <c r="K220" s="1">
        <v>46054</v>
      </c>
      <c r="L220" t="s">
        <v>40</v>
      </c>
      <c r="M220" s="2">
        <v>46056</v>
      </c>
      <c r="N220" t="s">
        <v>1477</v>
      </c>
      <c r="O220" t="s">
        <v>939</v>
      </c>
      <c r="P220" t="s">
        <v>31</v>
      </c>
      <c r="S220" t="s">
        <v>32</v>
      </c>
    </row>
    <row r="221" spans="1:19" x14ac:dyDescent="0.3">
      <c r="A221" t="s">
        <v>1478</v>
      </c>
      <c r="B221" t="s">
        <v>1479</v>
      </c>
      <c r="C221" t="s">
        <v>1480</v>
      </c>
      <c r="D221" t="s">
        <v>1481</v>
      </c>
      <c r="E221" t="s">
        <v>1482</v>
      </c>
      <c r="F221" t="s">
        <v>24</v>
      </c>
      <c r="G221" t="s">
        <v>25</v>
      </c>
      <c r="I221" t="s">
        <v>7</v>
      </c>
      <c r="K221" s="1">
        <v>46054</v>
      </c>
      <c r="L221" t="s">
        <v>40</v>
      </c>
      <c r="M221" s="2">
        <v>46056</v>
      </c>
      <c r="N221" t="s">
        <v>1483</v>
      </c>
      <c r="O221" t="s">
        <v>939</v>
      </c>
      <c r="P221" t="s">
        <v>31</v>
      </c>
      <c r="S221" t="s">
        <v>32</v>
      </c>
    </row>
    <row r="222" spans="1:19" x14ac:dyDescent="0.3">
      <c r="A222" t="s">
        <v>1484</v>
      </c>
      <c r="B222" t="s">
        <v>1485</v>
      </c>
      <c r="C222" t="s">
        <v>1486</v>
      </c>
      <c r="D222" t="s">
        <v>1487</v>
      </c>
      <c r="E222" t="s">
        <v>1488</v>
      </c>
      <c r="F222" t="s">
        <v>24</v>
      </c>
      <c r="G222" t="s">
        <v>25</v>
      </c>
      <c r="I222" t="s">
        <v>7</v>
      </c>
      <c r="K222" s="1">
        <v>46054</v>
      </c>
      <c r="L222" t="s">
        <v>40</v>
      </c>
      <c r="M222" s="2">
        <v>46056</v>
      </c>
      <c r="N222" t="s">
        <v>1489</v>
      </c>
      <c r="O222" t="s">
        <v>939</v>
      </c>
      <c r="P222" t="s">
        <v>31</v>
      </c>
      <c r="S222" t="s">
        <v>32</v>
      </c>
    </row>
    <row r="223" spans="1:19" x14ac:dyDescent="0.3">
      <c r="A223" t="s">
        <v>1490</v>
      </c>
      <c r="B223" t="s">
        <v>1491</v>
      </c>
      <c r="C223" t="s">
        <v>1492</v>
      </c>
      <c r="D223" t="s">
        <v>1493</v>
      </c>
      <c r="E223" t="s">
        <v>1494</v>
      </c>
      <c r="F223" t="s">
        <v>24</v>
      </c>
      <c r="G223" t="s">
        <v>25</v>
      </c>
      <c r="I223" t="s">
        <v>7</v>
      </c>
      <c r="K223" s="1">
        <v>46054</v>
      </c>
      <c r="L223" t="s">
        <v>40</v>
      </c>
      <c r="M223" s="2">
        <v>46056</v>
      </c>
      <c r="N223" t="s">
        <v>1495</v>
      </c>
      <c r="O223" t="s">
        <v>939</v>
      </c>
      <c r="P223" t="s">
        <v>31</v>
      </c>
      <c r="S223" t="s">
        <v>32</v>
      </c>
    </row>
    <row r="224" spans="1:19" x14ac:dyDescent="0.3">
      <c r="A224" t="s">
        <v>1496</v>
      </c>
      <c r="B224" t="s">
        <v>1497</v>
      </c>
      <c r="C224" t="s">
        <v>1498</v>
      </c>
      <c r="D224" t="s">
        <v>1499</v>
      </c>
      <c r="E224" t="s">
        <v>1500</v>
      </c>
      <c r="F224" t="s">
        <v>24</v>
      </c>
      <c r="G224" t="s">
        <v>25</v>
      </c>
      <c r="I224" t="s">
        <v>7</v>
      </c>
      <c r="K224" s="1">
        <v>45323</v>
      </c>
      <c r="L224" t="s">
        <v>40</v>
      </c>
      <c r="M224" s="2">
        <v>46056</v>
      </c>
      <c r="N224" t="s">
        <v>1501</v>
      </c>
      <c r="O224" t="s">
        <v>1502</v>
      </c>
      <c r="P224" t="s">
        <v>31</v>
      </c>
      <c r="S224" t="s">
        <v>32</v>
      </c>
    </row>
    <row r="225" spans="1:19" x14ac:dyDescent="0.3">
      <c r="A225" t="s">
        <v>1503</v>
      </c>
      <c r="B225" t="s">
        <v>1504</v>
      </c>
      <c r="C225" t="s">
        <v>1505</v>
      </c>
      <c r="D225" t="s">
        <v>1506</v>
      </c>
      <c r="E225" t="s">
        <v>1507</v>
      </c>
      <c r="F225" t="s">
        <v>24</v>
      </c>
      <c r="G225" t="s">
        <v>25</v>
      </c>
      <c r="H225" t="s">
        <v>1508</v>
      </c>
      <c r="I225" t="s">
        <v>7</v>
      </c>
      <c r="J225" t="s">
        <v>1509</v>
      </c>
      <c r="K225" s="1">
        <v>46054</v>
      </c>
      <c r="L225" t="s">
        <v>40</v>
      </c>
      <c r="M225" s="2">
        <v>46056</v>
      </c>
      <c r="N225" t="s">
        <v>1510</v>
      </c>
      <c r="O225" t="s">
        <v>30</v>
      </c>
      <c r="P225" t="s">
        <v>31</v>
      </c>
      <c r="S225" t="s">
        <v>32</v>
      </c>
    </row>
    <row r="226" spans="1:19" x14ac:dyDescent="0.3">
      <c r="A226" t="s">
        <v>1511</v>
      </c>
      <c r="B226" t="s">
        <v>1512</v>
      </c>
      <c r="C226" t="s">
        <v>1513</v>
      </c>
      <c r="D226" t="s">
        <v>1514</v>
      </c>
      <c r="E226" t="s">
        <v>1515</v>
      </c>
      <c r="F226" t="s">
        <v>24</v>
      </c>
      <c r="G226" t="s">
        <v>25</v>
      </c>
      <c r="I226" t="s">
        <v>7</v>
      </c>
      <c r="K226" s="1">
        <v>45992</v>
      </c>
      <c r="L226" t="s">
        <v>28</v>
      </c>
      <c r="M226" s="2">
        <v>46056</v>
      </c>
      <c r="N226" t="s">
        <v>1516</v>
      </c>
      <c r="O226" t="s">
        <v>170</v>
      </c>
      <c r="P226" t="s">
        <v>31</v>
      </c>
      <c r="S226" t="s">
        <v>32</v>
      </c>
    </row>
    <row r="227" spans="1:19" x14ac:dyDescent="0.3">
      <c r="A227" t="s">
        <v>1517</v>
      </c>
      <c r="B227" t="s">
        <v>1518</v>
      </c>
      <c r="C227" t="s">
        <v>1519</v>
      </c>
      <c r="D227" t="s">
        <v>1520</v>
      </c>
      <c r="E227" t="s">
        <v>1521</v>
      </c>
      <c r="F227" t="s">
        <v>24</v>
      </c>
      <c r="G227" t="s">
        <v>25</v>
      </c>
      <c r="H227" t="s">
        <v>1522</v>
      </c>
      <c r="I227" t="s">
        <v>7</v>
      </c>
      <c r="J227" t="s">
        <v>1523</v>
      </c>
      <c r="K227" t="s">
        <v>1524</v>
      </c>
      <c r="L227" t="s">
        <v>40</v>
      </c>
      <c r="M227" s="2">
        <v>46056</v>
      </c>
      <c r="N227" t="s">
        <v>1525</v>
      </c>
      <c r="O227" t="s">
        <v>30</v>
      </c>
      <c r="P227" t="s">
        <v>31</v>
      </c>
      <c r="S227" t="s">
        <v>32</v>
      </c>
    </row>
    <row r="228" spans="1:19" x14ac:dyDescent="0.3">
      <c r="A228" t="s">
        <v>1526</v>
      </c>
      <c r="B228" t="s">
        <v>1527</v>
      </c>
      <c r="C228" t="s">
        <v>1528</v>
      </c>
      <c r="D228" t="s">
        <v>1529</v>
      </c>
      <c r="E228" t="s">
        <v>1530</v>
      </c>
      <c r="F228" t="s">
        <v>24</v>
      </c>
      <c r="G228" t="s">
        <v>25</v>
      </c>
      <c r="I228" t="s">
        <v>7</v>
      </c>
      <c r="K228" t="s">
        <v>1531</v>
      </c>
      <c r="L228" t="s">
        <v>40</v>
      </c>
      <c r="M228" s="2">
        <v>46056</v>
      </c>
      <c r="N228" t="s">
        <v>1532</v>
      </c>
      <c r="O228" t="s">
        <v>42</v>
      </c>
      <c r="P228" t="s">
        <v>31</v>
      </c>
      <c r="S228" t="s">
        <v>32</v>
      </c>
    </row>
    <row r="229" spans="1:19" x14ac:dyDescent="0.3">
      <c r="A229" t="s">
        <v>1533</v>
      </c>
      <c r="B229" t="s">
        <v>1534</v>
      </c>
      <c r="C229" t="s">
        <v>1535</v>
      </c>
      <c r="D229" t="s">
        <v>1536</v>
      </c>
      <c r="E229" t="s">
        <v>1537</v>
      </c>
      <c r="F229" t="s">
        <v>24</v>
      </c>
      <c r="G229" t="s">
        <v>25</v>
      </c>
      <c r="H229" t="s">
        <v>1538</v>
      </c>
      <c r="I229" t="s">
        <v>7</v>
      </c>
      <c r="J229" t="s">
        <v>1539</v>
      </c>
      <c r="K229" s="1">
        <v>45778</v>
      </c>
      <c r="L229" t="s">
        <v>40</v>
      </c>
      <c r="M229" s="2">
        <v>46056</v>
      </c>
      <c r="N229" t="s">
        <v>1540</v>
      </c>
      <c r="O229" t="s">
        <v>42</v>
      </c>
      <c r="P229" t="s">
        <v>31</v>
      </c>
      <c r="S229" t="s">
        <v>32</v>
      </c>
    </row>
    <row r="230" spans="1:19" x14ac:dyDescent="0.3">
      <c r="A230" t="s">
        <v>1541</v>
      </c>
      <c r="B230" t="s">
        <v>1542</v>
      </c>
      <c r="C230" t="s">
        <v>1543</v>
      </c>
      <c r="D230" t="s">
        <v>1544</v>
      </c>
      <c r="E230" t="s">
        <v>1545</v>
      </c>
      <c r="F230" t="s">
        <v>24</v>
      </c>
      <c r="G230" t="s">
        <v>25</v>
      </c>
      <c r="H230" t="s">
        <v>38</v>
      </c>
      <c r="I230" t="s">
        <v>7</v>
      </c>
      <c r="J230" t="s">
        <v>39</v>
      </c>
      <c r="K230" s="1">
        <v>45689</v>
      </c>
      <c r="L230" t="s">
        <v>40</v>
      </c>
      <c r="M230" s="2">
        <v>46056</v>
      </c>
      <c r="N230" t="s">
        <v>1546</v>
      </c>
      <c r="O230" t="s">
        <v>1077</v>
      </c>
      <c r="P230" t="s">
        <v>31</v>
      </c>
      <c r="S230" t="s">
        <v>32</v>
      </c>
    </row>
    <row r="231" spans="1:19" x14ac:dyDescent="0.3">
      <c r="A231" t="s">
        <v>1547</v>
      </c>
      <c r="B231" t="s">
        <v>1548</v>
      </c>
      <c r="C231" t="s">
        <v>1549</v>
      </c>
      <c r="D231" t="s">
        <v>1550</v>
      </c>
      <c r="E231" t="s">
        <v>1551</v>
      </c>
      <c r="F231" t="s">
        <v>24</v>
      </c>
      <c r="G231" t="s">
        <v>25</v>
      </c>
      <c r="H231" t="s">
        <v>1552</v>
      </c>
      <c r="I231" t="s">
        <v>7</v>
      </c>
      <c r="J231" t="s">
        <v>1553</v>
      </c>
      <c r="K231" t="s">
        <v>1554</v>
      </c>
      <c r="L231" t="s">
        <v>40</v>
      </c>
      <c r="M231" s="2">
        <v>46056</v>
      </c>
      <c r="N231" t="s">
        <v>1555</v>
      </c>
      <c r="O231" t="s">
        <v>1077</v>
      </c>
      <c r="P231" t="s">
        <v>31</v>
      </c>
      <c r="S231" t="s">
        <v>32</v>
      </c>
    </row>
    <row r="232" spans="1:19" x14ac:dyDescent="0.3">
      <c r="A232" t="s">
        <v>1556</v>
      </c>
      <c r="B232" t="s">
        <v>1557</v>
      </c>
      <c r="C232" t="s">
        <v>1558</v>
      </c>
      <c r="D232" t="s">
        <v>1559</v>
      </c>
      <c r="E232" t="s">
        <v>1560</v>
      </c>
      <c r="F232" t="s">
        <v>24</v>
      </c>
      <c r="G232" t="s">
        <v>25</v>
      </c>
      <c r="H232" t="s">
        <v>81</v>
      </c>
      <c r="I232" t="s">
        <v>7</v>
      </c>
      <c r="J232" t="s">
        <v>82</v>
      </c>
      <c r="K232" s="1">
        <v>45383</v>
      </c>
      <c r="L232" t="s">
        <v>40</v>
      </c>
      <c r="M232" s="2">
        <v>46056</v>
      </c>
      <c r="N232" t="s">
        <v>1561</v>
      </c>
      <c r="O232" t="s">
        <v>1562</v>
      </c>
      <c r="P232" t="s">
        <v>31</v>
      </c>
      <c r="S232" t="s">
        <v>32</v>
      </c>
    </row>
    <row r="233" spans="1:19" x14ac:dyDescent="0.3">
      <c r="A233" t="s">
        <v>1563</v>
      </c>
      <c r="B233" t="s">
        <v>1564</v>
      </c>
      <c r="C233" t="s">
        <v>1565</v>
      </c>
      <c r="D233" t="s">
        <v>1566</v>
      </c>
      <c r="E233" t="s">
        <v>1567</v>
      </c>
      <c r="F233" t="s">
        <v>24</v>
      </c>
      <c r="G233" t="s">
        <v>25</v>
      </c>
      <c r="H233" t="s">
        <v>1568</v>
      </c>
      <c r="I233" t="s">
        <v>7</v>
      </c>
      <c r="J233" t="s">
        <v>1569</v>
      </c>
      <c r="K233" s="1">
        <v>45566</v>
      </c>
      <c r="L233" t="s">
        <v>40</v>
      </c>
      <c r="M233" s="2">
        <v>46056</v>
      </c>
      <c r="N233" t="s">
        <v>1570</v>
      </c>
      <c r="O233" t="s">
        <v>1077</v>
      </c>
      <c r="P233" t="s">
        <v>31</v>
      </c>
      <c r="S233" t="s">
        <v>32</v>
      </c>
    </row>
    <row r="234" spans="1:19" x14ac:dyDescent="0.3">
      <c r="A234" t="s">
        <v>1571</v>
      </c>
      <c r="B234" t="s">
        <v>1572</v>
      </c>
      <c r="C234" t="s">
        <v>1573</v>
      </c>
      <c r="D234" t="s">
        <v>1574</v>
      </c>
      <c r="E234" t="s">
        <v>1575</v>
      </c>
      <c r="F234" t="s">
        <v>24</v>
      </c>
      <c r="G234" t="s">
        <v>25</v>
      </c>
      <c r="H234" t="s">
        <v>1576</v>
      </c>
      <c r="I234" t="s">
        <v>7</v>
      </c>
      <c r="J234" t="s">
        <v>1577</v>
      </c>
      <c r="K234" s="1">
        <v>45689</v>
      </c>
      <c r="L234" t="s">
        <v>40</v>
      </c>
      <c r="M234" s="2">
        <v>46056</v>
      </c>
      <c r="N234" t="s">
        <v>1578</v>
      </c>
      <c r="O234" t="s">
        <v>1077</v>
      </c>
      <c r="P234" t="s">
        <v>31</v>
      </c>
      <c r="S234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requirement_cases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Jimmy Bruce</cp:lastModifiedBy>
  <dcterms:created xsi:type="dcterms:W3CDTF">2026-03-04T03:07:57Z</dcterms:created>
  <dcterms:modified xsi:type="dcterms:W3CDTF">2026-03-04T03:07:57Z</dcterms:modified>
</cp:coreProperties>
</file>